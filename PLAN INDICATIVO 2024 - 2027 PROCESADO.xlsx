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Documentos D\Gobernación\APP\"/>
    </mc:Choice>
  </mc:AlternateContent>
  <xr:revisionPtr revIDLastSave="0" documentId="8_{39A63DAD-EDB4-4AEF-A390-7B39F1349CE6}" xr6:coauthVersionLast="47" xr6:coauthVersionMax="47" xr10:uidLastSave="{00000000-0000-0000-0000-000000000000}"/>
  <bookViews>
    <workbookView xWindow="-120" yWindow="-120" windowWidth="29040" windowHeight="15720" xr2:uid="{00000000-000D-0000-FFFF-FFFF00000000}"/>
  </bookViews>
  <sheets>
    <sheet name="ORIGINAL" sheetId="2" r:id="rId1"/>
    <sheet name="DATOS" sheetId="3" r:id="rId2"/>
  </sheets>
  <externalReferences>
    <externalReference r:id="rId3"/>
  </externalReferences>
  <definedNames>
    <definedName name="_xlnm._FilterDatabase" localSheetId="1" hidden="1">DATOS!$A$1:$AR$412</definedName>
    <definedName name="_xlnm._FilterDatabase" localSheetId="0" hidden="1">ORIGINAL!$A$1:$AR$1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63" i="3" l="1"/>
  <c r="I365" i="3" s="1"/>
  <c r="I366" i="3" s="1"/>
  <c r="I367" i="3" s="1"/>
  <c r="I282" i="3"/>
  <c r="AO413" i="2"/>
  <c r="AN413" i="2"/>
  <c r="AM413" i="2"/>
  <c r="AL413" i="2"/>
  <c r="AK413" i="2"/>
  <c r="J383" i="2"/>
  <c r="G363" i="2"/>
  <c r="G365" i="2" s="1"/>
  <c r="G366" i="2" s="1"/>
  <c r="G367" i="2" s="1"/>
  <c r="F363" i="2"/>
  <c r="F365" i="2" s="1"/>
  <c r="F366" i="2" s="1"/>
  <c r="F367" i="2" s="1"/>
  <c r="G282" i="2"/>
  <c r="Z280" i="2"/>
  <c r="Z223" i="2"/>
  <c r="Z222" i="2"/>
  <c r="I364" i="3" l="1"/>
  <c r="F364" i="2"/>
  <c r="G364" i="2"/>
</calcChain>
</file>

<file path=xl/sharedStrings.xml><?xml version="1.0" encoding="utf-8"?>
<sst xmlns="http://schemas.openxmlformats.org/spreadsheetml/2006/main" count="23226" uniqueCount="3257">
  <si>
    <t>Código LE</t>
  </si>
  <si>
    <t>Línea estratégica</t>
  </si>
  <si>
    <t>Objetivo Línea Estratégica</t>
  </si>
  <si>
    <t>Descripción del indicador</t>
  </si>
  <si>
    <t>Línea base</t>
  </si>
  <si>
    <t>Año base</t>
  </si>
  <si>
    <t>Fuente</t>
  </si>
  <si>
    <t>Unidad de medida</t>
  </si>
  <si>
    <t>Secretaría o Dependencia Responsable de la meta de resultado</t>
  </si>
  <si>
    <t>Código del sector</t>
  </si>
  <si>
    <t>Sector</t>
  </si>
  <si>
    <t xml:space="preserve">Código del programa </t>
  </si>
  <si>
    <t>Programa presupuestal</t>
  </si>
  <si>
    <t>Código del producto</t>
  </si>
  <si>
    <t>Producto</t>
  </si>
  <si>
    <t>Medido a través de</t>
  </si>
  <si>
    <t>Código del indicador de producto</t>
  </si>
  <si>
    <t>Indicador de producto</t>
  </si>
  <si>
    <t xml:space="preserve">Secretaria / Dependencia responsable del  producto
</t>
  </si>
  <si>
    <t>LE1</t>
  </si>
  <si>
    <t>Oportunidades para soñar</t>
  </si>
  <si>
    <t>Porcentaje de establecimientos educativos oficiales en las categorías A+, A, B y C de las pruebas saber 11</t>
  </si>
  <si>
    <t>Mide el porcentaje de  los establecimientos educativos oficiales que se encuentran clasificados por el ICFES en las categorías A+, A, B y C basado en los resultados de las pruebas saber 11</t>
  </si>
  <si>
    <t>ICFES - MEN</t>
  </si>
  <si>
    <t>Incrementar a 30% el porcentaje de establecimientos educativos oficiales en las categorías A+, A, B y C de las pruebas saber 11</t>
  </si>
  <si>
    <t>Porcentaje</t>
  </si>
  <si>
    <t>Secretaría de Educación y Cultura</t>
  </si>
  <si>
    <t>Seguridad humana y justicia social</t>
  </si>
  <si>
    <t>Educación</t>
  </si>
  <si>
    <t>2201</t>
  </si>
  <si>
    <t>Servicio de asistencia técnica en educación inicial, preescolar, básica y media</t>
  </si>
  <si>
    <t>Incluyen los servicio de asesoría y orientación técnica prestados a las Secretarías de Educación o por estas en los temas relacionados con la política educativa y aquellos definidos para la prestación del servicio educativo. Así mismo, incorpora acciones de  acompañamiento para la implementación de planes de mejoramiento en los establecimientos educativos  oficiales de preescolar, básica y medial.</t>
  </si>
  <si>
    <t>Número de entidades y organizaciones</t>
  </si>
  <si>
    <t>220100602</t>
  </si>
  <si>
    <t>Establecimientos Educativos oficiales con acompañamiento en el marco de las estrategias de calidad educativa</t>
  </si>
  <si>
    <t>500 Establecimientos Educativos oficiales con acompañamiento a través de asistencias técnicas en el marco de las estrategias de calidad educativa</t>
  </si>
  <si>
    <t>Número</t>
  </si>
  <si>
    <t>4. Educación y calidad</t>
  </si>
  <si>
    <t>2201037</t>
  </si>
  <si>
    <t>Servicio de atención integral para la primera infancia</t>
  </si>
  <si>
    <t>Incluye las acciones dirigidas a desarrollar los Planes de Atención Integral a la Primera Infancia</t>
  </si>
  <si>
    <t>Número de instituciones educativas oficiales</t>
  </si>
  <si>
    <t>220103701</t>
  </si>
  <si>
    <t>64 Instituciones Educativas Mayoritarias, Afro e indígenas con apoyo pedagógico para la implementación de la estrategia "Primera Infancia Feliz y Protegida"</t>
  </si>
  <si>
    <t>Servicio educativos de promoción del bilingüismo</t>
  </si>
  <si>
    <t xml:space="preserve">Procesos de formación para el desarrollo de competencias en un segundo idioma </t>
  </si>
  <si>
    <t>Número de estudiantes</t>
  </si>
  <si>
    <t>220103400</t>
  </si>
  <si>
    <t>Estudiantes beneficiados con estrategias de promoción del bilingüismo</t>
  </si>
  <si>
    <t>4500 Estudiantes beneficiados con estrategias de promoción del bilingüismo en los Establecimientos Educativos de la Entidad Territorial</t>
  </si>
  <si>
    <t>2201056</t>
  </si>
  <si>
    <t>Servicio de acompañamiento para el desarrollo de modelos educativos interculturales</t>
  </si>
  <si>
    <t>Incluye las acciones de  acompañamiento en la construcción concertada y participativa de las fases de los modelos educativos:  formulación, diseño y ajuste e implementación.</t>
  </si>
  <si>
    <t>Número de modelos</t>
  </si>
  <si>
    <t>Modelos educativos acompañados</t>
  </si>
  <si>
    <t>250 modelos o proyectos educativos para grupos étnicos, mayoritarios/campesinos e interculturales ajustados/resignificados</t>
  </si>
  <si>
    <t>2201061</t>
  </si>
  <si>
    <t>Servicio de apoyo a proyectos pedagógicos productivos</t>
  </si>
  <si>
    <t>Corresponden al apoyo financiero o en especie para la implementación de proyectos pedagógicos productivos.</t>
  </si>
  <si>
    <t>Número de establecimientos educativos</t>
  </si>
  <si>
    <t>Establecimientos educativos beneficiados</t>
  </si>
  <si>
    <t xml:space="preserve">50 Establecimientos educativos beneficiados con la implementación de proyectos pedagógicos productivos con enfoque diferencial étnico, campesino e intercultural que responda a los Proyectos Educativos </t>
  </si>
  <si>
    <t>2201067</t>
  </si>
  <si>
    <t>Servicio de apoyo para el fortalecimiento de escuelas de padres</t>
  </si>
  <si>
    <t>Incluye las diferentes estrategias desarrolladas para fortalecer la conformación y la participación activa de las escuelas de padres.</t>
  </si>
  <si>
    <t>Número de escuelas</t>
  </si>
  <si>
    <t>Escuelas de padres apoyadas</t>
  </si>
  <si>
    <t>150 Establecimientos Educativos apoyados en el diseño y la puesta en marcha de las Escuelas de Padres</t>
  </si>
  <si>
    <t>2201073</t>
  </si>
  <si>
    <t>Servicio de evaluación de la calidad de la educación inicial, preescolar, básica y media</t>
  </si>
  <si>
    <t>Incluye el diseño, desarrollo, sistematización, análisis, proyección de resultados y demás procesos que permitan la aplicación y análisis de las pruebas de medición de la calidad educativa. Así mismo, Incluye el diseño, aplicación, procesamiento y calificación de resultados de un examen de práctica o simulacro de evaluación de la educación en territorio, estas acciones no son financiables con recursos provenientes del Sistema General de Participaciones.</t>
  </si>
  <si>
    <t>220107300</t>
  </si>
  <si>
    <t>Estudiantes evaluados con pruebas de calidad educativa</t>
  </si>
  <si>
    <t>28.000 Estudiantes de media evaluados con pruebas de Calidad Educativa</t>
  </si>
  <si>
    <t>2201074</t>
  </si>
  <si>
    <t>Servicio de fortalecimiento a las capacidades de los docentes de educación Inicial, preescolar, básica y media</t>
  </si>
  <si>
    <t>Incluye el apoyo prestado a docentes, directivos docentes y agentes educativos para la realización de estudios en los diferentes niveles educativos con el fin de que estos fortalezcan sus capacidades.</t>
  </si>
  <si>
    <t>Número de docentes y agentes educativos</t>
  </si>
  <si>
    <t>Docentes y agentes educativos  de educación inicial, preescolar, básica y media beneficiados con estrategias de mejoramiento de sus capacidades</t>
  </si>
  <si>
    <t>6.000 Docentes y/o directivos docentes de educación inicial, preescolar, básica y media beneficiados con programas de acompañamiento, capacitación o formación</t>
  </si>
  <si>
    <t>2201081</t>
  </si>
  <si>
    <t>Servicio de apoyo a la atención integral para la convivencia escolar</t>
  </si>
  <si>
    <t>Incluye las acciones de promoción, prevención, atención y seguimiento a situaciones que afectan la convivencia escolar y el ejercicio de los derechos humanos sexuales y reproductivos  y que apoyan los procesos y procedimientos que en la materia adelantan las sedes educativas.</t>
  </si>
  <si>
    <t>Número de sedes</t>
  </si>
  <si>
    <t>Sedes educativas apoyadas en la implementación de la ruta de atención integral para la convivencia escolar</t>
  </si>
  <si>
    <t xml:space="preserve">350 sedes educativas apoyadas en la implementación de la ruta de atención integral para la convivencia escolar de acuerdo a su contexto
</t>
  </si>
  <si>
    <t>2201084</t>
  </si>
  <si>
    <t>Servicio de apoyo pedagógico para  la oferta de educación inclusiva para preescolar, básica y media</t>
  </si>
  <si>
    <t>Corresponde a la aplicación de recursos adicionales asignados a las entidades territoriales certificadas para fortalecer la atención de alumnos que requieran procesos  de atención especial relacionadas con limitaciones /capacidades o talentos excepcionales conforme al Decreto 1075/2015.</t>
  </si>
  <si>
    <t>Sedes educativas con apoyo pedagógico para  la oferta de educación inclusiva para preescolar, básica y media</t>
  </si>
  <si>
    <t>175 sedes educativas apoyadas pedagógicamente  para  la oferta de educación inclusiva para preescolar, básica y media</t>
  </si>
  <si>
    <t>2201085</t>
  </si>
  <si>
    <t>Servicio de orientación socio ocupacional</t>
  </si>
  <si>
    <t>Incluye el apoyo de orientación socio ocupacional brindado a los jóvenes para que a partir del conocimiento de sus intereses, aptitudes y habilidades, y de la identificación de los recursos y oportunidades del entorno,  para que estén mejor preparados para la toma de decisiones sobre su educación y formación postmedia  para la vida laboral.</t>
  </si>
  <si>
    <t>Número de estudios</t>
  </si>
  <si>
    <t>Estudiantes vinculados a procesos de orientación socio ocupacional</t>
  </si>
  <si>
    <t>1.000 estudiantes vinculados a estrategias de orientación socio ocupacional</t>
  </si>
  <si>
    <t>Tecnologías de la información y las comunicaciones</t>
  </si>
  <si>
    <t>2301</t>
  </si>
  <si>
    <t>Facilitar el acceso y uso de las Tecnologías de la Información y las Comunicaciones en todo el territorio nacional</t>
  </si>
  <si>
    <t>2301035</t>
  </si>
  <si>
    <t>Servicio de educación para el trabajo en temas de uso pedagógico de tecnologías de la información y las comunicaciones.</t>
  </si>
  <si>
    <t>Corresponde al programa de educación no formal dirigido a miembros de la comunidad educativa.</t>
  </si>
  <si>
    <t>Número de docentes</t>
  </si>
  <si>
    <t>230103500</t>
  </si>
  <si>
    <t>250 docentes formados en uso pedagógico de las tecnologías de la información y comunicaciones.</t>
  </si>
  <si>
    <t>2201047</t>
  </si>
  <si>
    <t>Servicios de apoyo a la implementación de modelos de innovación educativa</t>
  </si>
  <si>
    <t>Corresponde a la implementación de ideas, procesos y estrategias de innovación educativa en la educación inicial preescolar básica y media</t>
  </si>
  <si>
    <t>220104700</t>
  </si>
  <si>
    <t xml:space="preserve">Establecimientos educativos apoyados para la  implementación de modelos de innovación educativa </t>
  </si>
  <si>
    <t xml:space="preserve">100 nuevos establecimientos educativos apoyados para la  implementación de modelos de innovación educativa </t>
  </si>
  <si>
    <t>Tasa de tránsito inmediato a la educación superior</t>
  </si>
  <si>
    <t xml:space="preserve">Mide el porcentaje de egresados de la educación media que ingresan a la Educación Superior en el año siguiente a la su graduación </t>
  </si>
  <si>
    <t>Sistema Nacional de Información de Educación Superior - SINIES. Ministerio de Educación</t>
  </si>
  <si>
    <t>Incrementar a 43,2% la tasa de tránsito inmediato a la educación superior</t>
  </si>
  <si>
    <t>2202062</t>
  </si>
  <si>
    <t xml:space="preserve">Servicio de fomento para el acceso a la educación superior </t>
  </si>
  <si>
    <t xml:space="preserve">Incluye el desarrollo de estrategias diferentes a las de apoyo financiero para  ampliar la cobertura de la educación superior </t>
  </si>
  <si>
    <t>Número de beneficiarios</t>
  </si>
  <si>
    <t>220206200</t>
  </si>
  <si>
    <t>Beneficiarios de estrategias o programas de  fomento para el acceso a la educación superior</t>
  </si>
  <si>
    <t>Calidad y fomento de la educación superior</t>
  </si>
  <si>
    <t>2202065</t>
  </si>
  <si>
    <t xml:space="preserve">Servicio de apoyo financiero para el acceso y permanencia a la educación superior </t>
  </si>
  <si>
    <t xml:space="preserve">Incluye créditos - beca y subsidios en todas sus modalidades  para fortalecer las acciones para el acceso más la permanencia estudiantil en la educación superior </t>
  </si>
  <si>
    <t xml:space="preserve">Beneficiarios de estrategias o programas de  apoyo financiero para el acceso y permanencia en la educación superior  </t>
  </si>
  <si>
    <t>2202</t>
  </si>
  <si>
    <t>2202072</t>
  </si>
  <si>
    <t>Sedes de instituciones de educación superior mejoradas</t>
  </si>
  <si>
    <t>Incluye intervenciones de tipo estructural tales como: reparaciones, remodelaciones, ampliaciones o mantenimientos estéticos de infraestructura educativa de conformidad con los lineamientos técnicos del sector.</t>
  </si>
  <si>
    <t>220207200</t>
  </si>
  <si>
    <t>Sedes  de instituciones de educación  superior mejoradas</t>
  </si>
  <si>
    <t>3 multicampus fortalecidos con estrategias de acceso y permanencia en Educación Superior</t>
  </si>
  <si>
    <t>Uso y apropiación de tecnologías de la información para el acceso, permanencia y la calidad educativa oficial</t>
  </si>
  <si>
    <t>Mide el porcentaje de establecimientos educativos que cuentan con herramientas tecnológicas para la gestión del servicio educativo</t>
  </si>
  <si>
    <t>ANEXO 10 Inventario Tecnológico</t>
  </si>
  <si>
    <t>Incrementar un 20% el porcentaje de establecimientos educativos con herramientas tecnológicas dotadas y apropiadas</t>
  </si>
  <si>
    <t>2301062</t>
  </si>
  <si>
    <t>Servicio de apoyo en tecnologías de la información y las comunicaciones para la educación básica, primaria y secundaria</t>
  </si>
  <si>
    <t>Se presta el servicio a sedes educativas oficiales, bibliotecas y casas de la cultura municipales en cuanto al acceso de la comunidad educativa a terminales de cómputo y a contenidos digitales para la mejora de la calidad de la educación. Incluye el servicio técnico, la garantía y el mantenimiento necesarios para la continuidad del servicio.</t>
  </si>
  <si>
    <t>230106200</t>
  </si>
  <si>
    <t>Estudiantes de sedes educativas oficiales beneficiados con el servicio de apoyo en tecnologías de la información y las comunicaciones para la educación</t>
  </si>
  <si>
    <t>55.000 estudiantes beneficiados del servicio de apoyo  en tecnologías de la información y las comunicaciones para la educación</t>
  </si>
  <si>
    <t xml:space="preserve">Mantener 347 sedes educativas conectadas a internet </t>
  </si>
  <si>
    <t>2201070</t>
  </si>
  <si>
    <t>Ambientes de aprendizaje para la educación inicial preescolar, básica y media dotados</t>
  </si>
  <si>
    <t>Incluye la disposición de material didáctico, pedagógico, tecnológico o de mobiliario en espacios estructurados para el aprendizaje significativo.</t>
  </si>
  <si>
    <t>Número de ambientes de aprendizaje</t>
  </si>
  <si>
    <t>220107000</t>
  </si>
  <si>
    <t>Ambientes de aprendizaje dotados</t>
  </si>
  <si>
    <t>800 nuevos ambientes de aprendizaje dotados con herramientas tecnológicas.</t>
  </si>
  <si>
    <t>SECD</t>
  </si>
  <si>
    <t>Servicio de monitoreo y seguimiento a la gestión del sector educativo</t>
  </si>
  <si>
    <t>2201015</t>
  </si>
  <si>
    <t>Incluye la implementación de mecanismos de monitoreo y  seguimiento en el marco del mejoramiento de la calidad y la equidad educativa de conformidad con los indicadores definidos  en los modelos de desempeño en gestión</t>
  </si>
  <si>
    <t>Número de entidades territoriales</t>
  </si>
  <si>
    <t>220101500</t>
  </si>
  <si>
    <t>Entidades territoriales con seguimiento y evaluación a la gestión</t>
  </si>
  <si>
    <t>Una entidad territorial implementando mecanismos de monitoreo y seguimiento para la gestión educativa</t>
  </si>
  <si>
    <t>Cobertura Neta en educación preescolar</t>
  </si>
  <si>
    <t>Mide la capacidad del sistema educativo para atender a la población en edad escolar según las edades teóricas definidas para cada nivel, sin considerar a los estudiantes matriculados en extraedad.</t>
  </si>
  <si>
    <t>Reporte  del Sistema Integrado  de Matricula - SIMAT Anexo6a 1 de Junio 2023 - MEN</t>
  </si>
  <si>
    <t>Mantener en cobertura neta en educación preescolar a 51,16%</t>
  </si>
  <si>
    <t>Servicio de fomento para el acceso a la educación inicial, preescolar, básica y media.</t>
  </si>
  <si>
    <t>Incluye el desarrollo de estrategias para ampliar la cobertura de la educación inicial, preescolar, básica y media.</t>
  </si>
  <si>
    <t>Porcentaje de población</t>
  </si>
  <si>
    <t xml:space="preserve">Personas beneficiadas con estrategias de fomento para el acceso a la educación inicial, preescolar, básica y media. </t>
  </si>
  <si>
    <t>9.531 niños y niñas atendidos con estrategias de permanencia (gratuidad) por año en su respectiva edad escolar (Nivel Inicial - preescolar)</t>
  </si>
  <si>
    <t>Cobertura Neta en educación Básica Primaria</t>
  </si>
  <si>
    <t>Mantener en  cobertura neta en  educación Básica Primaria a 76,05%</t>
  </si>
  <si>
    <t>Personas beneficiadas con estrategias de fomento para el acceso a la educación inicial, preescolar, básica y media.</t>
  </si>
  <si>
    <t>73.059 niños y niñas atendidos con estrategias de permanencia (gratuidad) por año en su respectiva edad escolar (Nivel Básica Primaria)</t>
  </si>
  <si>
    <t>Cobertura Neta en educación Básica Secundaria</t>
  </si>
  <si>
    <t>Mantener en  la  cobertura neta en educación Básica Secundaria a 57,62%</t>
  </si>
  <si>
    <t>45.228 adolescentes y jóvenes atendidos con estrategias de permanencia (gratuidad) por año en su respectiva edad escolar (Nivel Básica Secundaria)</t>
  </si>
  <si>
    <t>Cobertura Neta en educación Media</t>
  </si>
  <si>
    <t>Mantener en  la cobertura neta en educación Media a 29,33%</t>
  </si>
  <si>
    <t xml:space="preserve"> 11.554 adolescentes y jóvenes atendidos con estrategias de permanencia (gratuidad) por año en su respectiva edad escolar (Nivel Media)</t>
  </si>
  <si>
    <t>Cobertura Bruta Total</t>
  </si>
  <si>
    <t>Este indicador mide la capacidad del sistema educativo para atender a la población en todos los niveles considerando los estudiantes matriculados en extraedad.</t>
  </si>
  <si>
    <t>Mantener la cobertura Bruta total en 90,74%</t>
  </si>
  <si>
    <t>Mantener 61.428 niños, niñas, adolescentes y jóvenes atendidos con estrategias de permanencia (gratuidad) por año sin tener en cuenta su edad por nivel educativo</t>
  </si>
  <si>
    <t>Ordenamiento del territorio alrededor del agua</t>
  </si>
  <si>
    <t>Infraestructura educativa mejorada</t>
  </si>
  <si>
    <t>Contempla los diferentes tipos de intervención por mejoramiento de la infraestructura escolar y de residencias escolares existente en las categorías de: 1. Mejoramiento: Corresponden a intervenciones de obras menores o de mejoramiento de elementos constructivos, para el mejoramiento de las condiciones de uso y operación de la infraestructura frente a condiciones de riesgo o mantenimiento. 2.Reforzamiento: Corresponde a las obras de rehabilitación de sistemas portantes, estructurales y demás elementos constructivos según la NSR 10. 3. Restauración: Hace referencia a la rehabilitación de elementos de carácter patrimonial, cultural o de conservación arquitectónica. 4. Ampliación o nuevas etapas: Corresponde a la ejecución de obras nuevas de ampliación o de nuevas etapas dentro de sedes existentes para complementar y MEJORAR las condiciones de operatividad de la infraestructura existente. Aquí se podrían llegar a generar nuevos cupos. 5 Restitución o reubicación parcial en la sede existente: Se refiere a las obras de restitución de ambientes existentes que ya no son aptos o seguros para su uso, dentro de una institución educativa existente. 6. Obras de Emergencia: Corresponde a las obras de  mejoramientos derivadas de situaciones de emergencia o riesgo en la institución educativa. Con éstas intervenciones de mejoramiento de los ambientes pedagógicos básicos y complementarios definidos en la NTC 4595,  cuyo objetivo sea el de mejorar las condiciones de prestación del servicio educativo de la población matriculada.</t>
  </si>
  <si>
    <t xml:space="preserve">Sedes educativas mejoradas </t>
  </si>
  <si>
    <t>Estudios de pre inversión</t>
  </si>
  <si>
    <t>Número de estudios de preinversión</t>
  </si>
  <si>
    <t>Estudios de preinversión realizados</t>
  </si>
  <si>
    <t>Incluye la realización de todo tipo de campañas informativas que busquen socializar lineamientos de la política educativa en todos los temas que esta contempla.</t>
  </si>
  <si>
    <t>Número de procesos de socialización</t>
  </si>
  <si>
    <t xml:space="preserve">Procesos de socialización de lineamientos, política y normativa para la educación inicial, preescolar, básica y media realizados </t>
  </si>
  <si>
    <t xml:space="preserve">24 campañas informativas del sector educativo, socializadas y divulgadas mediante estrategias de comunicación
</t>
  </si>
  <si>
    <t>2201069</t>
  </si>
  <si>
    <t>Infraestructura educativa dotada</t>
  </si>
  <si>
    <t>Incluye la dotación básica escolar de mobiliario, material didáctico – pedagógico, implementos básicos para funcionamiento. (Manejo de Residuos del Establecimiento Educativo, Menaje y Equipos de Cocina, Enfermería, Equipos de Manejo de Emergencias y Equipo Básico de Mantenimiento.) y dispositivos electrónicos en el marco de los lineamientos establecidos por el Ministerio de Educación Nacional.</t>
  </si>
  <si>
    <t>220106900</t>
  </si>
  <si>
    <t>Sedes dotadas</t>
  </si>
  <si>
    <t xml:space="preserve">1200 sedes dotadas con ambientes de aprendizaje para la educación inicial preescolar, básica y media  con enfoque diferencial en armonía con los sistemas etnoeducativos y culturales propios 
</t>
  </si>
  <si>
    <t>2201049</t>
  </si>
  <si>
    <t>Servicio de educación informal</t>
  </si>
  <si>
    <t>Corresponde a la oferta educativa informal como talleres, foros, capacitaciones presenciales o virtuales dirigida a los miembros de la comunidad educativa que tienen como objetivo brindar oportunidades para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</si>
  <si>
    <t>Número de personas</t>
  </si>
  <si>
    <t>Personas beneficiadas con procesos de formación informal</t>
  </si>
  <si>
    <t>Tasa de deserción escolar intra-anual en los niveles de preescolar, básica y media</t>
  </si>
  <si>
    <t>Mide el porcentaje de estudiantes que desertan en el sector educativo</t>
  </si>
  <si>
    <t>Reporte enviado por el MEN con cruce población CENSO dane 2018</t>
  </si>
  <si>
    <t xml:space="preserve">Reducir en 600 estudiantes la tasa de deserción en los establecimientos educativos oficiales
</t>
  </si>
  <si>
    <t>Reporte enviado por el MEN con cruce población CENSO dane 2019</t>
  </si>
  <si>
    <t>Servicio de apoyo para la implementación de la estrategia de residencia escolar</t>
  </si>
  <si>
    <t>Incluye las canastas educativas básicas así como la implementación de modelos educativos pertinentes para la estrategia de residencia escolar que en el marco de los mandatos y preceptos constitucionales y legales sean competencia de las entidades nacional y territoriales certificadas.</t>
  </si>
  <si>
    <t>Sedes educativas apoyadas en la implementación de la estrategia de residencia escolar</t>
  </si>
  <si>
    <t>22  sedes educativos oficiales beneficiadas con la estrategia de residencia escolar</t>
  </si>
  <si>
    <t>Reporte enviado por el MEN con cruce población CENSO dane 2020</t>
  </si>
  <si>
    <t>Reducir a 4% la tasa de deserción intra-anual escolar en los niveles de preescolar, básica y media</t>
  </si>
  <si>
    <t>Servicio de gestión de riesgos y desastres en establecimientos educativos</t>
  </si>
  <si>
    <t>Corresponde a las acciones necesarias para la prevención y atención de riesgos y desastres naturales en el marco de los Planes Escolares para la Gestión del Riesgo. Incluye los sistemas de alerta, planes de evacuación, medidas de protección, brigadas, dotación de equipos y materiales, como elementos complementarios.</t>
  </si>
  <si>
    <t>Número de Establecimientos educativos oficiales</t>
  </si>
  <si>
    <t>Establecimientos educativos con acciones de gestión del riesgo implementadas</t>
  </si>
  <si>
    <t>Servicio de apoyo para la implementación de la estrategia educativa del sistema de responsabilidad penal para adolescentes</t>
  </si>
  <si>
    <t>Incluye el acompañamiento en la formulación de la estrategia pedagógica multigradual pertinente para los jóvenes del sistema de responsabilidad penal para adolescentes -SRPA y con procesos de formación a docentes, directivos docentes y funcionarios de secretarías de educación en atención pertinente a población en el Sistema de Responsabilidad Penal.</t>
  </si>
  <si>
    <t>Número de entidades</t>
  </si>
  <si>
    <t>Entidades Territoriales certificadas con asistencia técnica para el fortalecimiento de la estrategia educativa del sistema de responsabilidad penal para adolescentes</t>
  </si>
  <si>
    <t>LE2</t>
  </si>
  <si>
    <t>Servicio de apoyo financiero a entidades territoriales para la ejecución de estrategias de permanencia con alimentación escolar</t>
  </si>
  <si>
    <t>Estudiantes beneficiados del programa de alimentación escolar</t>
  </si>
  <si>
    <t xml:space="preserve">162.635 niñas, niños, adolescentes y jóvenes de los establecimientos educativos oficiales  atendidos bajo la estrategia de Alimentación Escolar </t>
  </si>
  <si>
    <t>Tasa de repitencia escolar en los niveles de preescolar, básica y media</t>
  </si>
  <si>
    <t>Mide el porcentaje de estudiantes que repiten el año escolar en el sector educativo.</t>
  </si>
  <si>
    <t>Reporte del Sistema Integrado  de Matricula - SIMAT  diciembre 5 2023 matriculados vs reprobados - MEN</t>
  </si>
  <si>
    <t>Reducir la Tasa de repitencia escolar a 6 % en los niveles de preescolar, básica y media</t>
  </si>
  <si>
    <t>Servicio de asistencia técnica</t>
  </si>
  <si>
    <t>Corresponde al acompañamiento, asesoría y seguimiento técnico para la transferencia de herramientas de gestión y conocimiento a entidades nacionales y territoriales, o a grupos de valor, en procedimientos y trámites institucionales de competencia de la entidad.</t>
  </si>
  <si>
    <t>Número de asistencias técnicas</t>
  </si>
  <si>
    <t>Asistencias Técnicas Realizadas</t>
  </si>
  <si>
    <t>500 Establecimientos Educativos oficiales con asistencia técnica en el marco de las estrategias de cobertura y calidad educativa</t>
  </si>
  <si>
    <t>Tasa de analfabetismo para población de 15 años y más</t>
  </si>
  <si>
    <t>Este indicador mide la tasa de analfabetismo en el Departamento</t>
  </si>
  <si>
    <t>DANE GEIH 2010 A 2020</t>
  </si>
  <si>
    <t>Disminuir a 5,33% la tasa de analfabetismo para población de 15 años y más</t>
  </si>
  <si>
    <t>2201030</t>
  </si>
  <si>
    <t>Servicio educación formal por modelos educativos flexibles</t>
  </si>
  <si>
    <t>Incluye la puesta en marcha de  propuestas de educación formal que permiten atender a poblaciones diversas o en condiciones de vulnerabilidad, que presentan dificultades para participar en la oferta educativa tradicional.</t>
  </si>
  <si>
    <t xml:space="preserve">Personas beneficiarias con modelos de alfabetización </t>
  </si>
  <si>
    <t>Promedio de años de educación de las personas de 15 años o mas</t>
  </si>
  <si>
    <t>Encuesta Nacional de Calidad de vida - DANE</t>
  </si>
  <si>
    <t>2201032</t>
  </si>
  <si>
    <t>Servicio de alfabetización</t>
  </si>
  <si>
    <t>Beneficiarios atendidos con modelos educativos flexibles</t>
  </si>
  <si>
    <t>Tasa de atención de la población víctimas del conflicto armado en los niveles de preescolar, básica y media</t>
  </si>
  <si>
    <t>Este indicador mide la atención a la población atendida en los establecimientos educativos oficiales cruzada entre el RUV y el SIMAT</t>
  </si>
  <si>
    <t>Cobertura en formación artística, cultural y de nuevos saberes</t>
  </si>
  <si>
    <t>Mide el porcentaje de personas que participan en procesos de formación artística, cultural y de nuevos saberes.</t>
  </si>
  <si>
    <t xml:space="preserve">Oficina de Cultura Departamental 
</t>
  </si>
  <si>
    <t>Lograr a 100% la cobertura en formación artística, cultural y nuevos saberes</t>
  </si>
  <si>
    <t xml:space="preserve">Porcentaje </t>
  </si>
  <si>
    <t>Cultura</t>
  </si>
  <si>
    <t>Promoción y acceso efectivo a procesos culturales y artísticos</t>
  </si>
  <si>
    <t>Servicio de apoyo al proceso de formación artística y cultural</t>
  </si>
  <si>
    <t xml:space="preserve">Este servicio está orientado apoyar el proceso de formación artística y cultural a través del equipamiento de instrumentos y elementos propios de cada área (música, teatro, danzas y/o artes plásticas y visuales). </t>
  </si>
  <si>
    <t>Número de procesos de formación</t>
  </si>
  <si>
    <t>Procesos de formación atendidos</t>
  </si>
  <si>
    <t>8. Trabajo decente y crecimiento económico</t>
  </si>
  <si>
    <t>LE4</t>
  </si>
  <si>
    <t>Juntanza para proteger la vida</t>
  </si>
  <si>
    <t>Servicio de apoyo para la organización y la participación del sector artístico, cultural y la ciudadanía</t>
  </si>
  <si>
    <t>Generar los mecanismos para la participación de los agentes culturales, artísticos y la ciudadanía en las instancias de participación en cultura (Encuentros Sectoriales, Consejos de Áreas Artísticas y Consejos Nacionales de Cultura) para que hagan parte de los procesos de orientación, construcción y evaluación de políticas y organización sectorial.</t>
  </si>
  <si>
    <t>Número de encuentros</t>
  </si>
  <si>
    <t>330107400</t>
  </si>
  <si>
    <t>Encuentros realizados</t>
  </si>
  <si>
    <t>49 Encuentros de los Consejos culturales y artísticos para la  actualización e implementación de los procesos de orientación, construcción y evaluación de políticas y organización sectorial.</t>
  </si>
  <si>
    <t>Servicio de asistencia técnica en asuntos de gestión de bibliotecas públicas y lectura.</t>
  </si>
  <si>
    <t>Asistencias técnicas a bibliotecarios, administraciones locales, entidades públicas y privadas entre otros, en el campo de las bibliotecas públicas y la lectura.</t>
  </si>
  <si>
    <t>330106500</t>
  </si>
  <si>
    <t>Personas asistidas técnicamente</t>
  </si>
  <si>
    <t>40  bibliotecarios públicos y/o personal encargado de las bibliotecas asistidos técnicamente para la gestión integral de bibliotecas públicas y la lectura</t>
  </si>
  <si>
    <t>3301073</t>
  </si>
  <si>
    <t>Servicio de circulación artística y cultural</t>
  </si>
  <si>
    <t>Corresponde a la generación de condiciones para la creación, gestión, producción, difusión, circulación y apropiación de las prácticas artísticas y contenidos culturales mediáticos. Incluye la creación de obras, coproducciones y la producción y circulación de exhibiciones, de los agentes del sector artístico y cultural, así como la circulación de contenidos culturales mediáticos apoyados por el Ministerio de Cultura.</t>
  </si>
  <si>
    <t>Número de contenidos culturales</t>
  </si>
  <si>
    <t>330107300</t>
  </si>
  <si>
    <t>Contenidos culturales  en circulación</t>
  </si>
  <si>
    <t xml:space="preserve"> 9 contenidos artísticos y culturales producidos y en circulación de artistas, gestores y creadores culturales.</t>
  </si>
  <si>
    <t>3301053</t>
  </si>
  <si>
    <t>Servicio de promoción de actividades culturales</t>
  </si>
  <si>
    <t>Corresponde a la organización y desarrollo de  actividades culturales de carácter patrimonial, literario, artístico, musical, entre otros. También la realización de eventos y actividades con libreros y organizaciones responsables de ferias. Así como actividades culturales para el goce de los ciudadanos.</t>
  </si>
  <si>
    <t>Número de eventos de promoción</t>
  </si>
  <si>
    <t>330105300</t>
  </si>
  <si>
    <t>Eventos de promoción de actividades culturales realizados</t>
  </si>
  <si>
    <t xml:space="preserve">32 Eventos de promoción de actividades culturales realizados </t>
  </si>
  <si>
    <t>Cauca Productivo y sostenible</t>
  </si>
  <si>
    <t>Cobertura en formación en tradiciones, artes y oficios</t>
  </si>
  <si>
    <t>3301051</t>
  </si>
  <si>
    <t>Servicio de educación informal al sector artístico y cultural</t>
  </si>
  <si>
    <t>Son las capacitaciones para fortalecer las competencias y la calidad de los conocimientos de creadores de contenidos culturales mediáticos, de gestores y agentes culturales, de bibliotecarios, de músicos, de agentes que trabajan con la primera infancia, agentes del campo literario y el libro y agentes del campo de artes visuales y plásticas. 
La educación informal hace referencia a la adquisición del aprendizaje y todo tipo de conocimiento libre y espontáneo, proveniente de personas, entidades, medios masivos de comunicación, medios impresos, tradiciones, costumbres, comportamientos sociales y otros no estructurados. Incluye charlas, talleres, cursos no certificados.</t>
  </si>
  <si>
    <t>330105100</t>
  </si>
  <si>
    <t>Personas capacitadas</t>
  </si>
  <si>
    <t>3301099</t>
  </si>
  <si>
    <t>Servicio de información para el sector artístico y cultural</t>
  </si>
  <si>
    <t>Estructuración de sistemas de información del sector cultural; incluye los sistemas para captura de información para el sector artístico y cultural.</t>
  </si>
  <si>
    <t>Número de sistemas de información</t>
  </si>
  <si>
    <t>Sistema de información del sector artístico y cultural en operación</t>
  </si>
  <si>
    <t>1 Sistema de información para el sector artístico y cultural  actualizado</t>
  </si>
  <si>
    <t>Sostenibilidad del Patrimonio</t>
  </si>
  <si>
    <t>Ministerio de cultura</t>
  </si>
  <si>
    <t>Sostener el 91,67% la ejecución de los recursos asignados en favor de la sostenibilidad del patrimonio cultural</t>
  </si>
  <si>
    <t>3302</t>
  </si>
  <si>
    <t>Gestión, protección y salvaguardia del patrimonio cultural colombiano</t>
  </si>
  <si>
    <t>3302049</t>
  </si>
  <si>
    <t>Servicio de salvaguardia al patrimonio inmaterial</t>
  </si>
  <si>
    <t>Hace referencia a las estrategias orientadas a promover medidas efectivas para garantizar la viabilidad del patrimonio cultural inmaterial, comprendidas la identificación, documentación, investigación, recuperación, preservación, protección, promoción, valoración, transmisión y revitalización integral del mismo</t>
  </si>
  <si>
    <t xml:space="preserve">Número de procesos de salvaguardia efectiva del patrimonio inmaterial </t>
  </si>
  <si>
    <t>Procesos de salvaguardia efectiva del patrimonio inmaterial realizados</t>
  </si>
  <si>
    <t>Competitividad para el crecimiento económico y el desarrollo social</t>
  </si>
  <si>
    <t>Unidades productivas de la agroindustria, minería, turismo y cultura o personas de la economía popular formalizadas</t>
  </si>
  <si>
    <t>El indicador mide las unidades productivas que logran efectivamente su formalización ante la autoridad competente</t>
  </si>
  <si>
    <t>Cámara de comercio del Cauca</t>
  </si>
  <si>
    <t>Secretaría de Desarrollo Económico y competitividad</t>
  </si>
  <si>
    <t>Comercio, Industria y Turismo</t>
  </si>
  <si>
    <t>Productividad y competitividad de las empresas colombianas</t>
  </si>
  <si>
    <t>3502004</t>
  </si>
  <si>
    <t>Servicio de apoyo financiero para el mejoramiento de productos o procesos</t>
  </si>
  <si>
    <t>Con este servicio se busca financiar iniciativas de mejoramiento en la calidad de los productos y Servicio, así como en el mejoramiento de procesos productivos de las empresas nacionales.</t>
  </si>
  <si>
    <t>Número de empresas</t>
  </si>
  <si>
    <t>350200400</t>
  </si>
  <si>
    <t>Empresas beneficiadas</t>
  </si>
  <si>
    <t xml:space="preserve">4 Empresas culturales con asistencia técnica para emprendedores y/o empresas en edad temprana </t>
  </si>
  <si>
    <t>LE5</t>
  </si>
  <si>
    <t>Servicio de asistencia técnica y acompañamiento productivo y empresarial</t>
  </si>
  <si>
    <t>Incluye la identificación del estado de los procesos productivos y definición de planes de mejora para el fomento al desarrollo empresarial con el fin de mejorar procesos de producción, trasformación, administración financiera, mercadeo y distribución, así como procesos organizativos, certificaciones, apertura de mercados, sostenibilidad y recuperación empresarial, dirigidos a personas naturales y/o jurídicas.</t>
  </si>
  <si>
    <t>Personas beneficiadas</t>
  </si>
  <si>
    <t xml:space="preserve">320 artistas, cultores, creadores y/o gestores culturales capacitados en procesos productivos y empresariales </t>
  </si>
  <si>
    <t>Afiliados al SGSSS</t>
  </si>
  <si>
    <t xml:space="preserve">Mide el porcentaje de población que esta cubierto por el Sistema de Seguridad social en salud </t>
  </si>
  <si>
    <t>88.59%</t>
  </si>
  <si>
    <t>Ministerio de Salud y Protección Social</t>
  </si>
  <si>
    <t>Lleva a 90% el porcentaje de población afiliada al Sistema de Seguridad Social en Salud</t>
  </si>
  <si>
    <t>Secretaría de Salud</t>
  </si>
  <si>
    <t>Salud y protección social</t>
  </si>
  <si>
    <t>1906</t>
  </si>
  <si>
    <t>Aseguramiento y prestación integral de servicios de salud</t>
  </si>
  <si>
    <t>1906044</t>
  </si>
  <si>
    <t>Servicio de afiliaciones al régimen subsidiado del Sistema General de Seguridad Social</t>
  </si>
  <si>
    <t xml:space="preserve">Este servicio permite a las entidades territoriales realizar la afiliación de la población al régimen subsidiado conforme a las condiciones del Sistema General de Seguridad Social; incluye el registro, reporte, sistematización y seguimiento de afiliados en los sistemas de información correspondientes. </t>
  </si>
  <si>
    <t>190604400</t>
  </si>
  <si>
    <t>Personas afiliadas al régimen subsidiado</t>
  </si>
  <si>
    <t>9100 nuevas personas afiliadas al régimen subsidiado</t>
  </si>
  <si>
    <t>3. Salud y bienestar</t>
  </si>
  <si>
    <t>Cobertura de vacunación de biológicos trazadores</t>
  </si>
  <si>
    <t>Mide la proporción de la población alcanzada en vacunación de bilógicos trazadores.</t>
  </si>
  <si>
    <t>Vacunación en menores de 1 año: 
BCG: 64,5%
 triple viral: 91,2%
Pentavalente: 87,2% 
SRP: 91,2%
Vacunación en niñas y niños 5 años:
DPT: 88,6%</t>
  </si>
  <si>
    <t>Lograr coberturas útiles de
vacunación (95% -biológicos trazadores).
Vacunación en menores de 1 año: BCG, triple viral 1 dosis,  Pentavalente 3 dosis, SRP, 
Vacunación en niñas y niños 5 años: segundo refuerzo DPT</t>
  </si>
  <si>
    <t>1905</t>
  </si>
  <si>
    <t>Salud Pública</t>
  </si>
  <si>
    <t>1905027</t>
  </si>
  <si>
    <t>Servicio de gestión del riesgo para enfermedades inmunoprevenibles</t>
  </si>
  <si>
    <t>Corresponde a las acciones relacionadas con intervenciones sectoriales y comunitarias para la prevención, control, mitigación y minimización de los riesgos que propician la aparición de las enfermedades prevenibles por vacunas y sus consecuentes efectos negativos en la población. Incluye el plan ampliado de inmunizaciones.</t>
  </si>
  <si>
    <t>Número de campañas</t>
  </si>
  <si>
    <t>190502700</t>
  </si>
  <si>
    <t>Campañas de gestión del riesgo para enfermedades inmunoprevenibles  implementadas</t>
  </si>
  <si>
    <t>16 campañas de salud en  municipios con bajas coberturas en vacunación</t>
  </si>
  <si>
    <t>Razón de Mortalidad Materna por 100.000 nacidos vivos</t>
  </si>
  <si>
    <t>Mide el número de muertes maternas tempranas y directas por cada 100.000 nacidos vivos</t>
  </si>
  <si>
    <t>Contener la Razón de Mortalidad Materna en 54,6 por 100,000 nacidos vivos*
*Información preliminar año 2022</t>
  </si>
  <si>
    <t xml:space="preserve">porcentaje </t>
  </si>
  <si>
    <t>1905054</t>
  </si>
  <si>
    <t>Servicio de promoción de la salud</t>
  </si>
  <si>
    <t>Corresponde a las estrategias, acciones, procedimientos e intervenciones integrales que permite a las personas incrementar el control sobre su salud. El servicio de promoción en salud pública incluye la formulación de política pública,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entre otros.</t>
  </si>
  <si>
    <t>Número de estrategias</t>
  </si>
  <si>
    <t xml:space="preserve">Implementar una estrategia departamental para la reducción de la mortalidad materna </t>
  </si>
  <si>
    <t>Tasa  de Mortalidad Infantil en menores de 5 años  (bruta)</t>
  </si>
  <si>
    <t>Mide el número de defunciones por causas evitables en niños menores de 5 años por cada 1000 nacidos vivos</t>
  </si>
  <si>
    <t>Departamento Administrativo Nacional de Estadística - DANE, Estadísticas Vitales. Defunciones No fetales 2021                                              SIVIGILA - Departamento del Cauca</t>
  </si>
  <si>
    <t>Mantener por debajo de  14  la tasa de mortalidad en menores de 5 años por cada 1.000 nacidos vivos</t>
  </si>
  <si>
    <t>190505400</t>
  </si>
  <si>
    <t>Estrategias de promoción de la salud implementadas</t>
  </si>
  <si>
    <t>1905050</t>
  </si>
  <si>
    <t>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t>
  </si>
  <si>
    <t>190505000</t>
  </si>
  <si>
    <t>Asistencias técnicas realizadas</t>
  </si>
  <si>
    <t xml:space="preserve"> 42 municipios implantando acciones  que promuevan la atención integral  en salud a niños, niñas y adolescentes en articulación con EPS, Secretarías de Salud Municipal, Empresas Sociales del Estado, instituciones prestadoras de servicios de salud </t>
  </si>
  <si>
    <t>Tasa de mortalidad asociada a desnutrición aguda en menores de 5 años</t>
  </si>
  <si>
    <t>SIVIGILA</t>
  </si>
  <si>
    <t xml:space="preserve">Mantener  la tasa de mortalidad asociada a desnutrición aguda en menores de 5 años ven 0 </t>
  </si>
  <si>
    <t>190505404</t>
  </si>
  <si>
    <t>Tasa de mortalidad de suicidio</t>
  </si>
  <si>
    <t>Mide  el número  de muertes ocurridas por lesiones autoinfligidas intencionalmente: suicidios por cada 100.000 habitantes</t>
  </si>
  <si>
    <t>RUAF Registro Único de Afiliados - Defunciones</t>
  </si>
  <si>
    <t>Mantener la tasa de mortalidad de suicidio por debajo de 6,4</t>
  </si>
  <si>
    <t>Estrategias de promoción de la salud en temas de salud mental y convivencia social pacifica implementadas</t>
  </si>
  <si>
    <t>Implementar 1 estrategia de rehabilitación psicosocial comunitaria para la convivencia con enfoque de género</t>
  </si>
  <si>
    <t xml:space="preserve">Tasa  por cien mil habitantes de mortalidad prematura por Enfermedades crónicas no transmisibles - ECNT  (Hipertensión arterial, diabetes, Enfermedad renal crónica) </t>
  </si>
  <si>
    <t>Mide la tasa de mortalidad prematura por Enfermedades Crónicas no Transmisibles - ECNT: Hipertensión arterial, diabetes y  enfermedad renal crónica) por 100.000 habitantes de 30 a 70 años</t>
  </si>
  <si>
    <t>Sistema de información de cuenta de alto costo -HIGIA - Ministerio de Salud y Protección Social.
DANE</t>
  </si>
  <si>
    <t xml:space="preserve">Contener por debajo de 700 por cada 100.000 habitantes la mortalidad por ECNT (Hipertensión arterial, diabetes, enfermedad renal crónica) </t>
  </si>
  <si>
    <t>190505405</t>
  </si>
  <si>
    <t>Estrategias de promoción de la salud en condiciones crónicas prevalentes implementadas</t>
  </si>
  <si>
    <t>190505408</t>
  </si>
  <si>
    <t>Estrategias de promoción de la salud en situaciones prevalentes de origen laboral implementadas</t>
  </si>
  <si>
    <t>Tasa de mortalidad por rabia humana</t>
  </si>
  <si>
    <t xml:space="preserve">Mide el número de defunciones por rabia humana por cada 100.000 habitantes </t>
  </si>
  <si>
    <t>SISPRO - Ministerio de Salud y Protección Social - MSPS</t>
  </si>
  <si>
    <t xml:space="preserve">Mantener en cero (0) los casos  de mortalidad por rabia humana en todo el departamento </t>
  </si>
  <si>
    <t>1903</t>
  </si>
  <si>
    <t>Inspección, vigilancia y control</t>
  </si>
  <si>
    <t>41 municipios vinculados a una estrategia para lograr  coberturas útiles de vacunación canina y felina</t>
  </si>
  <si>
    <t>1905043</t>
  </si>
  <si>
    <t>Servicio de gestión del riesgo para abordar situaciones situaciones endemo-epidémicas</t>
  </si>
  <si>
    <t>41 Municipios con seguimiento a los Animales Potencialmente Transmisores del virus de la Rabia - APTR observables</t>
  </si>
  <si>
    <t>Tasa de mortalidad por cáncer de estomago</t>
  </si>
  <si>
    <t>Mide el número total de defunciones por neoplasias malignas del estómago en relación con la población total  expresada por 100.000 habitantes</t>
  </si>
  <si>
    <t>CAC  HIGIA</t>
  </si>
  <si>
    <t>Contener la tasa de mortalidad asociada al cáncer en 7,15%</t>
  </si>
  <si>
    <t>Tasa de mortalidad en emergencias y salud - CRUE</t>
  </si>
  <si>
    <t xml:space="preserve">Mide el número de personas fallecidas en emergencias en salud en el CRUE por cada 100.000 habitantes </t>
  </si>
  <si>
    <t xml:space="preserve">Centro Regulador de Urgencias y Emergencias
- CRUE
DANE  </t>
  </si>
  <si>
    <t>Reducir a 27 la tasa de mortalidad en emergencias en salud</t>
  </si>
  <si>
    <t>1906029</t>
  </si>
  <si>
    <t>Servicio de asistencia técnica a Instituciones Prestadoras de Servicios de Salud</t>
  </si>
  <si>
    <t>Acciones orientadas al desarrollo de capacidades en las Instituciones Prestadoras de Servicios de salud, para contribuir al logro de resultados en salud, mediante asesoría, acompañamiento y capacitación.</t>
  </si>
  <si>
    <t>Número de instituciones</t>
  </si>
  <si>
    <t>190602900</t>
  </si>
  <si>
    <t>Instituciones Prestadoras de Servicios de Salud asistidas técnicamente</t>
  </si>
  <si>
    <t>42 Primeros respondientes de los  municipios capacitados en primeros auxilios psicológicos ante emergencias y desastres y cuidados de la salud mental con enfoque diferencial</t>
  </si>
  <si>
    <t>1905008</t>
  </si>
  <si>
    <t>Centros reguladores de urgencias, emergencias y desastres construidos y dotados</t>
  </si>
  <si>
    <t>Infraestructura construida y dotada para la atención de eventos en salud pública ante situaciones de emergencias y desastres. Cuenta con central de comunicaciones, sala situacional, oficina de coordinación, centro de reserva (para almacenamiento de insumos y elementos de reserva para la red de prestadores de servicios de salud), así como los elementos de dotación de telecomunicaciones, equipos de computo, planta de energía autónoma y mobiliario</t>
  </si>
  <si>
    <t>Número de centros</t>
  </si>
  <si>
    <t>190500800</t>
  </si>
  <si>
    <t>1 Centro Regulador de urgencias, emergencias y desastres construido y dotado</t>
  </si>
  <si>
    <t>1905030</t>
  </si>
  <si>
    <t>Servicio de atención en salud pública en situaciones de emergencias y desastres</t>
  </si>
  <si>
    <t>Acciones de respuesta en salud ante situaciones de emergencias o desastres, dirigidas a gestionar la atención de las contingencias que puedan afectar la salud de la población y mitigar los efectos negativos a la salud humana.</t>
  </si>
  <si>
    <t>190503000</t>
  </si>
  <si>
    <t>Personas en capacidad de ser atendidas</t>
  </si>
  <si>
    <t>336 personas capacitadas para la atención de emergencias y desastres</t>
  </si>
  <si>
    <t>Éxito terapéutico en pacientes con Tuberculosis</t>
  </si>
  <si>
    <t>Mide el porcentaje de casos de tuberculosis curados y con tratamiento terminado</t>
  </si>
  <si>
    <t xml:space="preserve">Base de datos del Programa  Departamental de Tuberculosis - Secretaría de Salud  </t>
  </si>
  <si>
    <t>Lograr un éxito terapéutico del 90% de los casos diagnosticados con Tuberculosis</t>
  </si>
  <si>
    <t>1905026</t>
  </si>
  <si>
    <t>Servicio de gestión del riesgo para enfermedades emergentes, reemergentes y desatendidas</t>
  </si>
  <si>
    <t xml:space="preserve">Corresponde a las acciones relacionadas con la prevención, control y eliminación de las enfermedades infecciosas emergentes, re-emergentes (enfermedades transmitidas por alimentos, infecciones asociadas a la atención de la salud, resistencia a los antimicrobianos, tuberculosis, lepra o enfermedad de Hansen, infección respiratoria aguda, enfermedad diarreica aguda) y desatendidas (tracoma, geohelmintiasis, oncocercosis, pian, complejo cisticercosis / teniasis y enfermedades parasitarias de la piel). </t>
  </si>
  <si>
    <t>190502602</t>
  </si>
  <si>
    <t>Estrategias de gestión del riesgo para enfermedades emergentes, reemergentes y desatendidas implementadas</t>
  </si>
  <si>
    <t>Incidencia por 10.000 habitantes de lepra o enfermedad de Hansen</t>
  </si>
  <si>
    <t>Mide el porcentaje de casos de Prevalencia de lepra</t>
  </si>
  <si>
    <t>SIVIGILA - Departamento del Cauca
DANE</t>
  </si>
  <si>
    <t>Mantener en 0,06 casos de incidencia de lepra</t>
  </si>
  <si>
    <t>Mide el número de nuevos casos notificados por dengue</t>
  </si>
  <si>
    <t>Instituto Nacional de Salud (07/02/2024)</t>
  </si>
  <si>
    <t>Disminuir a 138 la tasa de incidencia por dengue (por 100.000 habitantes)</t>
  </si>
  <si>
    <t>Incidencia por Dengue</t>
  </si>
  <si>
    <t>Instituto Nacional de Salud</t>
  </si>
  <si>
    <t xml:space="preserve">Corresponde a la gestión integral de riesgos que propician la aparición de eventos que se caracterizan por presentar endemias focalizadas, escenarios variables de transmisión y patrones con comportamientos seculares, temporales, estacionales y cíclicos en poblaciones de riesgo. Incluye la reducción de la carga de las Enfermedades Transmitidas por Vectores - ETV (Malaria, Dengue, Leishmaniasis, Enfermedad de Chagas), enfermedades transmitidas por animales vertebrados (Encefalitis, Rabia, Leptospirosis, Brucelosis, Toxoplasmosis y otras). </t>
  </si>
  <si>
    <t>Campañas de gestión del riesgo para abordar situaciones  endemo-epidémicas implementadas</t>
  </si>
  <si>
    <t>Incidencia por Malaria</t>
  </si>
  <si>
    <t>Mide el número de nuevos casos notificados por malaria</t>
  </si>
  <si>
    <t>Disminuir a  168 la tasa de incidencia por malaria (por 100.000 habitantes)</t>
  </si>
  <si>
    <t>190505411</t>
  </si>
  <si>
    <t>Estrategias de promoción de la salud para abordar situaciones endemo-epidémicas implementadas</t>
  </si>
  <si>
    <t>Servicio de gestión del riesgo para abordar situaciones  endemo-epidémicas</t>
  </si>
  <si>
    <t>190504302</t>
  </si>
  <si>
    <t>Estrategias de gestión del riesgo para abordar situaciones endemo-epidémicas implementadas</t>
  </si>
  <si>
    <t>Buen Gobierno y Gestión Institucional</t>
  </si>
  <si>
    <t xml:space="preserve">Transformación de  la administración Publica </t>
  </si>
  <si>
    <t>Mide la capacidad de la entidad territorial para fortalecer sus mecanismos de gestión y dirección hacia el mejoramiento de la calidad de vida de la ciudadanía.</t>
  </si>
  <si>
    <t>Resultados de la medición del desempeño institucional Función Pública-FURAG</t>
  </si>
  <si>
    <t>Elevar a 84 el puntaje del índice de desempeño institucional</t>
  </si>
  <si>
    <t>Secretaría General</t>
  </si>
  <si>
    <t>1905046</t>
  </si>
  <si>
    <t>Infraestructura de laboratorios de salud pública construida y dotada</t>
  </si>
  <si>
    <t xml:space="preserve">Hace referencia a la infraestructura de laboratorios construidos acorde al programa arquitectónico y de especificaciones técnicas requerida y infraestructura de laboratorios dotada de acuerdo al equipamiento, elementos y mobiliario requerido. </t>
  </si>
  <si>
    <t>Número de laboratorios</t>
  </si>
  <si>
    <t>Laboratorios dotados</t>
  </si>
  <si>
    <t>1 Laboratorio de salud publica dotado bajo los lineamientos de la resolución 1619 de 2015 y la ISO 17025 de 2017</t>
  </si>
  <si>
    <t>1905048</t>
  </si>
  <si>
    <t>Infraestructura de laboratorios de salud pública mantenida</t>
  </si>
  <si>
    <t>Corresponde a la infraestructura de laboratorios sobre el cual se realizan obras, operaciones y cuidados necesarios para su conservación en buen estado o en una situación determinada para evitar su degradación. Cuando es adelantado con recursos de inversión debe asegurarse de cumplir con las condiciones de una operación de inversión pública, es decir, debe orientarse a crear, ampliar o mantener la capacidad de producción del Estado, y contar claramente con actividades limitadas en el tiempo.</t>
  </si>
  <si>
    <t>190504800</t>
  </si>
  <si>
    <t>Laboratorios mantenidos</t>
  </si>
  <si>
    <t>1 Laboratorio  de salud publica existente con mantenimiento bajo los lineamientos de la resolución 1619 de 2015 y la ISO 17025 de 2017</t>
  </si>
  <si>
    <t>1903012</t>
  </si>
  <si>
    <t>Servicio de análisis de laboratorio</t>
  </si>
  <si>
    <t>El servicio de análisis de laboratorio es el servicio  prestado por los laboratorios, los cuales deben estar avalados para prestar el servicio.</t>
  </si>
  <si>
    <t>Número de análisis</t>
  </si>
  <si>
    <t>190301200</t>
  </si>
  <si>
    <t>Análisis realizados</t>
  </si>
  <si>
    <t>1600 muestras de eventos de interés en salud publica analizadas</t>
  </si>
  <si>
    <t>1903023</t>
  </si>
  <si>
    <t>Servicio de asistencia técnica en inspección, vigilancia y control</t>
  </si>
  <si>
    <t>Este servicio permite ofrecer la asistencias técnica en Inspección, Vigilancia y Control</t>
  </si>
  <si>
    <t>190302300</t>
  </si>
  <si>
    <t>asistencias técnica en Inspección, Vigilancia y Control realizadas</t>
  </si>
  <si>
    <t>300 asistencias técnicas realizadas a la Red departamental de Laboratorios</t>
  </si>
  <si>
    <t>1600 asistencias técnicas realizadas a la totalidad de municipios del departamento para el adecuado funcionamiento del sistema de Vigilancia en Salud Pública</t>
  </si>
  <si>
    <t>1903052</t>
  </si>
  <si>
    <t>Documentos de evaluación</t>
  </si>
  <si>
    <t>Documentos técnicos en donde se realiza el seguimiento y el análisis de resultados e impactos de una política pública a través de indicadores,  índices y tasas y otras herramientas técnicas para la toma de decisiones.</t>
  </si>
  <si>
    <t>Número de documentos</t>
  </si>
  <si>
    <t>190305200</t>
  </si>
  <si>
    <t>Documentos de evaluación realizados</t>
  </si>
  <si>
    <t xml:space="preserve">48  documentos técnicos para el desarrollo del Comité de Vigilancia en Salud Pública Departamental </t>
  </si>
  <si>
    <t>1905053</t>
  </si>
  <si>
    <t>190505300</t>
  </si>
  <si>
    <t>7 Documentos técnicos de unidades de análisis de eventos de interés en salud pública elaborados</t>
  </si>
  <si>
    <t>7 Documentos técnicos de capacidades básicas en gestión del riesgo departamental implementadas</t>
  </si>
  <si>
    <t>7 Documentos técnicos de eventos de interés en salud pública de maternidad segura generados y socializados</t>
  </si>
  <si>
    <t>7  Documentos técnicos de eventos de interés en salud pública de dengue generados y socializados</t>
  </si>
  <si>
    <t>Prestadores de servicios de salud de los 42 municipios con asistencia técnica para la implementación del Sistema Obligatorio de Garantía de Calidad -SOGC</t>
  </si>
  <si>
    <t>1903011</t>
  </si>
  <si>
    <t>Servicio de inspección, vigilancia y control</t>
  </si>
  <si>
    <t>El servicio de inspección, vigilancia y control permite mantener los estándares en las entidades del sector salud</t>
  </si>
  <si>
    <t>Número de visitas</t>
  </si>
  <si>
    <t>190301100</t>
  </si>
  <si>
    <t>visitas realizadas</t>
  </si>
  <si>
    <t>Prestadores de servicios de salud de los 42 municipios con visitas de certificación de las condiciones para habilitación,  visitas previas, visitas de Inspección, Vigilancia y Control - IVC</t>
  </si>
  <si>
    <t xml:space="preserve">19 instituciones prestadoras de servicios de salud asistidas técnicamente para el cumplimiento de la Política Nacional de talento Humano
</t>
  </si>
  <si>
    <t>1906004</t>
  </si>
  <si>
    <t>Servicio de atención en salud a la población</t>
  </si>
  <si>
    <t>Incluye el servicio de atención en salud a la población dentro del Sistema General de Seguridad Social en Salud y los servicios de atención en urgencias a la población migrante no afiliada dentro del Sistema General de Seguridad Social en Salud.</t>
  </si>
  <si>
    <t>190600400</t>
  </si>
  <si>
    <t>Personas atendidas con servicio de salud</t>
  </si>
  <si>
    <t xml:space="preserve">100% de migrantes irregulares atendidos en los servicios de urgencias en el Departamento </t>
  </si>
  <si>
    <t>42 asistencias técnicas a municipios en procesos de asesoría, seguimiento y evaluación a las acciones  de salud pública con enfoques diferenciales en los actores del Sistema de Salud de acuerdo al Plan Decenal de Salud Pública y demás normatividad vigente</t>
  </si>
  <si>
    <t>19</t>
  </si>
  <si>
    <t>SALUD Y PROTECCIÓN SOCIAL</t>
  </si>
  <si>
    <t>1906040</t>
  </si>
  <si>
    <t>190604000</t>
  </si>
  <si>
    <t>1 documento de evaluación de la red de prestación de salud departamental</t>
  </si>
  <si>
    <t>1906041</t>
  </si>
  <si>
    <t>190604100</t>
  </si>
  <si>
    <t>19 asistencias técnicas  a Empresas Sociales del Estado en las áreas: contable, administrativa, financiera, calidad y producción</t>
  </si>
  <si>
    <t>42 asistencias técnicas a municipios sobre la implementación de políticas en atención diferencial a poblaciones especiales</t>
  </si>
  <si>
    <t>42 municipios con asistencia técnica en Servicio de atención a la comunidad - SAC y mecanismos de participación social en salud con enfoque diferencial</t>
  </si>
  <si>
    <t>1906027</t>
  </si>
  <si>
    <t>Servicio de apoyo para la educación formal del talento humano en salud</t>
  </si>
  <si>
    <t>Mediante el cual se otorgan recursos financieros o en especie para fortalecer las capacidades académicas en salud con registro calificado.</t>
  </si>
  <si>
    <t>190602700</t>
  </si>
  <si>
    <t>Personas apoyadas</t>
  </si>
  <si>
    <t>256 personas capacitadas que hacen parte del talento humano de las ESE en temas de salud para fortalecer sus capacidades y competencias con enfoque de género</t>
  </si>
  <si>
    <t>1906026</t>
  </si>
  <si>
    <t>Servicio de apoyo para la dotación hospitalaria</t>
  </si>
  <si>
    <t>Corresponde a la entrega de recursos financieros o en especie para la adquisición de equipos biomédicos, dispositivos médicos, mobiliario asistencial, mobiliario administrativo, equipos TIC, y equipos industriales de uso hospitalario, de acuerdo a la normatividad vigente en salud.</t>
  </si>
  <si>
    <t>Número de elementos de dotación hospitalaria</t>
  </si>
  <si>
    <t>190602601</t>
  </si>
  <si>
    <t>1906022</t>
  </si>
  <si>
    <t>Servicio de apoyo a la prestación del servicio de transporte de pacientes</t>
  </si>
  <si>
    <t xml:space="preserve">Incluye el apoyo tanto el financiero como en especie para prestar el servicio de transporte de pacientes. </t>
  </si>
  <si>
    <t>190602200</t>
  </si>
  <si>
    <t>Entidades de la red pública en salud apoyadas en la adquisición de ambulancias</t>
  </si>
  <si>
    <t>5 Empresas Sociales del Estado dotadas con vehículos de transporte asistencial (ambulancias)</t>
  </si>
  <si>
    <t>1906034</t>
  </si>
  <si>
    <t>Estudios de preinversión</t>
  </si>
  <si>
    <t>Incluye la realización de los estudios requeridos en las fases de pre-factibilidad, factibilidad o definitivos.</t>
  </si>
  <si>
    <t>190603400</t>
  </si>
  <si>
    <t>1906030</t>
  </si>
  <si>
    <t>Hospitales de primer nivel de atención construidos y dotados</t>
  </si>
  <si>
    <t>Infraestructura hospitalaria de primer nivel de atención construida y dotada con equipos y mobiliario, para la prestación de servicios de salud a la población. Incluye centros de salud, puestos de salud e infraestructura local de prestación de servicios.</t>
  </si>
  <si>
    <t>Número de hospitales</t>
  </si>
  <si>
    <t>190603000</t>
  </si>
  <si>
    <t xml:space="preserve">8 Hospitales de primer nivel de atención construidos </t>
  </si>
  <si>
    <t>1906001</t>
  </si>
  <si>
    <t>Hospitales de primer nivel de atención adecuados</t>
  </si>
  <si>
    <t>Infraestructura hospitalaria de primer nivel de atención adecuada, para la prestación de servicios de salud a la población. Incluye centros de salud, puestos de salud e infraestructura local de prestación de servicios.</t>
  </si>
  <si>
    <t>190600100</t>
  </si>
  <si>
    <t>3 Hospitales de primer nivel de atención adecuados</t>
  </si>
  <si>
    <t>1906002</t>
  </si>
  <si>
    <t>Hospitales de primer nivel de atención ampliados</t>
  </si>
  <si>
    <t>Infraestructura hospitalaria de primer nivel de atención ampliada, para la prestación de servicios de salud a la población. Incluye centros de salud, puestos de salud e infraestructura local de prestación de servicios.</t>
  </si>
  <si>
    <t>190600200</t>
  </si>
  <si>
    <t>4 Hospitales de primer nivel de atención ampliados</t>
  </si>
  <si>
    <t>1906003</t>
  </si>
  <si>
    <t>Hospitales de primer nivel de atención con reforzamiento estructural</t>
  </si>
  <si>
    <t>Infraestructura hospitalaria de primer nivel de atención con reforzamiento estructural, para la prestación de servicios de salud a la población. Incluye centros de salud, puestos de salud e infraestructura local de prestación de servicios.</t>
  </si>
  <si>
    <t>190600300</t>
  </si>
  <si>
    <t xml:space="preserve">1 Hospital de primer nivel de atención con reforzamiento estructural </t>
  </si>
  <si>
    <t>1906011</t>
  </si>
  <si>
    <t>Hospitales de segundo nivel de atención construidos y dotados</t>
  </si>
  <si>
    <t xml:space="preserve">Infraestructura hospitalaria de segundo nivel de atención construida y dotada con equipos y mobiliario, para la prestación de servicios de salud a la población. </t>
  </si>
  <si>
    <t>190601100</t>
  </si>
  <si>
    <t>1 Hospital de segundo nivel de atención construido y dotado</t>
  </si>
  <si>
    <t>1906009</t>
  </si>
  <si>
    <t>Hospitales de segundo nivel de atención ampliados</t>
  </si>
  <si>
    <t>Infraestructura hospitalaria de segundo nivel de atención ampliada, para la prestación de servicios de salud a la población.</t>
  </si>
  <si>
    <t>190600900</t>
  </si>
  <si>
    <t>1 Hospital de segundo nivel de atención ampliado</t>
  </si>
  <si>
    <t>1906016</t>
  </si>
  <si>
    <t>Hospitales de tercer nivel de atención ampliados</t>
  </si>
  <si>
    <t>Infraestructura hospitalaria de tercer nivel de atención ampliada, para la prestación de servicios de salud a la población.</t>
  </si>
  <si>
    <t>190601600</t>
  </si>
  <si>
    <t>Hospitales de tercer nivel ampliados</t>
  </si>
  <si>
    <t>1 Hospital de tercer nivel de atención ampliado</t>
  </si>
  <si>
    <t>Sede construida y dotada</t>
  </si>
  <si>
    <t>Corresponde a un inmueble resultado de obras de edificación en terrenos no construidos o cuya área esté libre por autorización de demolición total. Incluye la dotación del inmueble. (Corresponde a la licencia de construcción por obra nueva)</t>
  </si>
  <si>
    <t>Incluye la realización de los estudios requeridos en las fases de pre factibilidad, factibilidad o definitivos.</t>
  </si>
  <si>
    <t>Estudios y diseños de la  sede de la Secretaria de Salud Departamental elaborados</t>
  </si>
  <si>
    <t>1903016</t>
  </si>
  <si>
    <t>Servicio de auditoría y visitas inspectivas</t>
  </si>
  <si>
    <t>el servicio de auditoría y visitas inspectivas realizada para verificar el cumplimiento de los estándares y normatividad vigente.</t>
  </si>
  <si>
    <t>Número de auditorías</t>
  </si>
  <si>
    <t>190301600</t>
  </si>
  <si>
    <t>auditorías y visitas inspectivas realizadas</t>
  </si>
  <si>
    <t xml:space="preserve">1300 visitas de inspección y vigilancia a Instituciones Prestadoras de servicios de
salud y Entidades Administradoras de
Planes de beneficios que hacen presencia en el Departamento  </t>
  </si>
  <si>
    <t>1903019</t>
  </si>
  <si>
    <t>Servicio del ejercicio del procedimiento administrativo sancionatorio</t>
  </si>
  <si>
    <t>Este  servicio establecer y aplicar el procedimiento administrativo sancionatorio</t>
  </si>
  <si>
    <t>Número de procesos</t>
  </si>
  <si>
    <t>190301900</t>
  </si>
  <si>
    <t xml:space="preserve">Procesos con aplicación del procedimiento administrativo sancionatorio tramitados </t>
  </si>
  <si>
    <t>100% de aplicación de Procesos Administrativos Sancionatorios - PAS en primera instancia iniciados</t>
  </si>
  <si>
    <t>1903045</t>
  </si>
  <si>
    <t>Servicio de información para la gestión de la inspección, vigilancia y control sanitario</t>
  </si>
  <si>
    <t>Contempla los servicios de actualización y mejoramiento de la infraestructura tecnológica, así como  diseño, desarrollo, implantación, mantenimiento y adecuación de sistemas de información orientados a la gestión de la inspección, vigilancia y control sanitario</t>
  </si>
  <si>
    <t>Número de usuarios</t>
  </si>
  <si>
    <t>190304500</t>
  </si>
  <si>
    <t>Usuarios del sistema</t>
  </si>
  <si>
    <t>1903001</t>
  </si>
  <si>
    <t>Documentos de lineamientos técnicos</t>
  </si>
  <si>
    <t xml:space="preserve">Documentos cuyo objetivo es describir y explicar instrumentos, estándares, requisitos y condiciones necesarias para llevar a cabo un proceso o actividad. </t>
  </si>
  <si>
    <t>Documentos de lineamientos técnicos realizados</t>
  </si>
  <si>
    <t xml:space="preserve">Un documento con los lineamientos del modelo de aseguramiento de cadenas productivas implementado  </t>
  </si>
  <si>
    <t>300 asistencias técnicas en inspección y vigilancia a Instituciones Prestadoras de servicios de
salud y entidades municipales sobre saneamiento de cuentas y recursos que financian el régimen subsidiado</t>
  </si>
  <si>
    <t xml:space="preserve">Índice de capacidades  organizativas de las comunidades étnicas y campesinas  </t>
  </si>
  <si>
    <t>Mide las capacidades organizativas de las comunidades étnicas y campesinas del Departamento del Cauca para fortalecer el desarrollo del territorio.</t>
  </si>
  <si>
    <t>Ministerio del interior.
Gobernación del Cauca- Secretaría de Gobierno y Participación.</t>
  </si>
  <si>
    <t>Lograr un promedio del 85% en los resultados del ICO étnico y campesino aplicado a organizaciones.</t>
  </si>
  <si>
    <t>Implementar 1 estrategia de fortalecimiento para la recuperación y generación de conocimientos tradicionales y saberes ancestrales en salud con enfoque de género</t>
  </si>
  <si>
    <t>Implementar 1 estrategia intergeneracional de fortalecimiento para la divulgación de conocimientos  tradicionales en salud con enfoque de género</t>
  </si>
  <si>
    <t>LE3</t>
  </si>
  <si>
    <t>Índice de riesgo de calidad del agua para el consumo humano - IRCA</t>
  </si>
  <si>
    <t>Mide la calidad del agua, por el grado de riesgo de ocurrencia de enfermedades relacionadas con el no cumplimiento de las características físicas, químicas y microbiológicas del líquido vital para consumo humano, basando el resultado en el análisis de estos parámetros en muestras de agua</t>
  </si>
  <si>
    <t>10.1</t>
  </si>
  <si>
    <t xml:space="preserve"> Superintendencia de Servicios Públicos Domiciliarios e información propia</t>
  </si>
  <si>
    <t>Disminuir a 9,5 el índice de riesgo de consumo de agua</t>
  </si>
  <si>
    <t>EMCASERVICIOS</t>
  </si>
  <si>
    <t>4000 muestras de agua analizadas</t>
  </si>
  <si>
    <t xml:space="preserve">Cobertura en actividad física, deportiva y recreativa preventiva </t>
  </si>
  <si>
    <t>Mide el porcentaje de personas de 0 a 90 años que realizan actividad física, recreativa  y  deportiva  para reducir el sedentarismo y las enfermedades crónicas no transmisibles</t>
  </si>
  <si>
    <t>Indeportes Cauca</t>
  </si>
  <si>
    <t xml:space="preserve">Aumentar a 5,02% la cobertura en actividad física, deportiva y recreativa preventiva </t>
  </si>
  <si>
    <t>INDEPORTES</t>
  </si>
  <si>
    <t>Deporte y recreación</t>
  </si>
  <si>
    <t>4301</t>
  </si>
  <si>
    <t>Servicio de apoyo a la actividad física, la recreación y el deporte</t>
  </si>
  <si>
    <t>Dentro del marco de los planes, programas y proyectos de la entidad se entregan diferentes incentivos a los integrantes del sistema nacional deportes y a los participantes o deportistas éstos pueden ser artículos deportivos, artículos tecnológicos, además de apoyar financieramente la realización e implementación de los mismos.</t>
  </si>
  <si>
    <t>Servicio de promoción de la actividad física, la recreación y el deporte</t>
  </si>
  <si>
    <t>Aprovechamiento del deporte, la recreación y la actividad física con fines de esparcimiento y desarrollo físico procurando la integración el descanso mediante la realización de actividades deportivas y la promoción de espacios con  la participación comunitaria. Incluye el programa Supérate con la promoción del deporte en niños adolescentes y jóvenes de  los 7 a los 28 años en el territorio nacional a través de competencias deportivas.</t>
  </si>
  <si>
    <t>Personas que acceden a servicios deportivos, recreativos y de actividad física</t>
  </si>
  <si>
    <t>Cobertura en deporte formativo</t>
  </si>
  <si>
    <t>Mide el porcentaje de niños, niñas, adolescentes y jóvenes entre los 6 y 12 años que participan en actividades relacionadas con la formación deportiva.</t>
  </si>
  <si>
    <t>Aumentar a 1,76% la cobertura en deporte formativo en personas de 6 y 12 años</t>
  </si>
  <si>
    <t>Servicio de Escuelas Deportivas</t>
  </si>
  <si>
    <t>Corresponde a los procesos de iniciación, fundamentación y perfeccionamiento deportivos a partir de  las clases donde se practica la actividad física, la recreación y/o el deporte.</t>
  </si>
  <si>
    <t>Número de niños, niñas, adolescentes y jóvenes</t>
  </si>
  <si>
    <t>Niños, niñas, adolescentes y jóvenes inscritos en Escuelas Deportivas</t>
  </si>
  <si>
    <t>Cobertura en deporte competitivo</t>
  </si>
  <si>
    <t>Mide el porcentaje de deportistas entre los 7 y 29 años participando en actividades del deporte competitivo.</t>
  </si>
  <si>
    <t>Aumentar al 0,59%  la cobertura de deportistas entre los 7 y 29 años participando en actividades del deporte competitivo</t>
  </si>
  <si>
    <t>Formación y preparación de deportistas</t>
  </si>
  <si>
    <t>Servicio de preparación deportiva</t>
  </si>
  <si>
    <t>Corresponde a la preparación para las competencias de alto rendimiento deportivas que debe garantizarle al deportista un entrenador, una concentración deportiva para su entrenamiento y hospedaje</t>
  </si>
  <si>
    <t>Número de atletas</t>
  </si>
  <si>
    <t>430200100</t>
  </si>
  <si>
    <t>Atletas preparados</t>
  </si>
  <si>
    <t>Servicio de apoyo financiero a atletas</t>
  </si>
  <si>
    <t>Corresponde a los estímulos económicos entregados a los deportistas para que éstos tengan una buena preparación y oportunidades para competir.</t>
  </si>
  <si>
    <t>Número de estímulos</t>
  </si>
  <si>
    <t>Estímulos entregados</t>
  </si>
  <si>
    <t>Capacitaciones en deporte, en hábitos de salud, en recreación, entre otros.</t>
  </si>
  <si>
    <t>Número de capacitaciones</t>
  </si>
  <si>
    <t>Capacitaciones realizadas</t>
  </si>
  <si>
    <t>Participación del sector agropecuario en el PIB departamental</t>
  </si>
  <si>
    <t>Mide el porcentaje de participación de la producción de bienes y servicios finales generados en actividades de agricultura, ganadería, silvicultura y pesca en el PIB departamental</t>
  </si>
  <si>
    <t>17,4% participación del sector agricultura, ganadería, silvicultura y pesca en el PIB departamental</t>
  </si>
  <si>
    <t>DANE</t>
  </si>
  <si>
    <t xml:space="preserve">Incrementar al 17,6% la participación del sector agricultura, ganadería, silvicultura y pesca en el PIB departamental </t>
  </si>
  <si>
    <t>Secretaría de Agricultura y Desarrollo Rural</t>
  </si>
  <si>
    <t>Transformación productiva</t>
  </si>
  <si>
    <t>Agricultura y Desarrollo Rural</t>
  </si>
  <si>
    <t>1702</t>
  </si>
  <si>
    <t>Inclusión productiva de pequeños productores rurales</t>
  </si>
  <si>
    <t>Servicio de apoyo financiero para proyectos productivos</t>
  </si>
  <si>
    <t>Subsidio o cofinanciación para el establecimiento o fortalecimiento de proyectos productivos agropecuarios.</t>
  </si>
  <si>
    <t>Número de proyectos</t>
  </si>
  <si>
    <t>Proyectos productivos cofinanciados</t>
  </si>
  <si>
    <t>1. Fin de la pobreza
2. Hambre cero</t>
  </si>
  <si>
    <t>Transformación Productiva, Internacionalización y Acción Climática</t>
  </si>
  <si>
    <t>04</t>
  </si>
  <si>
    <t>INFORMACIÓN ESTADÍSTICA</t>
  </si>
  <si>
    <t>0406</t>
  </si>
  <si>
    <t>Generación de la información geográfica del territorio nacional</t>
  </si>
  <si>
    <t>Servicio de información geográfica, geodésica y cartográfica actualizado</t>
  </si>
  <si>
    <t>Corresponde al proceso que mejora la disposición de los servicios web de mapas de información Geográfica, cartográfica y geodésica para garantizar el uso y acceso de los datos.</t>
  </si>
  <si>
    <t>040600100</t>
  </si>
  <si>
    <t>Sistema de información actualizado</t>
  </si>
  <si>
    <t>Sistema de Información Geográfica  - SIG actualizado</t>
  </si>
  <si>
    <t>1. Fin de la pobreza
2. Hambre cero
6. Agua limpia y saneamiento
13. Acción por el clima</t>
  </si>
  <si>
    <t xml:space="preserve">Derecho humano a la alimentación
Ordenamiento del territorio alrededor del agua y la justicia ambiental </t>
  </si>
  <si>
    <t>Servicio de apoyo a la comercialización</t>
  </si>
  <si>
    <t>Consiste en el acompañamiento para la  identificación de apoyos específicos, la adquisición de competencias comerciales y  en casos requeridos, la inserción o consolidación en  encadenamientos comerciales.</t>
  </si>
  <si>
    <t>Número de organizaciones</t>
  </si>
  <si>
    <t>Organizaciones de productores formales apoyadas</t>
  </si>
  <si>
    <t>100 organizaciones de productores formales apoyadas en competencias comerciales con enfoque para la atención de las poblaciones sujetas de la política social</t>
  </si>
  <si>
    <t xml:space="preserve">1. Fin de la pobreza
2. Hambre cero
4. Educación de calidad
6. Agua limpia y saneamiento
</t>
  </si>
  <si>
    <t>Derecho humano a la alimentación</t>
  </si>
  <si>
    <t>1707</t>
  </si>
  <si>
    <t>Sanidad agropecuaria e inocuidad agroalimentaria</t>
  </si>
  <si>
    <t>1707018</t>
  </si>
  <si>
    <t>Servicio de análisis y diagnóstico sanitario, fitosanitario e inocuidad</t>
  </si>
  <si>
    <t>diagnóstico de enfermedades y plagas; análisis de residuos y de análisis microbiológico y toxicológico en productos agropecuarios; de análisis para verificación y certificación de agroquímicos y productos veterinarios y los de verificación y certificación de productos alimenticios para animales y los laboratorios de calidad de productos vegetales.</t>
  </si>
  <si>
    <t>Número de análisis y diagnósticos</t>
  </si>
  <si>
    <t>170701800</t>
  </si>
  <si>
    <t>Análisis y diagnósticos realizados</t>
  </si>
  <si>
    <t>3.500 análisis de suelos elaborados</t>
  </si>
  <si>
    <t>2. Hambre cero</t>
  </si>
  <si>
    <t>1702035</t>
  </si>
  <si>
    <t>Servicio de educación informal en Buenas Prácticas Agrícolas y producción sostenible</t>
  </si>
  <si>
    <t>Realizar capacitación a productores sobre implementación de Buenas Prácticas Agrícolas.</t>
  </si>
  <si>
    <t>170203500</t>
  </si>
  <si>
    <t>600 personas capacitadas en análisis de suelos</t>
  </si>
  <si>
    <t>1708</t>
  </si>
  <si>
    <t>Ciencia, tecnología e innovación agropecuaria</t>
  </si>
  <si>
    <t>Servicio de extensión agropecuaria</t>
  </si>
  <si>
    <t>Comprende acciones de acompañamiento integral orientadas a diagnosticar, recomendar, actualizar, formar, transferir, asistir, empoderar y generar capacidad en los productores agropecuarios para que estos incorporen en su actividad productiva prácticas, productos tecnológicos, tecnologías, conocimientos y comportamientos que beneficien su desempeño y mejoren su competitividad y sostenibilidad.</t>
  </si>
  <si>
    <t>Número de productores</t>
  </si>
  <si>
    <t>Productores atendidos con servicio de extensión agropecuaria</t>
  </si>
  <si>
    <t>3.000 productores atendidos con el servicio de extensión agropecuaria</t>
  </si>
  <si>
    <t>1. Fin de la pobreza
2. Hambre cero
4. Educación de calidad</t>
  </si>
  <si>
    <t>Ordenamiento del territorio alrededor del agua y justicia ambiental</t>
  </si>
  <si>
    <t>1702009</t>
  </si>
  <si>
    <t>Servicio de apoyo financiero para el acceso a activos productivos y de comercialización</t>
  </si>
  <si>
    <t>Cofinanciación para la adquisición de activos productivos que se pueden clasificar en capital humano, la tierra y los bienes de capital productivo (Infraestructura, maquinaria y equipos, insumos y material vegetal, especies zootécnicas y acuícolas). Comercialización comprende actividades relacionadas con el proceso que va desde el acopio de los productos agropecuarios, distribución y consumo.</t>
  </si>
  <si>
    <t>170200900</t>
  </si>
  <si>
    <t>Productores apoyados con activos productivos y de comercialización</t>
  </si>
  <si>
    <t xml:space="preserve">1. Fin de la pobreza
2. Hambre cero
</t>
  </si>
  <si>
    <t>1702014</t>
  </si>
  <si>
    <t>Servicio de apoyo para el acceso a maquinaria y equipos</t>
  </si>
  <si>
    <t>Contempla el acceso de los pequeños productores a los bancos de maquinaria a partir de figuras como el arriendo, la adquisición, entre otros, entre otros</t>
  </si>
  <si>
    <t>170201401</t>
  </si>
  <si>
    <t>Maquinaria y equipos entregados</t>
  </si>
  <si>
    <t xml:space="preserve">2 maquinas y equipos entregados </t>
  </si>
  <si>
    <t>1709</t>
  </si>
  <si>
    <t>Infraestructura productiva y comercialización</t>
  </si>
  <si>
    <t>1709013</t>
  </si>
  <si>
    <t>Centros de acopio adecuados</t>
  </si>
  <si>
    <t>Los centros de acopio cumplen la función de reunir la producción para su posterior distribución y comercialización</t>
  </si>
  <si>
    <t>Número de centros de acopio</t>
  </si>
  <si>
    <t>170901300</t>
  </si>
  <si>
    <t>2 centros de acopio adecuados</t>
  </si>
  <si>
    <t>1709065</t>
  </si>
  <si>
    <t>Plantas de beneficio animal adecuadas</t>
  </si>
  <si>
    <t>Todo establecimiento en donde se benefician las especies de animales que han sido declarados como aptas para el consumo humano y que ha sido registrado y autorizado para este fin.</t>
  </si>
  <si>
    <t>Número de plantas de beneficio</t>
  </si>
  <si>
    <t>170906500</t>
  </si>
  <si>
    <t xml:space="preserve">2 plantas de beneficio animal adecuadas </t>
  </si>
  <si>
    <t>1709106</t>
  </si>
  <si>
    <t>Servicio de apoyo a la comercialización de las cadenas agrícolas, forestales, pecuarias, pesqueras y acuícolas</t>
  </si>
  <si>
    <t>En beneficio del mejoramiento del ingreso al productor, el servicio de apoyo a la comercialización de las cadenas agrícolas, forestales, pecuarias, pesqueras y acuícolas, promueve estrategias para: i. Afrontar las variaciones atípicas en la demanda, oferta y en el precio de los productos, ii. la generación de valor agregado y iii. Permite el acceso de productos a canales de comercialización formales con estándares de calidad; mediante el fortalecimiento en los procesos de poscosecha, de transformación y en el acompañamiento técnico para la apertura a nuevos mercados.</t>
  </si>
  <si>
    <t>Número de cadenas productivas</t>
  </si>
  <si>
    <t>170910600</t>
  </si>
  <si>
    <t>Cadenas productivas apoyadas</t>
  </si>
  <si>
    <t>7 cadenas productivas apoyadas</t>
  </si>
  <si>
    <t xml:space="preserve">Número </t>
  </si>
  <si>
    <t>1704</t>
  </si>
  <si>
    <t>Ordenamiento social y uso productivo del territorio rural</t>
  </si>
  <si>
    <t>1704003</t>
  </si>
  <si>
    <t>Documentos de planeación</t>
  </si>
  <si>
    <t>Documentos cuyo objetivo es plasmar una visión de futuro a nivel país, entidad territorial, comunidad, sector, región, entidad o cualquier nivel de desagregación que se requiera. Incluye objetivos, estrategias, metas e indicadores</t>
  </si>
  <si>
    <t>170400300</t>
  </si>
  <si>
    <t>Documentos de planeación elaborados</t>
  </si>
  <si>
    <t xml:space="preserve">Plan Integral de desarrollo rural con enfoque territorial - PIDARET elaborado </t>
  </si>
  <si>
    <t>1. Fin de la pobreza
2. Hambre cero
13. Acción por el clima</t>
  </si>
  <si>
    <t>Transformación 2 Catalizador: Educación, formación y reconversión laboral como respuesta al cambio productivo
Transformación 3 Catalizador: Transformación del sector agropecuario para producir más y mejores alimentos</t>
  </si>
  <si>
    <t xml:space="preserve">1. Fin de la pobreza
2. Hambre cero
8. Trabajo decente y crecimiento económico
9. Industria, innovación e infraestructura
11. Unidades y comunidades sostenibles
12. Producción y consumos sostenibles
14. Vida submarina
15. Vida de ecosistemas terrestres
16. Paz, justicia e instituciones sólidas
</t>
  </si>
  <si>
    <t>Seguridad humana y justicia social
Transformación Productiva, Internacionalización y Acción Climática</t>
  </si>
  <si>
    <t>23</t>
  </si>
  <si>
    <t>2301030</t>
  </si>
  <si>
    <t>Servicio de educación informal en tecnologías de la información y las comunicaciones.</t>
  </si>
  <si>
    <t>Capacitaciones en temas relacionados con las Tecnologías de la Información y las Comunicaciones, tales como uso de aplicaciones y herramientas web específicas, con el fin de profundizar conocimientos y finalmente potenciar su aprovechamiento.</t>
  </si>
  <si>
    <t>230103000</t>
  </si>
  <si>
    <t>Personas capacitadas en tecnologías de la información y las comunicaciones</t>
  </si>
  <si>
    <t>3.000 personas capacitadas en tecnologías de la información y las comunicaciones</t>
  </si>
  <si>
    <t xml:space="preserve">5. Igualdad de género
9. Industria, innovación e infraestructura
10. Reducción de las desigualdades
17. Alianzas para lograr los objetivos
</t>
  </si>
  <si>
    <t>45</t>
  </si>
  <si>
    <t>GOBIERNO TERRITORIAL</t>
  </si>
  <si>
    <t>4501</t>
  </si>
  <si>
    <t>Fortalecimiento de la convivencia y la seguridad ciudadana</t>
  </si>
  <si>
    <t>4501004</t>
  </si>
  <si>
    <t>Servicio de promoción de convivencia y no repetición</t>
  </si>
  <si>
    <t>Incluye acciones e iniciativas de carácter institucional e interinstitucional que promuevan la desactivación de los patrones del conflicto armado interno, la construcción de la cultura de respeto y tolerancia en democracia, en perspectiva de crear y mejorar las condiciones de convivencia y de no repetición en los territorios.</t>
  </si>
  <si>
    <t>Número de iniciativas</t>
  </si>
  <si>
    <t>450100400</t>
  </si>
  <si>
    <t>Iniciativas para la promoción de la convivencia implementadas</t>
  </si>
  <si>
    <t xml:space="preserve">1 iniciativa para la promoción de la convivencia implementada </t>
  </si>
  <si>
    <t>4. Educación de calidad
5. Igualdad de género
6. Agua limpia y saneamiento
10. Reducción de las desigualdades
11. Unidades y comunidades sostenibles
12. Producción y consumos sostenibles
13. Acción por el clima
16. Paz, justicia e instituciones sólidas</t>
  </si>
  <si>
    <t>Garantía Progresiva del Derecho Humano a la Alimentación</t>
  </si>
  <si>
    <t>Mide el avance  progresivo  de la garantía del derecho a la alimentación de la población rural mediante el desarrollo de acciones intersectoriales, coordinadas y articuladas dirigidas a hogares con inseguridad alimentaria grave</t>
  </si>
  <si>
    <t xml:space="preserve">2,8% de hogares en situación de inseguridad alimentaria grave
</t>
  </si>
  <si>
    <t>Escala de experiencia de inseguridad alimentaria (FIES) 2022 - DANE</t>
  </si>
  <si>
    <t>Reducir al 1,8% la inseguridad alimentaria grave de los hogares del departamento</t>
  </si>
  <si>
    <t>41</t>
  </si>
  <si>
    <t>4103</t>
  </si>
  <si>
    <t xml:space="preserve">Inclusión social y productiva para la población en situación de vulnerabilidad </t>
  </si>
  <si>
    <t xml:space="preserve">Servicio de asistencia técnica para el autoconsumo de los hogares en situación de vulnerabilidad social </t>
  </si>
  <si>
    <t xml:space="preserve">Corresponde a las acciones de acompañamiento técnico para la producción de alimentos para el autoconsumo, mejorar los niveles de nutrición de la población y la satisfacción de sus necesidades alimentarias, para que sirvan de fundamento a procesos de generación productiva </t>
  </si>
  <si>
    <t>Número de hogares</t>
  </si>
  <si>
    <t xml:space="preserve">Hogares asistidos técnicamente </t>
  </si>
  <si>
    <t xml:space="preserve">1.000 hogares rurales y urbanos vinculados a proyectos para producción de alimentos </t>
  </si>
  <si>
    <t>22</t>
  </si>
  <si>
    <t xml:space="preserve">Servicio de apoyo a proyectos pedagógicos productivos </t>
  </si>
  <si>
    <t>Corresponden al apoyo financiero o en especie para la implementación de proyectos pedagógicos productivos</t>
  </si>
  <si>
    <t xml:space="preserve">Números de establecimientos educativos </t>
  </si>
  <si>
    <t xml:space="preserve"> Establecimientos educativos beneficiados</t>
  </si>
  <si>
    <t>200 Instituciones educativas asistidas técnicamente en la implementación de proyectos pedagógicos productivos</t>
  </si>
  <si>
    <t>1709059</t>
  </si>
  <si>
    <t>Infraestructura para la transformación de productos agropecuarios adecuada</t>
  </si>
  <si>
    <t>Ejemplo: lagunas de oxidación, Beneficiaderos, plantas de transformación productos primarios en materias primas o insumos para la industria, líneas de producción específica para manejo de subproductos, líneas de producción para transformación en productos terminados (leche en productos lácteos, maíz en cereales, frutas en conservas o mermeladas, etc.)</t>
  </si>
  <si>
    <t>Número de infraestructura para transformación de productos agropecuarios</t>
  </si>
  <si>
    <t>170905900</t>
  </si>
  <si>
    <t xml:space="preserve">1 planta de transformación agroindustrial adecuada </t>
  </si>
  <si>
    <t>Documento de lineamientos técnicos</t>
  </si>
  <si>
    <t>Documentos cuyo objetivo es describir y explicar instrumentos, estándares, requisitos y condiciones necesarias para llevar a cabo un proceso o actividad</t>
  </si>
  <si>
    <t>Documentos de lineamientos técnicos elaborados</t>
  </si>
  <si>
    <t>2 diagnósticos de inseguridad alimentaria elaborados con enfoque diferencial étnico y campesino</t>
  </si>
  <si>
    <t xml:space="preserve">Fortalecimiento a la gestión y dirección de la administración pública territorial </t>
  </si>
  <si>
    <t xml:space="preserve">Documentos de política </t>
  </si>
  <si>
    <t xml:space="preserve">Documentos cuyo objetivo es dar una orientación frente a las acciones que el Estado debe realizar en el marco de un tema específico con el fin de suplir necesidades de interés público materializables en los diferentes instrumentos de planeación y presupuestación </t>
  </si>
  <si>
    <t>Documentos de política elaborados</t>
  </si>
  <si>
    <t>Inclusión social y productiva para la población en situación de vulnerabilidad</t>
  </si>
  <si>
    <t>4103055</t>
  </si>
  <si>
    <t>Servicio de apoyo para las unidades productivas para el autoconsumo de los hogares en situación de vulnerabilidad social</t>
  </si>
  <si>
    <t>Corresponde a la entrega de recursos en especie o en efectivo para generación de huertas, cría de animales y pesca artesanal para el autoconsumo de hogares en situación de vulnerabilidad social.</t>
  </si>
  <si>
    <t>Número de unidades</t>
  </si>
  <si>
    <t>410305500</t>
  </si>
  <si>
    <t>Unidades productivas para el autoconsumo instaladas</t>
  </si>
  <si>
    <t>Servicios de apoyo al fomento de la pesca y la acuicultura</t>
  </si>
  <si>
    <t>Asociaciones u organizaciones apoyadas a través de entrega de equipos e insumos, y acompañamiento técnico para al mejoramiento de la actividad  pesquera  y la acuicultura.</t>
  </si>
  <si>
    <t>Número de asociaciones</t>
  </si>
  <si>
    <t>170203200</t>
  </si>
  <si>
    <t>Asociaciones u organizaciones apoyadas</t>
  </si>
  <si>
    <t>1. Fin de la pobreza
2. Hambre cero
3. Educación de calidad
4. Agua limpia y saneamiento
13. Acción por el clima
14. Vida submarina</t>
  </si>
  <si>
    <t>1709025</t>
  </si>
  <si>
    <t>Cuartos Fríos adecuados</t>
  </si>
  <si>
    <t>Lugar determinado para la manipulación de productos frescos y productos no elaborados. También es uno de los lugares de recepción de mercancías para que posteriormente sean ordenados en las distintas neveras.</t>
  </si>
  <si>
    <t>Número de cuartos fríos</t>
  </si>
  <si>
    <t>170902500</t>
  </si>
  <si>
    <t>3 cuartos fríos para producción acuícola y piscícola adecuados</t>
  </si>
  <si>
    <t>Revitalización y conservación de ecosistemas</t>
  </si>
  <si>
    <t xml:space="preserve">Mide el porcentaje de bosque ripario en restauración ecológica y conservación de ecosistemas </t>
  </si>
  <si>
    <t>0,1% cobertura de áreas de importancia estratégica para la conservación de recursos hídricos</t>
  </si>
  <si>
    <t>Secretaría de Agricultura y Desarrollo Rural 
CRC</t>
  </si>
  <si>
    <t>Incrementar a 0,164% el bosque ripario en procesos de restauración ecológica y conservación de ecosistemas</t>
  </si>
  <si>
    <t>Ambiente y Desarrollo Sostenible</t>
  </si>
  <si>
    <t>3202</t>
  </si>
  <si>
    <t>Conservación de la biodiversidad y sus servicios ecosistémicos</t>
  </si>
  <si>
    <t>3202045</t>
  </si>
  <si>
    <t>Servicio de identificación de suelo de protección</t>
  </si>
  <si>
    <t>Acciones orientadas a la identificación y gestión para el establecimiento de como suelo de protección por las entidades territoriales en el marco del Art. 35 de la Ley 388 de 1997 y el Art.   2.2.2.1.2.11. del Decreto Único Reglamentario del Sector Ambiente 1076 de 2015. Estas áreas por sus características geográficas, paisajísticas o ambientales tienen restringida la posibilidad de urbanizarse y aportan a la conservación de la biodiversidad y los servicios ecosistémicos. Si bien los suelos de protección no son categorías de manejo de áreas protegidas, pueden aportar al cumplimiento de los objetivos específicos de conservación, en cuyo caso las autoridades con competencias en la declaración de las áreas protegidas deberán acompañar al municipio y brindar la asesoría necesaria para las labores de conservación del área.</t>
  </si>
  <si>
    <t>Hectáreas de áreas</t>
  </si>
  <si>
    <t>320204500</t>
  </si>
  <si>
    <t>Nuevas áreas identificadas como suelo de protección</t>
  </si>
  <si>
    <t>180 hectáreas adquiridas en áreas estratégicas</t>
  </si>
  <si>
    <t>3202043</t>
  </si>
  <si>
    <t>Servicio apoyo financiero para la implementación de esquemas de pago por Servicio ambientales</t>
  </si>
  <si>
    <t>Incluye el diseño y entrega de instrumentos económicos para dar incentivos a los usuarios del suelo, de manera que continúen ofreciendo un servicio ambiental (ecológico) que beneficia a la sociedad como un todo.</t>
  </si>
  <si>
    <t>320204300</t>
  </si>
  <si>
    <t>Áreas con esquemas de Pago por Servicios Ambientales implementados</t>
  </si>
  <si>
    <t>80 hectáreas con esquemas de Pago por Servicios Ambientales implementados</t>
  </si>
  <si>
    <t>3208</t>
  </si>
  <si>
    <t>3208006</t>
  </si>
  <si>
    <t>Servicio de asistencia técnica para la implementación de las estrategias educativo ambientales y de participación</t>
  </si>
  <si>
    <t>Acciones encaminadas a implementar estrategias educativo ambientales y de participación en las entidades territoriales, por medio de los proyectos ambientales implementados </t>
  </si>
  <si>
    <t>320800600</t>
  </si>
  <si>
    <t xml:space="preserve">Estrategias educativo ambientales y de participación implementadas </t>
  </si>
  <si>
    <t>1 estrategia educativo ambiental y de participación implementada</t>
  </si>
  <si>
    <t>Transformación 1: Catalizador: justicia ambiental y gobernanza inclusiva
Transformación 2 Catalizador: Educación, formación y reconversión laboral como respuesta al cambio productivo
Transformación 3 Catalizador: Transformación del sector agropecuario para producir más y mejores alimentos</t>
  </si>
  <si>
    <t>3205</t>
  </si>
  <si>
    <t>Ordenamiento ambiental territorial</t>
  </si>
  <si>
    <t>3205006</t>
  </si>
  <si>
    <t>Servicio de divulgación y socialización ambiental en el marco del ordenamiento ambiental territorial</t>
  </si>
  <si>
    <t>Acciones orientadas a difundir la información ambiental en el marco del ordenamiento ambiental territorial </t>
  </si>
  <si>
    <t>Campañas realizadas</t>
  </si>
  <si>
    <t>2. Hambre cero
3. Educación de calidad
6. Agua limpia y saneamiento
9. Industria, innovación e infraestructura
10. Reducción de las desigualdades
11. Unidades y comunidades
13. Acción por el clima
14. Vida submarina
15. Vida de ecosistemas terrestres
16. Paz, justicia e instituciones sólidas</t>
  </si>
  <si>
    <t>4501061</t>
  </si>
  <si>
    <t>Servicio de atención integral a la fauna</t>
  </si>
  <si>
    <t>Corresponde a la atención médica y de urgencias médico veterinarias para el bienestar animal para prevenir, diagnosticar y curar las enfermedades de los animales domésticos,  silvestres y  de producción recuperados por el ente territorial, que se encuentren en condición de abandono, pérdida, desatención estatal o de  tenencia irresponsable o en situación de vulnerabilidad y aprehendidos por la policía o en riesgo que ello suceda. Para tal efecto, incluye también los programas de adopción, custodia, atención del maltrato animal, comportamiento animal, registro e identificación y las demás que garanticen la atención integral a la Fauna en el cumplimiento de la normatividad vigente</t>
  </si>
  <si>
    <t>Número de animales</t>
  </si>
  <si>
    <t>450106100</t>
  </si>
  <si>
    <t>Animales atendidos</t>
  </si>
  <si>
    <t xml:space="preserve">Gestión del cambio climático </t>
  </si>
  <si>
    <t xml:space="preserve">Mide la reducción del área deforestada y demás articulaciones para la adaptación y mitigación al cambio climático </t>
  </si>
  <si>
    <t>0.14% de área deforestada</t>
  </si>
  <si>
    <t>IDEAM</t>
  </si>
  <si>
    <t>Reducir a  0.08% del área deforestada</t>
  </si>
  <si>
    <t>32</t>
  </si>
  <si>
    <t>3206</t>
  </si>
  <si>
    <t>Gestión del cambio climático para un desarrollo bajo en carbono y resiliente al clima</t>
  </si>
  <si>
    <t>Servicio de educación informal en gestión del cambio climático para un desarrollo bajo en carbono y resiliente al clima</t>
  </si>
  <si>
    <t xml:space="preserve">Incluye la realización de jornadas de educación, información, y sensibilización dirigidos a diferentes públicos. </t>
  </si>
  <si>
    <t>320600400</t>
  </si>
  <si>
    <t>Personas capacitadas en gestión del cambio climático</t>
  </si>
  <si>
    <t>600 personas capacitadas en gestión del cambio climático con enfoque de género</t>
  </si>
  <si>
    <t>9. Industria, innovación e infraestructura
11. Unidades y comunidades sostenibles
12. Producción y consumos sostenibles
13. Acción por el clima</t>
  </si>
  <si>
    <t>3202041</t>
  </si>
  <si>
    <t>Servicio de establecimiento de especies vegetales</t>
  </si>
  <si>
    <t>Acciones orientadas a la siembra de especies vegetales escogidas con criterios de selección según condiciones ecosistemicas de las zonas a establecer.</t>
  </si>
  <si>
    <t>Número de árboles</t>
  </si>
  <si>
    <t>320204100</t>
  </si>
  <si>
    <t>Árboles plantados</t>
  </si>
  <si>
    <t>20.000 árboles plantados en el marco de proyectos de reforestación</t>
  </si>
  <si>
    <t>3206016</t>
  </si>
  <si>
    <t>Estufa ecoeficiente fija</t>
  </si>
  <si>
    <t>Incluye la construcción e instalación de estufas artesanales fijas, que disminuye el consumo de leña y la emisión de gases de efecto invernadero - GEI</t>
  </si>
  <si>
    <t>Número de estufas</t>
  </si>
  <si>
    <t>320601600</t>
  </si>
  <si>
    <t>Estufas ecoeficientes fijas construidas</t>
  </si>
  <si>
    <t>21</t>
  </si>
  <si>
    <t>2102</t>
  </si>
  <si>
    <t>Consolidación productiva del sector de energía eléctrica</t>
  </si>
  <si>
    <t>Unidades de generación fotovoltaica de energía eléctrica instaladas</t>
  </si>
  <si>
    <t>Unidades de generación de energía eléctrica instaladas individualmente, mediante las cuales se realiza la transformación de energía solar. Compuesta por celdas fotovoltaicas regulador de carga, inversor, baterías (sistema de almacenamiento), accesorios de conexión, puesta a tierra, y la estructura de soporte que se compone de poste galvanizado, base y cimentación en concreto.</t>
  </si>
  <si>
    <t>210205800</t>
  </si>
  <si>
    <t>150 unidades de generación fotovoltaica de energía eléctrica instaladas</t>
  </si>
  <si>
    <t>7. Energía sostenible y no contaminante
9. Industria, Innovación e infraestructura
11. Unidades y comunidades sostenibles
13. Acción por el clima
17. Alianzas para lograr los objetivos</t>
  </si>
  <si>
    <t>Tasa de ocupación femenina rural</t>
  </si>
  <si>
    <t>Mide el número de mujeres activas en el mercado laboral por cada 100.000 mujeres</t>
  </si>
  <si>
    <t xml:space="preserve">37% tasa de ocupación femenina rural en el departamento </t>
  </si>
  <si>
    <t>Observatorio de asuntos de la Mujer Cauca</t>
  </si>
  <si>
    <t xml:space="preserve">Incrementar a 37,5%  la tasa de ocupación femenina rural en el departamento </t>
  </si>
  <si>
    <t>Derecho Humano a la Alimentación</t>
  </si>
  <si>
    <t>1702007</t>
  </si>
  <si>
    <t>170200700</t>
  </si>
  <si>
    <t>15 proyectos productivos de mujeres cofinanciados</t>
  </si>
  <si>
    <t xml:space="preserve">Tasa de perdida de vidas humanas por ocurrencia de  eventos naturales y/o antropogénicos no intencionales
</t>
  </si>
  <si>
    <t>Mide las perdidas de vidas humanas por la ocurrencia de eventos naturales y/o antropogénicos no intencionales por cada cien mil habitantes</t>
  </si>
  <si>
    <t>Consejo Departamental de Gestión del Riesgo de Desastres</t>
  </si>
  <si>
    <t>Reducir  a 2,0 por cada cien mil habitantes la tasa de personas fallecidas a nivel departamental causada por eventos naturales y/o antropogénicos no intencionales</t>
  </si>
  <si>
    <t>Oficina  Asesora de Gestión del Riesgo de desastres</t>
  </si>
  <si>
    <t>Gobierno Territorial</t>
  </si>
  <si>
    <t>4503</t>
  </si>
  <si>
    <t>Gestión del riesgo de desastres y emergencias</t>
  </si>
  <si>
    <t>4503002</t>
  </si>
  <si>
    <t>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</si>
  <si>
    <t>840 personas capacitadas en prevención y atención de desastres</t>
  </si>
  <si>
    <t xml:space="preserve">11. Ciudades y comunidades sostenibles    13. Acción por el clima      </t>
  </si>
  <si>
    <t>4503003</t>
  </si>
  <si>
    <t xml:space="preserve">Corresponde al acompañamiento, apoyo, asesoría y seguimiento técnico para la transferencia de herramientas de gestión y conocimiento en políticas, planes , proyectos y programas de apoyo a la dirección y gestión de la administración territorial. </t>
  </si>
  <si>
    <t>Número de asistencias técnicas a</t>
  </si>
  <si>
    <t>450300300</t>
  </si>
  <si>
    <t>Instancias territoriales asistidas</t>
  </si>
  <si>
    <t>4503004</t>
  </si>
  <si>
    <t>Servicio de atención a emergencias y desastres</t>
  </si>
  <si>
    <t>Acciones orientadas para dar respuesta a emergencias o desastres de origen natural o antrópico mediante la adquisición de equipos de atención de desastres, búsqueda y rescate, equipos de protección personal nucleares, biológicos, químicos, y radiológicos -NBQR-, equipos para el Manejo de inundaciones, control de incendios, sanidad veterinaria y equipos de alojamiento temporal.</t>
  </si>
  <si>
    <t>Número de emergencias</t>
  </si>
  <si>
    <t>Emergencias y desastres atendidas</t>
  </si>
  <si>
    <t>168  emergencias atendidas</t>
  </si>
  <si>
    <t>4503016</t>
  </si>
  <si>
    <t>Servicio de fortalecimiento a las salas de crisis territorial</t>
  </si>
  <si>
    <t>Incluye la dotación de los organismos que componen la sala de crisis de los Consejos territoriales de Gestión de Riesgo con vehículos, equipos de protección personal y equipos, herramientas y accesorios para la atención de emergencias, así como el aseguramiento del personal misional.</t>
  </si>
  <si>
    <t>Número de organismos</t>
  </si>
  <si>
    <t>450301600</t>
  </si>
  <si>
    <t>Organismos de atención de emergencias fortalecidos</t>
  </si>
  <si>
    <t>19 Organismos de atención de emergencias equipados</t>
  </si>
  <si>
    <t>4503018</t>
  </si>
  <si>
    <t>"Servicio de monitoreo y seguimiento para la gestión del riesgo"</t>
  </si>
  <si>
    <t>Acciones para generar datos e información sobre el comportamiento de los fenómenos amenazantes, la vulnerabilidad y la dinámica de las condiciones de riesgo en el territorio que orienten la toma de decisiones.</t>
  </si>
  <si>
    <t>Número de sistemas</t>
  </si>
  <si>
    <t>450301800</t>
  </si>
  <si>
    <t>Sistemas de Alerta Temprana implementados</t>
  </si>
  <si>
    <t>4503023</t>
  </si>
  <si>
    <t>Estrategia para la respuesta a emergencias actualizada</t>
  </si>
  <si>
    <t>Una Estrategia de Respuesta actualizada</t>
  </si>
  <si>
    <t>4503028</t>
  </si>
  <si>
    <t>Servicios de apoyo para atención de  población afectada por situaciones de emergencia, desastre o declaratorias de calamidad pública</t>
  </si>
  <si>
    <t>Corresponde a la entrega de recursos en especie o monetarios dirigidos a la población afectada por situaciones  de emergencias sanitarias, naturales,  eventos catastróficos o calamidad pública declarada.</t>
  </si>
  <si>
    <t>Personas afectadas por situaciones de emergencia, desastre o declaratorias de calamidad pública apoyadas</t>
  </si>
  <si>
    <t>10.000 personas apoyadas a través de la entrega de recursos en especie</t>
  </si>
  <si>
    <t>Conservación de la biodiversidad y restauración de los ecosistemas para la 
resiliencia climática</t>
  </si>
  <si>
    <t>Servicio de apoyo técnico para la implementación de acciones de mitigación y adaptación al cambio climático</t>
  </si>
  <si>
    <t>Incluye la formulación e implementación de intervenciones locales orientadas a reducir las emisiones de gases efecto invernadero, aumento de sumideros de carbono, reducción de la vulnerabilidad, y aumento de la resiliencia a la variabilidad y al cambio climático. </t>
  </si>
  <si>
    <t>Numero de pilotos</t>
  </si>
  <si>
    <t>Pilotos con acciones de mitigación y adaptación al cambio climático desarrollados</t>
  </si>
  <si>
    <t>4 Pilotos con acciones de mitigación y adaptación al cambio climático desarrollados</t>
  </si>
  <si>
    <t>13. Acción por el clima</t>
  </si>
  <si>
    <t>Numero de personas</t>
  </si>
  <si>
    <t>84 personas capacitadas en gestión del cambio climático</t>
  </si>
  <si>
    <t>Servicio de educación formal en gestión del cambio climático para un desarrollo bajo en carbono y resiliente al clima</t>
  </si>
  <si>
    <t>Incluye la realización de jornadas de educación, información y sensibilización dirigidos al público de educación formal.</t>
  </si>
  <si>
    <t>Numero de entidades</t>
  </si>
  <si>
    <t>Número de entidades orientadas</t>
  </si>
  <si>
    <t>42 entidades orientadas en acciones de cambio climático</t>
  </si>
  <si>
    <t>Índice departamental de innovación para Colombia -IDIC</t>
  </si>
  <si>
    <t>El indicador mide comparativamente las capacidades y condiciones sistémicas para la innovación en los departamentos del país, así como sus asimetrías mediante la identificación de sus fortalezas y oportunidades de mejora</t>
  </si>
  <si>
    <t>Observatorio Colombiano de Ciencia y Tecnología (OCyT)
 Departamento Nacional de Planeación (DNP)</t>
  </si>
  <si>
    <t>Incrementar a un 30,3% el Índice Departamental de Innovación</t>
  </si>
  <si>
    <t>Secretaría de Desarrollo Económico y Competitividad</t>
  </si>
  <si>
    <t xml:space="preserve">1 documento de planeación CTeI actualizado </t>
  </si>
  <si>
    <t>9. Industria, Innovación e infraestructura</t>
  </si>
  <si>
    <t>Documentos de política</t>
  </si>
  <si>
    <t>1 documento de política pública de CTeI formulado y presentado</t>
  </si>
  <si>
    <t>12 actores del ecosistema CTeI asistidos técnicamente.</t>
  </si>
  <si>
    <t xml:space="preserve">Un acuerdo de cooperación internacional para la CTeI </t>
  </si>
  <si>
    <t>4 estrategias de fomento a la participación en CTeI</t>
  </si>
  <si>
    <t xml:space="preserve">3 proyectos financiados para la investigación y generación de nuevo conocimiento en núcleos de innovación </t>
  </si>
  <si>
    <t>Fomento a vocaciones y formación, generación, uso y apropiación social del conocimiento de la ciencia, tecnología e innovación</t>
  </si>
  <si>
    <t>Servicio de apoyo financiero para programas y proyectos de infraestructura científica y tecnológicas</t>
  </si>
  <si>
    <t>Servicio mediante el cual se otorga apoyo financiero para adquisición, renovación y desarrollo de equipos, fortalecimiento de laboratorios, centros de investigación y desarrollo, parques tecnológicos, software especializado, centros de ciencia, oficinas de transferencia (OTRIS) e incubadoras de empresa de base tecnológica. El producto incluye financiamiento basal para centros científicos y tecnológicos</t>
  </si>
  <si>
    <t>Número de programas y proyectos</t>
  </si>
  <si>
    <t>Programas y proyectos financiados</t>
  </si>
  <si>
    <t xml:space="preserve">1 programa y/o proyecto financiado para la adquisición, renovación, desarrollo de equipos y/o fortalecimiento de parque tecnológico, laboratorio público y centro de investigación </t>
  </si>
  <si>
    <t>8 empresas de base tecnológica fortalecidas</t>
  </si>
  <si>
    <t>3 proyectos financiados para el desarrollo tecnológico y la innovación</t>
  </si>
  <si>
    <t>Aumentar a un 4,8 % las unidades productivas o personas de la economía popular formalizadas</t>
  </si>
  <si>
    <t>Servicio de asistencia técnica para emprendedores y/o empresas en edad temprana</t>
  </si>
  <si>
    <t>Asistencia técnica dirigida a emprendedores con empresas en etapa temprana (menores de 5 años).</t>
  </si>
  <si>
    <t>Empresas asistidas técnicamente</t>
  </si>
  <si>
    <t xml:space="preserve">10 emprendimientos turísticos formalizados </t>
  </si>
  <si>
    <t>Servicio de asistencia técnica para fortalecimiento de unidades productivas colectivas para la generación de ingresos</t>
  </si>
  <si>
    <t>Corresponde a la formación y acompañamiento dirigidos a fortalecer las capacidades empresariales, organizacionales y productivas, tendientes al fortalecimiento de unidades productivas colectivas.</t>
  </si>
  <si>
    <t>Unidades productivas colectivas con asistencia técnica</t>
  </si>
  <si>
    <t xml:space="preserve">12 Unidades productivas colectivas de población víctima con enfoque interseccional con asistencia técnica
</t>
  </si>
  <si>
    <t>Trabajo</t>
  </si>
  <si>
    <t>Generación y formalización del empleo</t>
  </si>
  <si>
    <t>Servicio de asesoría técnica para el emprendimiento</t>
  </si>
  <si>
    <t>Comprende la asesoría a emprendedores con iniciativas productivas para la identificación de oportunidades de negocio, ideación y validación en el mercado de las mismas a fin de lograr consolidar unidades productivas con acceso a mercados y activos productivos.</t>
  </si>
  <si>
    <t>Número de emprendimientos</t>
  </si>
  <si>
    <t>Emprendimientos asesorados</t>
  </si>
  <si>
    <t>300 emprendimientos asesorados y fortalecidos en el marco de la ruta para el emprendimiento con enfoque interseccional</t>
  </si>
  <si>
    <t>ANM, Minminas, SDEC</t>
  </si>
  <si>
    <t>Derechos fundamentales del trabajo y fortalecimiento del dialogo social</t>
  </si>
  <si>
    <t>Documentos cuyo objetivo es describir y explicar instrumentos, estándares, requisitos y condiciones necesarias para llevar a cabo un proceso o actividad.</t>
  </si>
  <si>
    <t>360401600</t>
  </si>
  <si>
    <t>1 documento de gobernanza para el empleo decente y formal en el departamento del Cauca formulado y aprobado</t>
  </si>
  <si>
    <t>Consolidación productiva del sector minero</t>
  </si>
  <si>
    <t>Servicio de educación para el trabajo en actividades mineras</t>
  </si>
  <si>
    <t>Formación a mineros y autoridades en contenidos ambientales, sociales, normativos y empresariales. Incluye temas como seguridad en el trabajo, buenas prácticas,  normatividad y regulación minera, así como técnicas adecuadas para desempeñar las actividades de minería. Puede incluir temas de tecnologías limpias cuando corresponda a un componente de capacitación integral en temas de minería.</t>
  </si>
  <si>
    <t>Personas certificadas</t>
  </si>
  <si>
    <t xml:space="preserve">1500 personas del sector minero capacitadas y certificadas en contenidos ambientales, sociales, normativos y empresariales. </t>
  </si>
  <si>
    <t>Unidades productivas de la agroindustria, minería y turismo o personas de la economía popular fortalecidas</t>
  </si>
  <si>
    <t>Secretaría de Desarrollo Económico y Competitividad - Informe de empalme 2023 -2024</t>
  </si>
  <si>
    <t>1125 las unidades productivas o personas de la economía popular fortalecidas</t>
  </si>
  <si>
    <t>3502</t>
  </si>
  <si>
    <t>3502036</t>
  </si>
  <si>
    <t>Servicio de apoyo financiero para la competitividad turística</t>
  </si>
  <si>
    <t>Con este servicio se busca financiar a través de FONTUR proyectos que se orienten a mejorar la calidad de los recursos turísticos y los factores que los diferencian y los hacen deseables para los turistas. De igual forma mejorar la capacidad de los empresarios del sector de generar rentabilidad y de mantener el negocio en el tiempo.</t>
  </si>
  <si>
    <t>350203600</t>
  </si>
  <si>
    <t>Proyectos cofinanciados para la adecuación de la oferta turística</t>
  </si>
  <si>
    <t>3502114</t>
  </si>
  <si>
    <t>Equipamientos turísticos dotados</t>
  </si>
  <si>
    <t>Corresponde a la dotación necesaria para que la infraestructura o espacios de uso público en los atractivos turísticos del territorio  puedan iniciar su funcionamiento y operación.</t>
  </si>
  <si>
    <t>Número de equipamientos</t>
  </si>
  <si>
    <t>350211400</t>
  </si>
  <si>
    <t xml:space="preserve"> Equipamientos dotados</t>
  </si>
  <si>
    <t>Servicio de asistencia técnica a los entes territoriales para el desarrollo turístico</t>
  </si>
  <si>
    <t>Asistencia y acompañamiento a los Entes Territoriales para la promoción y competitividad turística de sus regiones.</t>
  </si>
  <si>
    <t>Entidades territoriales asistidas técnicamente</t>
  </si>
  <si>
    <t>30 entidades territoriales asistidas técnicamente en actividades de planificación, formación, infraestructura y/o promoción turística.</t>
  </si>
  <si>
    <t>El indicador mide las unidades productivas que fueron formalizadas y ahora requieren fortalecimiento.</t>
  </si>
  <si>
    <t>Servicio de educación informal en asuntos turísticos</t>
  </si>
  <si>
    <t>Consiste en la capacitación y entrenamiento a personas interesadas en trabajar en el sector turismo. Incluye fortalecimiento de atención al cliente, de conocimientos históricos, entre otros.</t>
  </si>
  <si>
    <t>Servicio de promoción turística</t>
  </si>
  <si>
    <t>Corresponde a campañas de divulgación y promoción de los atractivos turísticos de la zonas, así como las actividades para el posicionamiento de las regiones, departamentos y municipios como destinos turísticos.</t>
  </si>
  <si>
    <t>3502093</t>
  </si>
  <si>
    <t>Servicios de información turística a nivel nacional</t>
  </si>
  <si>
    <t>Comprende las actividades necesarias para la generación de información y herramientas tecnológicas en el uso de datos referentes al sector turismo.</t>
  </si>
  <si>
    <t>Número de portales</t>
  </si>
  <si>
    <t>Portales integrados</t>
  </si>
  <si>
    <t>Corresponde a documentos que contengan planes, estrategias, política públicas sobre asuntos del sector.</t>
  </si>
  <si>
    <t>15 documentos de planeación turística relacionados con inventarios, planes, políticas y/o estrategias de fortalecimiento al desarrollo turístico de los entes territoriales.</t>
  </si>
  <si>
    <t>Servicio de circuito turístico</t>
  </si>
  <si>
    <t>Corresponde a un recorrido por determinados atractivos turísticos.</t>
  </si>
  <si>
    <t>Número de recorridos</t>
  </si>
  <si>
    <t>Recorridos realizados</t>
  </si>
  <si>
    <t>7 circuitos turísticos diseñados, asistidos y fortalecidos de manera integral mediante la gestión del destino</t>
  </si>
  <si>
    <t>Corresponde a todos los productos relacionados a la etapa de preinversión en infraestructura , como son estudios de factibilidad, diseños arquitectónicos, planos, estudio de suelos y otros estudios y/o instrumentos similares.</t>
  </si>
  <si>
    <t>Empresas en etapa temprana beneficiadas con programas de fortalecimiento para su consolidación.</t>
  </si>
  <si>
    <t>50 empresas en etapa temprana y/o emprendimientos de población sujeto de política social beneficiadas con programas de fortalecimiento para su consolidación</t>
  </si>
  <si>
    <t>Corresponde a documentos que contengan planes, estrategias, política públicas sobre asuntos del sector.</t>
  </si>
  <si>
    <t>Servicio de apoyo financiero para agregar valor a los productos y mejorar los canales de comercialización</t>
  </si>
  <si>
    <t>Con este servicio se entregan recursos a las unidades productivas para adecuar el entorno de manera que puedan agregar valor a sus productos y desarrollar canales para comercializarlos</t>
  </si>
  <si>
    <t>Proyectos cofinanciados para agregar valor a los productos y/o mejorar los canales de comercialización</t>
  </si>
  <si>
    <t xml:space="preserve">3 proyectos financiados para agregar valor a los productos y/o mejorar los canales de comercialización de los emprendimientos de población vulnerable </t>
  </si>
  <si>
    <t>7 unidades productivas colectivas de población reincorporada con asistencia técnica.</t>
  </si>
  <si>
    <t>Servicio de asistencia técnica para el desarrollo de iniciativas clústeres</t>
  </si>
  <si>
    <t>Asesorías dirigidas al desarrollo de los planes de acción establecidos por las iniciativas clúster para profundizar o abrir nuevos mercados</t>
  </si>
  <si>
    <t>Número de clúster</t>
  </si>
  <si>
    <t>Clústeres asistidos en la implementación de los planes de acción</t>
  </si>
  <si>
    <t>3 iniciativas de desarrollo de clúster asistidos, en la implementación de planes de acción</t>
  </si>
  <si>
    <t>Servicio de asistencia técnica para mejorar la competitividad de los sectores productivos</t>
  </si>
  <si>
    <t>Con este servicio se busca remover cuellos de botella que afecten la competitividad de los sectores productivo de interés para las regiones, específicamente sectores que no están organizados en iniciativas clúster</t>
  </si>
  <si>
    <t>Proyectos de alto impacto asistidos para el fortalecimiento de cadenas productivas</t>
  </si>
  <si>
    <t>1 proyecto de alto impacto asistido para el fortalecimiento del sector productivo para el desarrollo.</t>
  </si>
  <si>
    <t xml:space="preserve">100 empresas y/o unidades productivas vinculadas mediante la estrategia de Centro de Reindustrialización ZASCA </t>
  </si>
  <si>
    <t>Servicio de apoyo para la transferencia y/o implementación de metodologías de aumento de la productividad</t>
  </si>
  <si>
    <t>Corresponde a la asistencia técnica que se les ofrece a las unidades productivas con el fin de alcanzar mayores niveles de productividad, a través de intervenciones en ejes tales como gestión de la calidad, logística, sostenibilidad ambiental, productividad operacional, transformación digital, eficiencia energética, productividad laboral, desarrollo y sofisticación de productos, gestión comercial, entre otros. Cada intervención incluye un diagnóstico, un plan de acción y una medición final.</t>
  </si>
  <si>
    <t>Número de unidades productivas</t>
  </si>
  <si>
    <t>Unidades productivas beneficiadas en la implementación de estrategias para incrementar su productividad</t>
  </si>
  <si>
    <t>100 unidades productivas beneficiadas en la implementación de estrategias o programas para incrementar su productividad</t>
  </si>
  <si>
    <t>Servicio de fortalecimiento y desarrollo de unidades productivas para la comercialización de productos agroindustriales</t>
  </si>
  <si>
    <t>Generación de encadenamientos productivos con procesos asociativos bajo el esquema de marca social jalonados por empresas ancla para impulsar la comercialización de la producción agrícola familiar</t>
  </si>
  <si>
    <t>Unidades productivas fortalecidas</t>
  </si>
  <si>
    <t xml:space="preserve">200 unidades productivas fortalecidas mediante el impulso de la comercialización  </t>
  </si>
  <si>
    <t>Servicio de Asistencia técnica a las Mipymes para el acceso a nuevos mercados</t>
  </si>
  <si>
    <t>Incluye la adecuación, promoción y comercialización de productos en nuevos mercados, adecuaciones de infraestructura, compra o arrendamiento de maquinaria, equipos, Insumos, pagos de honorarios y Servicio de consultoría. De igual manera se brinda acompañamiento en el diseño e implementación de la estrategia comercial internacional.</t>
  </si>
  <si>
    <t xml:space="preserve">40 empresas asistidas en la promoción y comercialización de productos en nuevos mercados. </t>
  </si>
  <si>
    <t>3502006</t>
  </si>
  <si>
    <t>Servicio de apoyo y consolidación de las Comisiones Regionales de Competitividad - CRC</t>
  </si>
  <si>
    <t>Con este servicio se busca fortalecer la articulación publico privada de las comisiones regionales de competitividad (CRC) en los territorios, para la implementación de las políticas de desarrollo productivo, de competitividad y productividad,</t>
  </si>
  <si>
    <t>Número de planes de trabajo</t>
  </si>
  <si>
    <t>350200600</t>
  </si>
  <si>
    <t xml:space="preserve">Planes de trabajo concertados con las CRC para su consolidación </t>
  </si>
  <si>
    <t>4 planes de trabajo concertados con la Comisión Regional de Competitividad - CRCI</t>
  </si>
  <si>
    <t>3502002</t>
  </si>
  <si>
    <t>350200200</t>
  </si>
  <si>
    <t>1 Documento de política sobre reindustrialización y/o desarrollo productivo para el departamento del Cauca convergente con el CONPES 4129 de 2023 diseñado</t>
  </si>
  <si>
    <t>Servicio de apoyo al fortalecimiento de políticas públicas para la generación y formalización del empleo en el marco del trabajo decente</t>
  </si>
  <si>
    <t>Hace referencia a la gama de estrategias que pretenden incidir directamente sobre la estructura y el funcionamiento del mercado de trabajo, para incentivar la generación de empleo, su organización, y en la reducción de barreras para insertarse en el mercado laboral.</t>
  </si>
  <si>
    <t>Estrategias realizadas</t>
  </si>
  <si>
    <t>4 estrategias para incentivar la generación de empleo, su organización y la reducción de barreras para insertarse en el mercado laboral implementadas</t>
  </si>
  <si>
    <t>Servicio de gestión para el emprendimiento solidario</t>
  </si>
  <si>
    <t>Se trata de la gestión que realiza Organizaciones Solidarias para la conformación de emprendimientos. Esto podrá incluir conformación, fortalecimiento, asesoría, empresas, modelo de evaluación, personas sensibilizadas, entre otros, que oriente la creación y fortalecimiento de dichas organizaciones.</t>
  </si>
  <si>
    <t>Número de emprendimientos solidarios</t>
  </si>
  <si>
    <t>Emprendimientos solidarios dinamizados</t>
  </si>
  <si>
    <t>1.600 emprendimientos de la economía solidaria, popular, campesina y/o comunitaria dinamizados y fortalecidos.</t>
  </si>
  <si>
    <t>Servicio de inspección y control de la actividad minera</t>
  </si>
  <si>
    <t xml:space="preserve">Se realiza mediante visitas a las unidades de producción minera en las cuales se verifican las condiciones técnicas mínimas establecidas por Ley, en términos de operación, manejo ambiental, seguridad e higiene minera. </t>
  </si>
  <si>
    <t>Número de unidades de producción minera</t>
  </si>
  <si>
    <t>Unidades de producción minera caracterizadas</t>
  </si>
  <si>
    <t>40 unidades de producción minera caracterizadas</t>
  </si>
  <si>
    <t>Servicio de asistencia técnica para la regularización de las actividades mineras</t>
  </si>
  <si>
    <t>Corresponde a las acciones mediante las cuales se busca fortalecer la pequeña minería, eliminar el trabajo infantil de la actividad minera e incluir a los productores mineros en los programas de minería bien hecha (condiciones técnicas mínimas establecidas por Ley, en términos de operación, seguridad e higiene minera, seguridad industrial, entre otras).</t>
  </si>
  <si>
    <t>Número de unidades productivas mineras</t>
  </si>
  <si>
    <t>Unidades productivas mineras beneficiarias de asistencia técnica para regularización</t>
  </si>
  <si>
    <t xml:space="preserve">40 unidades productivas beneficiadas en asistencias técnica que fortalezca la pequeña minería e incluya a los productores mineros en los programas de minería bien hecha </t>
  </si>
  <si>
    <t>Servicio de asistencia técnica para la innovación y el desarrollo tecnológico en la minería</t>
  </si>
  <si>
    <t>Orientada a conocer el estado real de los procesos productivos actuales en la minería, con el fin de brindar asistencia técnica, implementar maquinaria y equipo, crear nuevas tecnologías y mejorar el conocimiento del equipo humano acordes con las necesidades de las unidades de producción minera.</t>
  </si>
  <si>
    <t>100 Personas asistidas técnicamente a través de proyectos de alto impacto que permita asistir y dotar de maquinaria y equipo y cualificar el equipo humano</t>
  </si>
  <si>
    <t>Servicio de apoyo para el fomento de la asociatividad</t>
  </si>
  <si>
    <t>Comprende la sensibilización y acompañamiento a asociaciones de mineros  ya conformadas o en proceso de conformación en temas administrativos y de organización, referentes a liderazgo, participación y desarrollo de capacidades.</t>
  </si>
  <si>
    <t>Asociaciones apoyadas</t>
  </si>
  <si>
    <t>20 asociaciones apoyadas en temas administrativos y de organización, referentes a liderazgo, participación y desarrollo de capacidades</t>
  </si>
  <si>
    <t>Fortalecimiento a la gestión y dirección de la administración pública territorial</t>
  </si>
  <si>
    <t>Servicios de información implementados</t>
  </si>
  <si>
    <t>Corresponde al proceso que asegura la disposición de la información de manera accesible, confiable y oportuna.</t>
  </si>
  <si>
    <t>Sistemas de información implementados</t>
  </si>
  <si>
    <t>Documentos de investigación</t>
  </si>
  <si>
    <t>Acciones orientadas a la recolección, análisis y procesamiento de la información.</t>
  </si>
  <si>
    <t>Documentos de investigación elaborados</t>
  </si>
  <si>
    <t xml:space="preserve">18 documentos de investigación boletines, herramientas de recolección, métodos de procesamiento de información o estudios locales de análisis elaborados
</t>
  </si>
  <si>
    <t>Docentes formados en uso pedagógico de tecnologías de la información y las comunicaciones.</t>
  </si>
  <si>
    <t>Déficit de vivienda cuantitativo</t>
  </si>
  <si>
    <t>Mide el porcentaje de viviendas que es necesario construir o adicionar para que exista una relación uno a uno entre las viviendas adecuadas y los hogares que necesitan alojamiento.</t>
  </si>
  <si>
    <t>* DANE
* Ministerio de Agricultura y Desarrollo Rural / Banco Agrario</t>
  </si>
  <si>
    <t>Reducir al 3,57% el déficit de vivienda cuantitativo</t>
  </si>
  <si>
    <t>Secretaría de Infraestructura</t>
  </si>
  <si>
    <t>Vivienda, ciudad y territorio</t>
  </si>
  <si>
    <t>4001</t>
  </si>
  <si>
    <t>Acceso a soluciones de vivienda</t>
  </si>
  <si>
    <t>4001042</t>
  </si>
  <si>
    <t>Vivienda de Interés Social construidas</t>
  </si>
  <si>
    <t>Corresponde a la solución de vivienda de interés social nueva construida y entregada por el estado al hogar que le fue asignado el subsidio familiar de vivienda de interés social para la adquisición de una vivienda nueva.</t>
  </si>
  <si>
    <t>Número de viviendas</t>
  </si>
  <si>
    <t>400104200</t>
  </si>
  <si>
    <t>1200 Viviendas de Interés Social construidas</t>
  </si>
  <si>
    <t>Déficit de vivienda cualitativo</t>
  </si>
  <si>
    <t>Mide el porcentaje de viviendas que presentan carencias habitacionales en los atributos referentes a la estructura, espacio y a la disponibilidad de servicios públicos domiciliarios.</t>
  </si>
  <si>
    <t>Reducir al 16,36% el déficit de vivienda cualitativo</t>
  </si>
  <si>
    <t>4001044</t>
  </si>
  <si>
    <t>Vivienda de Interés Social mejoradas</t>
  </si>
  <si>
    <t>Soluciones de vivienda para deficiencias en las condiciones sanitarias satisfactorias de espacio, servicios públicos y calidad de estructura de las viviendas de los hogares beneficiarios del subsidio. Intervenciones locativas asociadas, prioritariamente, a la habilitación o instalación de baños; lavaderos; cocinas; redes hidráulicas, sanitarias y eléctricas; cubiertas; pisos; reforzamiento estructural y otras condiciones relacionadas con el saneamiento y mejoramiento de la solución habitacional.</t>
  </si>
  <si>
    <t>400104400</t>
  </si>
  <si>
    <t>Vivienda de interés social mejoradas</t>
  </si>
  <si>
    <t>Estado de la red vial a cargo del departamento</t>
  </si>
  <si>
    <t>Mide el porcentaje de la red vial a cargo del departamento que se encuentra en buen estado, esto es, en adecuadas condiciones de transitabilidad, conectividad, comodidad y seguridad.</t>
  </si>
  <si>
    <t>Secretaría de Infraestructura - Plan Vial Departamental</t>
  </si>
  <si>
    <t>Incrementar a 46% los kilómetros de red vial a cargo del departamento en buen estado</t>
  </si>
  <si>
    <t xml:space="preserve"> Convergencia regional</t>
  </si>
  <si>
    <t>Transporte</t>
  </si>
  <si>
    <t>Infraestructura red vial primaria</t>
  </si>
  <si>
    <t>2401009</t>
  </si>
  <si>
    <t>Nueva calzada construida</t>
  </si>
  <si>
    <t>Incluye la construcción de dos carriles o más, delimitados o no por marcas viales longitudinales, y con anchura suficiente para la circulación de una fila de automóviles por carril que no sean motocicletas en la red vial primaria</t>
  </si>
  <si>
    <t>Kilómetros de vías primarias</t>
  </si>
  <si>
    <t>240100900</t>
  </si>
  <si>
    <t xml:space="preserve">Vía primaria mejorada </t>
  </si>
  <si>
    <t>10 Kilómetros de vía primaria mejorada</t>
  </si>
  <si>
    <t>Kilómetros</t>
  </si>
  <si>
    <t>2402</t>
  </si>
  <si>
    <t>Infraestructura red vial regional</t>
  </si>
  <si>
    <t>2402001</t>
  </si>
  <si>
    <t>Vía secundaria construida</t>
  </si>
  <si>
    <t>Incluye la construcción de vías secundarias nuevas en zonas sin comunicación vial</t>
  </si>
  <si>
    <t>Kilómetros de vías secundarias</t>
  </si>
  <si>
    <t>240200100</t>
  </si>
  <si>
    <t xml:space="preserve">Vía secundaria construida </t>
  </si>
  <si>
    <t xml:space="preserve">20 Kilómetros de vía secundaria construida </t>
  </si>
  <si>
    <t>2402006</t>
  </si>
  <si>
    <t>Vía secundaria mejorada</t>
  </si>
  <si>
    <t>Incluye la construcción de obras de infraestructura vial en vías de la red vial secundaria que mejoren la prestación del servicio, así como los cambios en una infraestructura de transporte con el propósito de mejorar sus especificaciones técnicas iniciales</t>
  </si>
  <si>
    <t>240200600</t>
  </si>
  <si>
    <t>2402018</t>
  </si>
  <si>
    <t>Vía secundaria rehabilitada</t>
  </si>
  <si>
    <t>Incluye las intervenciones en vías secundaria para devolverlas al estado inicial para la cual fueron construidas</t>
  </si>
  <si>
    <t>240201800</t>
  </si>
  <si>
    <t xml:space="preserve">Vía secundaria rehabilitada </t>
  </si>
  <si>
    <t>2402021</t>
  </si>
  <si>
    <t>Vía secundaria con mantenimiento periódico o rutinario</t>
  </si>
  <si>
    <t>Incluye las acciones de conservación periódica o rutinaria de las vías de la red vial secundaria con el fin de mantener las condiciones óptimas para el tránsito y  el uso adecuado de la infraestructura de transporte</t>
  </si>
  <si>
    <t>240202101</t>
  </si>
  <si>
    <t>3.000 Kilómetros de vía secundaria con mantenimiento periódico o rutinario</t>
  </si>
  <si>
    <t>2402035</t>
  </si>
  <si>
    <t>Vía secundaria atendida por emergencia</t>
  </si>
  <si>
    <t>Incluye intervenciones en las vías secundarias para la normalización del tránsito luego de la ocurrencia de eventos que tengan como origen emergencias climáticas, telúricas, terrorismo, entre otros</t>
  </si>
  <si>
    <t>240203500</t>
  </si>
  <si>
    <t xml:space="preserve">Vía secundaria con mantenimiento de emergencia </t>
  </si>
  <si>
    <t xml:space="preserve">300 Kilómetros de vía secundaria con mantenimiento de emergencia </t>
  </si>
  <si>
    <t>2402038</t>
  </si>
  <si>
    <t>Incluye intervenciones en sitios críticos por fallas geológicas en la red vial secundaria</t>
  </si>
  <si>
    <t>Número de sitios críticos</t>
  </si>
  <si>
    <t>100 Sitios críticos de la red secundaria estabilizados</t>
  </si>
  <si>
    <t>2402041</t>
  </si>
  <si>
    <t>Vía terciaria mejorada</t>
  </si>
  <si>
    <t>Incluye la construcción de obras de infraestructura vial en vías de la red vial terciaria que mejoren la prestación del servicio, así como los cambios en una infraestructura de transporte con el propósito de mejorar sus especificaciones técnicas iniciales</t>
  </si>
  <si>
    <t>Kilómetros de vías terciaria</t>
  </si>
  <si>
    <t>240204100</t>
  </si>
  <si>
    <t>2402112</t>
  </si>
  <si>
    <t>Vía terciaria con mantenimiento periódico o rutinario</t>
  </si>
  <si>
    <t>Incluye las acciones de conservación periódica o rutinaria de las vías de la red vial terciaria con el fin de mantener las condiciones óptimas para el tránsito y  el uso adecuado de la infraestructura de transporte.</t>
  </si>
  <si>
    <t>4.500 Kilómetros de vía terciaria con mantenimiento periódico o rutinario</t>
  </si>
  <si>
    <t>2402096</t>
  </si>
  <si>
    <t>Vía terciaria atendida por emergencia</t>
  </si>
  <si>
    <t>Incluye intervenciones en las vías terciarias o urbanas para la normalización del tránsito luego de la ocurrencia de eventos que tengan como origen emergencias climáticas, telúricas, terrorismo, entre otros</t>
  </si>
  <si>
    <t>240209600</t>
  </si>
  <si>
    <t xml:space="preserve">Vía terciaria con mantenimiento de emergencia </t>
  </si>
  <si>
    <t>450 Kilómetros de vía terciaria con mantenimiento de emergencia</t>
  </si>
  <si>
    <t>2402098</t>
  </si>
  <si>
    <t>Sitio crítico de la red terciaria estabilizado</t>
  </si>
  <si>
    <t>Incluye intervenciones en sitios críticos por fallas geológicas en la red vial terciaria o urbana</t>
  </si>
  <si>
    <t>240209800</t>
  </si>
  <si>
    <t>150 Sitios críticos de la red terciaria estabilizados</t>
  </si>
  <si>
    <t>2402114</t>
  </si>
  <si>
    <t>Vía urbana mejorada</t>
  </si>
  <si>
    <t>Incluye la construcción de obras de infraestructura vial en vías urbanas que mejoren la prestación del servicio, así como los cambios en una infraestructura de transporte con el propósito de mejorar sus especificaciones técnicas iniciales.</t>
  </si>
  <si>
    <t>Kilómetros de vías urbanas</t>
  </si>
  <si>
    <t>240211400</t>
  </si>
  <si>
    <t xml:space="preserve">Vía urbana mejorada </t>
  </si>
  <si>
    <t>5 Kilómetros de vía urbana mejorada</t>
  </si>
  <si>
    <t>2402015</t>
  </si>
  <si>
    <t>Puente construido en vía secundaria</t>
  </si>
  <si>
    <t>Incluye la construcción de puentes en la red vial secundaria</t>
  </si>
  <si>
    <t>Número de puentes</t>
  </si>
  <si>
    <t>240201500</t>
  </si>
  <si>
    <t>Puente construido en vía secundaria existente</t>
  </si>
  <si>
    <t>2402019</t>
  </si>
  <si>
    <t>Puente de vía secundaria rehabilitado</t>
  </si>
  <si>
    <t>Puentes con intervenciones de infraestructura para devolverlos al estado inicial para el cual fueron construidos</t>
  </si>
  <si>
    <t>240201900</t>
  </si>
  <si>
    <t xml:space="preserve">Puente de vía secundaria rehabilitado </t>
  </si>
  <si>
    <t>2402022</t>
  </si>
  <si>
    <t>Puente de la red vial secundaria con mantenimiento</t>
  </si>
  <si>
    <t>Incluye las acciones de conservación periódica o rutinaria de puentes o viaductos de la red vial secundaria con el fin de mantener las condiciones óptimas para el tránsito y  el uso adecuado de la infraestructura de transporte</t>
  </si>
  <si>
    <t>240202200</t>
  </si>
  <si>
    <t xml:space="preserve">Puente de la red secundaria con mantenimiento </t>
  </si>
  <si>
    <t>336 Puentes de la red secundaria con mantenimiento</t>
  </si>
  <si>
    <t>2402044</t>
  </si>
  <si>
    <t>Puente construido en vía terciaria</t>
  </si>
  <si>
    <t>Incluye la construcción de puentes en la red vial terciaria existente para mejorar su capacidad</t>
  </si>
  <si>
    <t>240204400</t>
  </si>
  <si>
    <t>Puente construido en vía terciaria existente</t>
  </si>
  <si>
    <t>2 Puentes construidos en vía terciaria existente</t>
  </si>
  <si>
    <t>2402046</t>
  </si>
  <si>
    <t>Puente de la red vial terciaria rehabilitado</t>
  </si>
  <si>
    <t>Puentes de la red vial terciaria con intervenciones de  infraestructura para devolverlos al estado inicial para el cual fueron construidos</t>
  </si>
  <si>
    <t>240204600</t>
  </si>
  <si>
    <t xml:space="preserve">Puentes de la red terciaria rehabilitados </t>
  </si>
  <si>
    <t>2 Puentes de la red terciaria rehabilitados</t>
  </si>
  <si>
    <t>2402048</t>
  </si>
  <si>
    <t>Puente de la red vial terciaria con mantenimiento</t>
  </si>
  <si>
    <t>Incluye las acciones de conservación periódica  o rutinaria de puentes o viaductos de la red vial secundaria con el fin de mantener las condiciones óptimas para el tránsito y el uso adecuado de la infraestructura de transporte</t>
  </si>
  <si>
    <t>240204800</t>
  </si>
  <si>
    <t>Puentes de la red terciaria con mantenimiento</t>
  </si>
  <si>
    <t>504 Puentes de la red terciaria con mantenimiento</t>
  </si>
  <si>
    <t>2402051</t>
  </si>
  <si>
    <t>Puente peatonal de la red terciaria construido</t>
  </si>
  <si>
    <t>Incluye la construcción de puentes peatonales así como la implementación de intervenciones para la normalización del tránsito peatonal</t>
  </si>
  <si>
    <t>240205100</t>
  </si>
  <si>
    <t>2 Puentes peatonales de la red terciaria construidos</t>
  </si>
  <si>
    <t>2402119</t>
  </si>
  <si>
    <t>Puente construido en vía urbana existente</t>
  </si>
  <si>
    <t>Incluye la construcción de puentes nuevos en zonas  urbanas sin comunicación vial</t>
  </si>
  <si>
    <t>1 Puente construidos en vía urbana existente</t>
  </si>
  <si>
    <t>2402118</t>
  </si>
  <si>
    <t>Estudios de preinversión para la red vial regional</t>
  </si>
  <si>
    <t>240211800</t>
  </si>
  <si>
    <t>Estudios de pre inversión realizados</t>
  </si>
  <si>
    <t>Fallecidos por siniestros viales</t>
  </si>
  <si>
    <t xml:space="preserve">Mide la tasa de fallecidos por siniestros viales por cada 100.000
habitantes, con respecto al parque automotor </t>
  </si>
  <si>
    <t>Observatorio de la Agencia Nacional de Seguridad Vial - Ministerio de Transporte.</t>
  </si>
  <si>
    <t>Mantener en 258 los fallecidos en accidentes viales</t>
  </si>
  <si>
    <t>2402028</t>
  </si>
  <si>
    <t>Vía secundaria con obras complementarias de seguridad vial</t>
  </si>
  <si>
    <t>Incluye todos los Servicio y obras conexas a la red vial secundaria cuyo objetivo es garantizar la seguridad en las vías. Este producto se contempla en este programa sólo si se ejecuta cualquiera de las obras contempladas en el catálogo para la intervención de vías</t>
  </si>
  <si>
    <t>240202800</t>
  </si>
  <si>
    <t>Vía secundaria con obras complementarias  de seguridad vial</t>
  </si>
  <si>
    <t>2402049</t>
  </si>
  <si>
    <t>Vía terciaria con obras complementarias de seguridad vial</t>
  </si>
  <si>
    <t>Incluye todos los Servicio y obras conexos a la red vial terciaria cuyo objetivo es garantizar la seguridad en las vías. Este producto se contempla en este programa sólo si se ejecuta cualquiera de las obras contempladas en el catálogo para la intervención de vías.</t>
  </si>
  <si>
    <t>240204900</t>
  </si>
  <si>
    <t>Vía terciaria con obras complementarias  de seguridad vial</t>
  </si>
  <si>
    <t>10 Kilómetros de vía terciaria con obras complementarias  de seguridad vial</t>
  </si>
  <si>
    <t>Cobertura de energía eléctrica</t>
  </si>
  <si>
    <t>Mide la proporción entre el
número de viviendas que cuentan con la infraestructura eléctrica disponible, sobre el total de viviendas.</t>
  </si>
  <si>
    <t>* Dane
* Ministerio de Minas y Energía</t>
  </si>
  <si>
    <t>Incrementar a 92,42% la cobertura del servicio de energía eléctrica</t>
  </si>
  <si>
    <t>Minas y Energía</t>
  </si>
  <si>
    <t>2102045</t>
  </si>
  <si>
    <t>Redes domiciliarias de energía eléctrica instaladas</t>
  </si>
  <si>
    <t>Permite la conexión de las viviendas a la red del sistema de distribución local de energía eléctrica. Incluye acometida y medidor.</t>
  </si>
  <si>
    <t>210204500</t>
  </si>
  <si>
    <t>Viviendas conectadas  a la red del sistema de distribución local de energía eléctrica</t>
  </si>
  <si>
    <t>2.500 Viviendas conectadas  a la red del sistema de distribución local de energía eléctrica</t>
  </si>
  <si>
    <t>2102058</t>
  </si>
  <si>
    <t>40 Unidades de generación fotovoltaica de energía eléctrica instaladas</t>
  </si>
  <si>
    <t>2 Estudios de pre inversión elaborados</t>
  </si>
  <si>
    <t>MW</t>
  </si>
  <si>
    <t>consolidación productiva del sector de energía eléctrica</t>
  </si>
  <si>
    <t>Cobertura del servicio público domiciliario de gas combustible</t>
  </si>
  <si>
    <t>Mide la proporción entre el
número de viviendas que cuentan con  servicio público domiciliario de gas combustible, sobre el total de viviendas.</t>
  </si>
  <si>
    <t>* Dane</t>
  </si>
  <si>
    <t>Incrementar a 30,50 % la cobertura del servicio público domiciliario de gas combustible</t>
  </si>
  <si>
    <t>Acceso al servicio público domiciliario de gas combustible</t>
  </si>
  <si>
    <t>2101016</t>
  </si>
  <si>
    <t>Redes domiciliarias de gas combustible instaladas</t>
  </si>
  <si>
    <t>Permite la conexión de las viviendas a la red de distribución local de gas domiciliario. Incluye acometida y medidor.</t>
  </si>
  <si>
    <t>210101600</t>
  </si>
  <si>
    <t>Viviendas conectadas a la red local de gas combustible</t>
  </si>
  <si>
    <t>4.700 Viviendas conectadas a la red local de gas combustible</t>
  </si>
  <si>
    <t>Municipios con ampliación de cobertura de alumbrado público</t>
  </si>
  <si>
    <t>mide el número de municipios que vayan a tener  ampliación de la red de alumbrado público en los municipios del Cauca</t>
  </si>
  <si>
    <t>secretaria de infraestructura</t>
  </si>
  <si>
    <t>Incrementar a 15 municipios con la ampliación de cobertura en el alumbrado publico sostenible</t>
  </si>
  <si>
    <t>servicio de alumbrado publico</t>
  </si>
  <si>
    <t>Corresponde a la prestación del servicio público no domiciliario de iluminación, inherente al servicio de energía eléctrica, que se presta con el fin de dar visibilidad al espacio público, bienes de uso público y demás espacios de libre circulación, con tránsito vehicular o peatonal, dentro del perímetro urbano y rural de un municipio o distrito, para el normal desarrollo de las actividades. El servicio de alumbrado público comprende las actividades de suministro de energía eléctrica al sistema de alumbrado público, la administración y operación de dicho sistema.</t>
  </si>
  <si>
    <t>Número de lámparas de alumbrado público</t>
  </si>
  <si>
    <t>Lámparas de alumbrado público en funcionamiento</t>
  </si>
  <si>
    <t>2.000 Lámparas de alumbrado público en funcionamiento</t>
  </si>
  <si>
    <t>4302</t>
  </si>
  <si>
    <t>Incluye la realización de estudios de pre factibilidad, factibilidad o definitivos para la ejecución de proyectos</t>
  </si>
  <si>
    <t>8 Estudios de pre inversión realizados</t>
  </si>
  <si>
    <t>Obras que están destinadas a corregir las instalaciones existentes, a fin de garantizar mejores condiciones en la habitabilidad del espacio y la mejora consecuente en la prestación del servicio. Aumento de la cantidad de baterías sanitarias, la implementación de espacios de servicios que antes no se tenían.</t>
  </si>
  <si>
    <t>4302028</t>
  </si>
  <si>
    <t>Coliseos cubiertos mejorados</t>
  </si>
  <si>
    <t>Número de coliseos</t>
  </si>
  <si>
    <t>430202800</t>
  </si>
  <si>
    <t>Coliseos mejorados</t>
  </si>
  <si>
    <t>4302025</t>
  </si>
  <si>
    <t>Coliseos cubiertos construidos y dotados</t>
  </si>
  <si>
    <t>Infraestructura construida y dotada con los instrumentos necesarios para la óptima realización del deporte.</t>
  </si>
  <si>
    <t>430202500</t>
  </si>
  <si>
    <t>Coliseos construidos y dotados</t>
  </si>
  <si>
    <t>1 Coliseo construido y dotado</t>
  </si>
  <si>
    <t>4302015</t>
  </si>
  <si>
    <t>Pistas construidas y dotadas</t>
  </si>
  <si>
    <t>Número de pistas</t>
  </si>
  <si>
    <t>430201500</t>
  </si>
  <si>
    <t>4302074</t>
  </si>
  <si>
    <t>Centro de alto rendimiento construido y dotado</t>
  </si>
  <si>
    <t>Número de centros de alto rendimiento</t>
  </si>
  <si>
    <t>430207400</t>
  </si>
  <si>
    <t>Centro de alto Rendimiento construido y dotado</t>
  </si>
  <si>
    <t>4302010</t>
  </si>
  <si>
    <t>Estadios construidos</t>
  </si>
  <si>
    <t>Construcción de escenarios con graderías, destinados a la realización de competiciones o espectáculos de carácter deportivo, cultural, artístico o actos cívicos al aire libre Todo estadio contará con servicios complementarios. La capacidad de un estadio no podrá ser inferior a 3.000 espectadores acomodados en tribunas de carácter permanente.</t>
  </si>
  <si>
    <t>Número de estadios</t>
  </si>
  <si>
    <t>430201000</t>
  </si>
  <si>
    <t>1 Estadio construido</t>
  </si>
  <si>
    <t>4301025</t>
  </si>
  <si>
    <t>Cancha construida</t>
  </si>
  <si>
    <t>Construcción de canchas, entendidas como el lugar específico donde se realiza una práctica deportiva, que puede ser cubierto o descubierto de acuerdo con la disciplina deportiva</t>
  </si>
  <si>
    <t>Número de canchas</t>
  </si>
  <si>
    <t>430102500</t>
  </si>
  <si>
    <t>1 Cancha construida</t>
  </si>
  <si>
    <t>4301029</t>
  </si>
  <si>
    <t>Cancha mejorada</t>
  </si>
  <si>
    <t>430102900</t>
  </si>
  <si>
    <t>1 Cancha mejorada</t>
  </si>
  <si>
    <t>AGRICULTURA Y DESARROLLO RURAL</t>
  </si>
  <si>
    <t>1709078</t>
  </si>
  <si>
    <t>Plaza de mercado adecuadas</t>
  </si>
  <si>
    <t>Lugar con infraestructura  que acopia productores y comercializadores minoristas a  lo cuales el cliente final y/o consumidor  podrá tener acceso a los productos que se ofrecen.</t>
  </si>
  <si>
    <t>Número de plazas de mercado</t>
  </si>
  <si>
    <t>170907800</t>
  </si>
  <si>
    <t>Plazas de mercado adecuadas</t>
  </si>
  <si>
    <t xml:space="preserve">Cobertura en el servicio público domiciliario de acueducto en la zona urbana </t>
  </si>
  <si>
    <t>Mide el porcentaje de viviendas conectadas al servicio público domiciliario de acueducto en la zona urbana</t>
  </si>
  <si>
    <t xml:space="preserve"> Superintendencia de Servicios Públicos Domiciliarios</t>
  </si>
  <si>
    <t>Acceso de la población a los servicios de agua potable y saneamiento básico</t>
  </si>
  <si>
    <t>Acueductos optimizados</t>
  </si>
  <si>
    <t>Conjunto de acciones encaminadas a mejorar la capacidad, eficiencia y eficacia de la infraestructura componente del sistema de acueducto mediante su intervención parcial o total.</t>
  </si>
  <si>
    <t>Número de acueductos</t>
  </si>
  <si>
    <t xml:space="preserve">5  acueductos urbanos optimizados
</t>
  </si>
  <si>
    <t xml:space="preserve">6. Agua limpia y saneamiento
</t>
  </si>
  <si>
    <t>Acueductos construidos</t>
  </si>
  <si>
    <t>Conjunto de acciones y obras para la implementación de sistemas de acueducto nuevos.</t>
  </si>
  <si>
    <t>1 acueducto regional construido</t>
  </si>
  <si>
    <t>Cobertura en el servicio público domiciliario de acueducto en la zona urbana y rural</t>
  </si>
  <si>
    <t>Mide el porcentaje de viviendas conectadas al servicio público domiciliario de acueducto en la zona urbana y rural</t>
  </si>
  <si>
    <t xml:space="preserve">Aumentar a 55,84% la cobertura en el servicio público domiciliario de acueducto en la zona urbana </t>
  </si>
  <si>
    <t>2 acueductos regionales optimizados</t>
  </si>
  <si>
    <t>Servicio de asistencia técnica para la administración y operación de los servicios públicos domiciliarios</t>
  </si>
  <si>
    <t xml:space="preserve">Acciones orientadas a desarrollar capacidades para que las personas prestadoras de servicios públicos domiciliarios de acueducto, alcantarillado y aseo de las que trata el artículo 1 de la Ley 142 de 1994,  consoliden habilidades y pongan en marcha estrategias para realizar funciones inherentes al cumplimiento de su objeto. </t>
  </si>
  <si>
    <t xml:space="preserve">40 asistencias técnicas realizadas a los municipios vinculados al Plan Departamental de Agua  PDA </t>
  </si>
  <si>
    <t>Número de asistencias</t>
  </si>
  <si>
    <t>50 asistencias técnicas realizadas a los prestadores de los 42 Municipios del Departamento del Cauca</t>
  </si>
  <si>
    <t>Estudios de pre inversión e inversión</t>
  </si>
  <si>
    <t>Número de estudios y diseños</t>
  </si>
  <si>
    <t xml:space="preserve">Estudios o diseños realizados </t>
  </si>
  <si>
    <t>55 proyectos de pre inversión realizados</t>
  </si>
  <si>
    <t>Cobertura en el servicio público domiciliario de acueducto en la zona rural</t>
  </si>
  <si>
    <t xml:space="preserve">Mide el porcentaje de viviendas conectadas al servicio público domiciliario de acueducto en la zona rural </t>
  </si>
  <si>
    <t xml:space="preserve">5 acueductos rurales construidos 
</t>
  </si>
  <si>
    <t>Acueductos ampliados</t>
  </si>
  <si>
    <t>Conjunto de acciones y obras requeridas para aumentar la capacidad del acueducto en una misma área de cobertura.</t>
  </si>
  <si>
    <t xml:space="preserve">1 acueducto rural ampliado </t>
  </si>
  <si>
    <t xml:space="preserve">7 acueductos rurales optimizados
</t>
  </si>
  <si>
    <t xml:space="preserve">Cobertura en el servicio público de alcantarillado en la zona urbana </t>
  </si>
  <si>
    <t>Mide el porcentaje de viviendas conectadas al servicio público de alcantarillado en la zona urbana</t>
  </si>
  <si>
    <t>4003</t>
  </si>
  <si>
    <t>Alcantarillados construidos</t>
  </si>
  <si>
    <t>Conjunto de acciones y obras para la implementación de sistemas de alcantarillado nuevos.</t>
  </si>
  <si>
    <t>Número de alcantarillados</t>
  </si>
  <si>
    <t xml:space="preserve">1 alcantarillado urbano construido </t>
  </si>
  <si>
    <t>Alcantarillados ampliados</t>
  </si>
  <si>
    <t>Conjunto de acciones y obras requeridas para aumentar la capacidad del alcantarillado en una misma área de cobertura.</t>
  </si>
  <si>
    <t xml:space="preserve">Alcantarillados optimizados </t>
  </si>
  <si>
    <t>Conjunto de acciones encaminadas a mejorar la capacidad, eficiencia y eficacia de la infraestructura componente del sistema de alcantarillado mediante su intervención parcial o total.</t>
  </si>
  <si>
    <t>Alcantarillados optimizados</t>
  </si>
  <si>
    <t>8 alcantarillados urbanos optimizados</t>
  </si>
  <si>
    <t>Cobertura en el servicio público de alcantarillado en la zona rural</t>
  </si>
  <si>
    <t>Mide el porcentaje de viviendas conectadas al servicio público de alcantarillado en la zona rural</t>
  </si>
  <si>
    <t xml:space="preserve">1 alcantarillado rural construido
</t>
  </si>
  <si>
    <t>3 alcantarillados rurales optimizados</t>
  </si>
  <si>
    <t>Cobertura en el servicio público de aseo urbano</t>
  </si>
  <si>
    <t xml:space="preserve">Mide el porcentaje de viviendas que reciben el servicio público de aseo en la zona urbana </t>
  </si>
  <si>
    <t>Aumentar a 92,17% la cobertura en el servicio de aseo en la zona urbana</t>
  </si>
  <si>
    <t>Servicio de Aseo</t>
  </si>
  <si>
    <t>Es el servicio de recolección municipal de residuos, principalmente sólidos. También se aplicará este servicio a las actividades complementarias de transporte, tratamiento, aprovechamiento y disposición final de tales residuos.</t>
  </si>
  <si>
    <t>Usuarios con acceso al servicio de aseo</t>
  </si>
  <si>
    <t xml:space="preserve"> Superintendencia de Servicios Públicos Domiciliarios e información propia</t>
  </si>
  <si>
    <t xml:space="preserve">10.000 usuarios con los componentes de recolección y transporte de residuos sólidos optimizado
</t>
  </si>
  <si>
    <t xml:space="preserve">7.000 usuarios con el componente de disposición final optimizado
</t>
  </si>
  <si>
    <t>Estación de clasificación y aprovechamiento de residuos sólidos construida</t>
  </si>
  <si>
    <t>Corresponde a la infraestructura diseñada para el pesaje, clasificación, recuperación y tratamiento de los residuos sólidos  aprovechables, mediante procesos manuales, mecánicos o mixtos y que cuenten con las autorizaciones ambientales a que haya lugar.</t>
  </si>
  <si>
    <t>Número de estaciones</t>
  </si>
  <si>
    <t>Estaciones de clasificación y aprovechamiento de residuos sólidos construidas</t>
  </si>
  <si>
    <t>Cobertura en el servicio público de aseo rural</t>
  </si>
  <si>
    <t>13.64%</t>
  </si>
  <si>
    <t>Aumentar a 20,18% la cobertura en el servicio de aseo en la zona rural</t>
  </si>
  <si>
    <t>Mide el porcentaje de viviendas que reciben el servicio público de aseo en la zona rural</t>
  </si>
  <si>
    <t xml:space="preserve">6.000 nuevos usuarios con acceso al servicio de aseo rural </t>
  </si>
  <si>
    <t>Soluciones alternativas para acceso al agua para consumo humano</t>
  </si>
  <si>
    <t>Infraestructura de aprovisionamiento con soluciones alternativas como filtros, pilas públicas, entre otros, que permite acceder al agua en zonas rurales empleando opciones técnicas, operativas y de gestión que no reúnen las condiciones convencionales de los servicios públicos domiciliarios de acueducto.</t>
  </si>
  <si>
    <t>Número de soluciones</t>
  </si>
  <si>
    <t>Soluciones alternativas para acceso al agua para consumo humano implementadas</t>
  </si>
  <si>
    <t>24 soluciones para el acceso al agua para consumo humano implementados</t>
  </si>
  <si>
    <t>4502</t>
  </si>
  <si>
    <t>Fortalecimiento del buen gobierno para el respeto y garantía de los derechos humanos</t>
  </si>
  <si>
    <t>450203000</t>
  </si>
  <si>
    <t>1 documento de caracterización sociodemográfica consejos comunitarios, resguardos- cabildos indígenas, asociaciones - organizaciones campesinas y población room, elaborada  con enfoque diferencial de discapacidad, género y diversidad sexual</t>
  </si>
  <si>
    <t>4502022</t>
  </si>
  <si>
    <t xml:space="preserve">Corresponde al acompañamiento, apoyo,  asesoría y seguimiento técnico para la transferencia de herramientas de gestión y conocimiento en políticas, planes , proyectos y programas de apoyo a la dirección y gestión de la administración territorial. </t>
  </si>
  <si>
    <t xml:space="preserve">Número de instancias </t>
  </si>
  <si>
    <t>450202200</t>
  </si>
  <si>
    <t>Instancias territoriales de coordinación institucional asistidas y apoyadas</t>
  </si>
  <si>
    <t xml:space="preserve">Implementar 28 instancias y/o espacios de fortalecimiento técnico a los procesos organizativos, identitarios, de gobierno propio y para el reconocimiento de las comunidades étnicas y campesinas del territorio </t>
  </si>
  <si>
    <t>4502034</t>
  </si>
  <si>
    <t xml:space="preserve">Servicio de educación informal </t>
  </si>
  <si>
    <t>450203400</t>
  </si>
  <si>
    <t>31 consultivos de comunidades negras, afrodescendientes, raizales y palenqueras capacitadas en ley 70, procesos de gobierno propio y organizativo</t>
  </si>
  <si>
    <t>4502033</t>
  </si>
  <si>
    <t>Servicio de integración de la oferta pública</t>
  </si>
  <si>
    <t>Corresponde al diseño e implementación de espacios que articulen la oferta institucional para que los ciudadanos conozcan sus derechos y deberes y los mecanismos de acceso a la oferta publica.</t>
  </si>
  <si>
    <t>Número de espacios</t>
  </si>
  <si>
    <t>450203300</t>
  </si>
  <si>
    <t>Espacios de integración de oferta pública generados</t>
  </si>
  <si>
    <t>40 espacios de articulación institucional y de las  expresiones  étnicas, campesinas y minoritarias, apoyadas.</t>
  </si>
  <si>
    <t>4599</t>
  </si>
  <si>
    <t>4599032</t>
  </si>
  <si>
    <t>Documentos cuyo objetivo es dar una orientación frente a las acciones que el Estado debe realizar en el marco de una tema específico con el fin de suplir necesidades de interés público, materializables en los diferentes instrumentos de planeación y presupuestación.</t>
  </si>
  <si>
    <t>459903200</t>
  </si>
  <si>
    <t>Operatividad de los espacios de participación</t>
  </si>
  <si>
    <t xml:space="preserve">
Mide el cumplimiento de la operatividad de las instancias de Participación como punto de encuentro entre la administración pública y la ciudadanía en donde a través de procesos de dialogo, deliberación y concertación, se determinan acciones en procura del bienestar general.
</t>
  </si>
  <si>
    <t>No disponible</t>
  </si>
  <si>
    <t>Secretaría de Gobierno y Participación</t>
  </si>
  <si>
    <t>50% de espacios de participación ciudadana operando</t>
  </si>
  <si>
    <t>4502016</t>
  </si>
  <si>
    <t>Servicio de información implementado</t>
  </si>
  <si>
    <t>Corresponde al proceso que mejora en la disposición de la información para asegurar que sea accesible, confiable y oportuna.</t>
  </si>
  <si>
    <t>450201600</t>
  </si>
  <si>
    <t>1 sistema de comunicación para el fortalecimiento de la transparencia y acceso a la información pública.</t>
  </si>
  <si>
    <t>4502001</t>
  </si>
  <si>
    <t>Servicio de promoción a la participación ciudadana</t>
  </si>
  <si>
    <t>Corresponde al diseño e implementación de acciones y estrategias que promuevan el ejercicio de la participación ciudadana.</t>
  </si>
  <si>
    <t>450200100</t>
  </si>
  <si>
    <t>Espacios de participación promovidos</t>
  </si>
  <si>
    <t>42 instancias de fortalecimiento a la ciudadanía en  mecanismos de control social.</t>
  </si>
  <si>
    <t>Salón comunal dotado</t>
  </si>
  <si>
    <t>Incluye la dotación a la infraestructura construida.</t>
  </si>
  <si>
    <t>Número de salones comunales</t>
  </si>
  <si>
    <t>450200800</t>
  </si>
  <si>
    <t>Salones comunales dotados</t>
  </si>
  <si>
    <t xml:space="preserve">2.000 salones comunales dotados en el marco de la estrategia de fortalecimiento de la acción comunal
</t>
  </si>
  <si>
    <t>Participación política de las mujeres</t>
  </si>
  <si>
    <t>Mide la relación porcentual de mujeres elegidas en cargos de elección popular: Gobernación, Asamblea, Alcaldías, Concejos Municipales y JAL en relación al total de cargos elegidos</t>
  </si>
  <si>
    <t>Misión de Observación Electoral - MOE
Balance electoral y legislativo en torno a la participación política de las mujeres en Colombia</t>
  </si>
  <si>
    <t>Aumentar a 28,71% la participación política de las mujeres en cargos de elección popular</t>
  </si>
  <si>
    <t>Secretaría de la Mujer</t>
  </si>
  <si>
    <t>4502025</t>
  </si>
  <si>
    <t>Servicio de organización de procesos electorales</t>
  </si>
  <si>
    <t xml:space="preserve">Incluye la disposición de los espacios y la logística para el desarrollo de procesos electorales. </t>
  </si>
  <si>
    <t>Número de procesos electorales</t>
  </si>
  <si>
    <t>450202500</t>
  </si>
  <si>
    <t>procesos electorales realizados</t>
  </si>
  <si>
    <t>6 procesos electorales asistidos para el fortalecimiento técnico en asuntos electorales con enfoque de género</t>
  </si>
  <si>
    <t>Riesgo de la participación social y política de líderes, lideresas, defensores y defensoras de Derechos Humanos</t>
  </si>
  <si>
    <t xml:space="preserve">Mide la eficacia de las acciones dirigidas a mitigar los riesgos a la participación social y política de líderes, lideresas defensores y defensoras de DDHH  y preservar el derecho a la vida, dignidad, integridad y seguridad personal </t>
  </si>
  <si>
    <t>Red de Derechos Humanos del Suroccidente Colombiano Francisco Isaías Cifuentes - REDDHFIC
Gobernación del Cauca- Secretaría de Gobierno y Participación</t>
  </si>
  <si>
    <t xml:space="preserve">Lograr disminuir a 35  el riesgo de  la participación social y política de líderes, lideresas, defensores y defensoras de DDHH  </t>
  </si>
  <si>
    <t>4502024</t>
  </si>
  <si>
    <t>Servicio de apoyo para la implementación de medidas en derechos humanos y derecho internacional humanitario</t>
  </si>
  <si>
    <t xml:space="preserve"> Implementar decisiones de instancias internacionales frente a violaciones de Derechos Humanos para el cumplimiento de las obligaciones que tiene el Estado colombiano.</t>
  </si>
  <si>
    <t>Número de medidas</t>
  </si>
  <si>
    <t>450202400</t>
  </si>
  <si>
    <t>Medidas implementadas en cumplimiento de las obligaciones internacionales en materia de Derechos Humanos y Derecho Internacional Humanitario</t>
  </si>
  <si>
    <t xml:space="preserve">21 medidas para el respeto y garantía de los Derechos Humanos y el Derecho Internacional Humanitario implementadas
</t>
  </si>
  <si>
    <t>4501003</t>
  </si>
  <si>
    <t>Escuelas territoriales de convivencia ciudadana construidas</t>
  </si>
  <si>
    <t>Acciones enfocadas a dotar a la ciudadanía de conocimientos, herramientas, habilidades y destrezas que  aporten a su desarrollo personal, social, político y cultural ,  con énfasis en la construcción de la paz, la convivencia y la reconciliación.</t>
  </si>
  <si>
    <t>450100300</t>
  </si>
  <si>
    <t>Escuelas territoriales de convivencia creadas en las regiones</t>
  </si>
  <si>
    <t>4501031</t>
  </si>
  <si>
    <t>Documentos normativos</t>
  </si>
  <si>
    <t>Incluye la realización de documentos de contenido normativo para la reglamentación de los proyectos de ley presentados y aprobados.</t>
  </si>
  <si>
    <t>450103100</t>
  </si>
  <si>
    <t>Documentos normativos realizados</t>
  </si>
  <si>
    <t>16. Paz, justicia e instituciones sólidas</t>
  </si>
  <si>
    <t>4599025</t>
  </si>
  <si>
    <t>459902500</t>
  </si>
  <si>
    <t>Índice Departamental de seguridad y convivencia ciudadana</t>
  </si>
  <si>
    <t>Mide el número de delitos y/o comportamientos contrarios a la convivencia ciudadana por 100.000 habitantes</t>
  </si>
  <si>
    <t xml:space="preserve">Hurto a personas 364,4
Violencia Intrafamiliar 187,9
Lesiones personales 169,1
Amenazas 164,6
Homicidios 56,5
Delitos Sexuales 52,3
Extorsión 28,7 </t>
  </si>
  <si>
    <t>Informe Departamental de convivencia y seguridad ciudadana 
Observatorio del sistema de ciudades DNP</t>
  </si>
  <si>
    <t>Disminuir en 8% la tendencia de los delitos contra la seguridad y convivencia ciudadana.</t>
  </si>
  <si>
    <t>4501026</t>
  </si>
  <si>
    <t>Documentos Planeación</t>
  </si>
  <si>
    <t>Documentos cuyo objetivo es plasmar una visión de futuro a  nivel de entidad territorial, comunidad, sector, región, entidad o cualquier nivel de desagregación que se requiera. Incluye objetivos, estrategias, metas e indicadores.</t>
  </si>
  <si>
    <t>450102600</t>
  </si>
  <si>
    <t>Planes estratégicos elaborados</t>
  </si>
  <si>
    <t>1 documento estratégico,  para el seguimiento y evaluación de los 42 planes integrales de seguridad y convivencia ciudadana del los municipios</t>
  </si>
  <si>
    <t>4501044</t>
  </si>
  <si>
    <t>Documentos metodológicos</t>
  </si>
  <si>
    <t>Documentos cuyo objetivo es describir y explicar métodos, herramientas analíticas, o procesos que determinan un camino o forma de realizar un análisis en particular.</t>
  </si>
  <si>
    <t>450104400</t>
  </si>
  <si>
    <t>Documentos metodológicos realizados</t>
  </si>
  <si>
    <t>4501001</t>
  </si>
  <si>
    <t xml:space="preserve">Incluye las acciones de transferencia de conocimientos y procesos para la implementación de políticas y lineamientos sobre convivencia y seguridad ciudadana, prestados por los actores competentes. </t>
  </si>
  <si>
    <t>450100100</t>
  </si>
  <si>
    <t>Instancias territoriales asistidas técnicamente</t>
  </si>
  <si>
    <t>4 iniciativas de fortalecimiento a la convivencia ciudadana en el territorio caucano implementadas</t>
  </si>
  <si>
    <t>Justicia y del derecho</t>
  </si>
  <si>
    <t>1202</t>
  </si>
  <si>
    <t xml:space="preserve"> Promoción al acceso a la justicia</t>
  </si>
  <si>
    <t>1202019</t>
  </si>
  <si>
    <t>Servicio de promoción del acceso a la justicia</t>
  </si>
  <si>
    <t>Comprende el desarrollo de estrategias para la promoción del acceso a la justicia </t>
  </si>
  <si>
    <t>120201900</t>
  </si>
  <si>
    <t>Estrategias de acceso a la justicia desarrolladas</t>
  </si>
  <si>
    <t>Reparación integral de las víctimas</t>
  </si>
  <si>
    <t>Mide el nivel de cumplimiento de las  medidas de prevención, protección, atención, asistencia y reparación integral a las víctimas del conflicto armado interno</t>
  </si>
  <si>
    <t>Reporte Unificado del Sistema de Información, Coordinación y Seguimiento Territorial  de la Política Pública de Victimas del Conflicto Armado Interno - RUSICST - Ministerio del Interior Unidad para la Atención y la Reparación Integral de las Víctimas - UARIV</t>
  </si>
  <si>
    <t>Incrementar a 90% el nivel de cumplimiento de las  medidas de prevención, protección, atención, asistencia y reparación integral a las víctimas del conflicto armado interno</t>
  </si>
  <si>
    <t>4101</t>
  </si>
  <si>
    <t>Atención, asistencia  y reparación integral a las víctimas</t>
  </si>
  <si>
    <t>4101092</t>
  </si>
  <si>
    <t>Servicios de satisfacción y garantías de no repetición a víctimas del conflicto armado</t>
  </si>
  <si>
    <t>Corresponde a la implementación de medidas de satisfacción y garantías de no repetición a víctimas del conflicto armado dentro del proceso de Reparación Integral. Comprende la implementación de acciones concertadas y estrategias grupales en los componentes de memoria, dignificación y recuperación de prácticas sociales. Este incluye el reconocimiento de víctima ante la comunidad y el ofensor, reconocimiento de responsabilidad de los hechos y solicitudes de perdón, homenajes y actos conmemorativos a las victimas del conflicto armado, difusión del relato de víctimas y apoyo psicosocial en entrega de restos a familiares de víctimas de desaparición forzada, así como, acciones en el marco de la medida de garantías de no repetición a nivel individual enfocada en los componentes de pedagogía social y reconciliación.</t>
  </si>
  <si>
    <t>Número de víctimas</t>
  </si>
  <si>
    <t>410109200</t>
  </si>
  <si>
    <t>Víctimas que acceden a medidas de satisfacción y de garantías de no repetición a nivel individual</t>
  </si>
  <si>
    <t>Servicio de acompañamiento comunitario a los hogares en riesgo de desplazamiento, retornados o reubicados</t>
  </si>
  <si>
    <t>El servicio corresponde a  un  proceso de acompañamiento a los hogares en riesgo de desplazamiento, o retornados, o reubicados que busca la implementación de iniciativas de reconstrucción del tejido social y la integración comunitaria,  realizando acciones como elaboración de plan de vida y la identificación e implementación de las iniciativas para el fortalecimiento social y comunitario.</t>
  </si>
  <si>
    <t>410107400</t>
  </si>
  <si>
    <t>Hogares apoyados con procesos de acompañamiento comunitario</t>
  </si>
  <si>
    <t xml:space="preserve">100  hogares apoyados en la formulación e implementación de los planes de retornos y reubicaciones de la población víctima del conflicto armado  
</t>
  </si>
  <si>
    <t>4101027</t>
  </si>
  <si>
    <t>Servicio de asistencia funeraria</t>
  </si>
  <si>
    <t>La asistencia funeraria se entrega a los familiares de las víctimas de desaparición forzada y homicidio  en el marco de un proceso de entrega de cuerpos o restos óseos.</t>
  </si>
  <si>
    <t>Porcentaje de procesos de entrega de cuerpos o restos óseos</t>
  </si>
  <si>
    <t>410102700</t>
  </si>
  <si>
    <t>Procesos de entrega de cuerpos o restos óseos acompañados según solicitudes remitidas por la Fiscalía</t>
  </si>
  <si>
    <t xml:space="preserve">100% de  hogares de víctimas subsidiados en asistencia funeraria a la demanda
</t>
  </si>
  <si>
    <t>4101038</t>
  </si>
  <si>
    <t>Servicio de asistencia técnica para la participación de las víctimas</t>
  </si>
  <si>
    <t>Orientados a generar mecanismos mediante los cuales las víctimas tengan participación conjunta y activa en la determinación de las medidas y programas que se desarrollan en su proceso de atención y reparación.</t>
  </si>
  <si>
    <t>Número de eventos</t>
  </si>
  <si>
    <t>410103800</t>
  </si>
  <si>
    <t>Eventos de participación realizados</t>
  </si>
  <si>
    <t>1 proceso de elección de la mesa departamental de víctimas cofinanciado</t>
  </si>
  <si>
    <t xml:space="preserve">150 eventos de participación, coordinación y seguimiento a ordenes de sentencia que demande el protocolo de participación de la mesa departamental de víctimas.
 (comités técnicos, plenarios, subcomités y comités de justicia transicional y cumplimiento a los decretos étnicos diferenciales 4633, 4634 y 4635 de 2011 e iniciativas de memoria histórica ) realizados conforme a la normatividad vigente.
</t>
  </si>
  <si>
    <t>4101023</t>
  </si>
  <si>
    <t>Servicio de orientación y comunicación a las víctimas</t>
  </si>
  <si>
    <t>Servicio desarrollados para brindar atención, comunicación y orientación a las víctimas a través de los diferentes canales que dispone la Unidad para la Atención a las victimas.</t>
  </si>
  <si>
    <t>Solicitudes tramitadas</t>
  </si>
  <si>
    <t>410102300</t>
  </si>
  <si>
    <t xml:space="preserve">400 personas atendidas técnicamente que demanden información sobre la implementación de la ley 1448 restitución de tierras y sus decretos étnicos diferenciales 
</t>
  </si>
  <si>
    <t>4101047</t>
  </si>
  <si>
    <t>Servicio de divulgación y socialización para la implementación del proceso de reparación colectiva</t>
  </si>
  <si>
    <t>Corresponde a la  implementación de mecanismos para garantizar la participación de los Sujetos de Reparación Colectiva mediante información oportuna, clara y precisa. De igual manera permite la  identificación de necesidades y expectativas de la reparación, buscando la promoción del proceso de reparación colectiva a través de sus objetivos, componentes, mecanismos y alcances.</t>
  </si>
  <si>
    <t>Número de comités de impulso</t>
  </si>
  <si>
    <t>410104700</t>
  </si>
  <si>
    <t>Comités de impulso conformados</t>
  </si>
  <si>
    <t xml:space="preserve">12 Comités de impulso  para la formulación e implementación de planes de  reparación colectiva para los sujetos colectivos y víctimas de comunidades étnicas.
</t>
  </si>
  <si>
    <t>4101025</t>
  </si>
  <si>
    <t>Servicio de ayuda y atención humanitaria</t>
  </si>
  <si>
    <t>Mediante los cuales se entrega ayuda y atención humanitaria a las víctimas del conflicto armado. La ayuda humanitaria se entrega a las víctimas de otros hechos diferentes al desplazamiento forzado y la atención humanitaria a víctimas de desplazamiento forzado.</t>
  </si>
  <si>
    <t>410102500</t>
  </si>
  <si>
    <t>Personas con asistencia humanitaria</t>
  </si>
  <si>
    <t xml:space="preserve"> Personas que permanecen en el proceso de reincorporación
</t>
  </si>
  <si>
    <t>Mide el número de Personas que permanecen en el Proceso de Reincorporación</t>
  </si>
  <si>
    <t>Agencia para la Reincorporación y la Normalización - ARN</t>
  </si>
  <si>
    <t>Mantener el 100% de personas en proceso de reincorporación vinculadas a las acciones propias de la política de este grupo poblacional</t>
  </si>
  <si>
    <t>4501049</t>
  </si>
  <si>
    <t>450104900</t>
  </si>
  <si>
    <t>Resultados  Medición del desempeño institucional -FURAG</t>
  </si>
  <si>
    <t>4599031</t>
  </si>
  <si>
    <t>Corresponde al acompañamiento, apoyo,  asesoría y seguimiento técnico para la transferencia de herramientas de gestión y conocimiento en políticas, planes , proyectos y programas de apoyo a la dirección y gestión de la administración territorial.</t>
  </si>
  <si>
    <t>Número de entidades, organismos y dependencias</t>
  </si>
  <si>
    <t>459903100</t>
  </si>
  <si>
    <t>Entidades, organismos y dependencias asistidos técnicamente</t>
  </si>
  <si>
    <t xml:space="preserve"> 1 estrategia de gestión pública efectiva orientada a la implementación de los principios orientadores del buen gobierno.</t>
  </si>
  <si>
    <t>4599017</t>
  </si>
  <si>
    <t>Servicio de gestión documental</t>
  </si>
  <si>
    <t>planificación, manejo y organización de la documentación producida y recibida por las entidades, desde su origen hasta su destino final, con el objeto de facilitar su utilización y conservación. (Ley 594 de 2000)</t>
  </si>
  <si>
    <t>459901700</t>
  </si>
  <si>
    <t>Sistema de gestión documental implementado</t>
  </si>
  <si>
    <t>1 sistema de gestión documental implementado para el fortalecimiento de la oficina de  inspección vigilancia y control</t>
  </si>
  <si>
    <t>Incidencia de la Pobreza Monetaria</t>
  </si>
  <si>
    <t xml:space="preserve">Mide el porcentaje de personas del departamento del Cauca, que no cuentan con el dinero  necesario al mes para adquirir  una canasta básica de alimentos, servicios y otros bienes mínimos o vitales para vivir. </t>
  </si>
  <si>
    <t>DANE, Gran Encuesta Integrada de Hogares GEIH 2021-2022.</t>
  </si>
  <si>
    <t>4103058</t>
  </si>
  <si>
    <t>Servicio de apoyo para el fortalecimiento de unidades productivas colectivas para la generación de ingresos</t>
  </si>
  <si>
    <t>Corresponde a la entrega de recursos en especie o monetarios mediante incentivos dirigidos a generar las condiciones para el fortalecimiento de las unidades productivas colectivas.</t>
  </si>
  <si>
    <t>410305800</t>
  </si>
  <si>
    <t>Unidades productivas colectivas fortalecidas</t>
  </si>
  <si>
    <t xml:space="preserve">7 unidades productivas colectivas de jóvenes  fortalecidas con la entrega de recursos en especie o monetarios </t>
  </si>
  <si>
    <t>1. Fin de la Pobreza</t>
  </si>
  <si>
    <t xml:space="preserve">Reducir a 41,7% la Incidencia de la Pobreza Monetaria </t>
  </si>
  <si>
    <t>4103059</t>
  </si>
  <si>
    <t>410305900</t>
  </si>
  <si>
    <t xml:space="preserve">18 espacios de participación ciudadana juvenil promovidos </t>
  </si>
  <si>
    <t>4102</t>
  </si>
  <si>
    <t>Desarrollo integral de la primera infancia a la juventud, y fortalecimiento de las capacidades de las familias de niñas, niños y adolescentes</t>
  </si>
  <si>
    <t>4102045</t>
  </si>
  <si>
    <t>Servicios de educación informal a niños, niñas, adolescentes  y jóvenes para el reconocimiento de sus derechos</t>
  </si>
  <si>
    <t>Servicios mediante los cuales se socializan a los niños, niñas, adolescentes y jóvenes;  al igual que a sus padres, madres, cuidadores y docentes, los temas relacionados con el reconocimiento de los derechos de la niñez, la adolescencia y la juventud.</t>
  </si>
  <si>
    <t>4102040</t>
  </si>
  <si>
    <t>Documentos que describen y explican métodos, herramientas analíticas o procesos que determinan la forma de realizar un análisis en particular.</t>
  </si>
  <si>
    <t>4102047</t>
  </si>
  <si>
    <t>Servicios de asistencia técnica en políticas públicas de infancia, adolescencia y juventud</t>
  </si>
  <si>
    <t>Servicios orientados a fortalecer técnicamente a los agentes de la institucionalidad de infancia, adolescencia y juventud  en la formulación e implementación de sus propuestas de política pública, estrategias, planes y proyectos dirigidas a garantizar la protección integral de los niños, niñas, adolescentes y jóvenes.</t>
  </si>
  <si>
    <t>Número de agentes</t>
  </si>
  <si>
    <t>Agentes de la institucionalidad de infancia, adolescencia y juventud  asistidos técnicamente</t>
  </si>
  <si>
    <t>DEPORTE Y RECREACIÓN</t>
  </si>
  <si>
    <t>4301037</t>
  </si>
  <si>
    <t>430103700</t>
  </si>
  <si>
    <t>Atención integral de población en situación permanente de desprotección social y/o familiar</t>
  </si>
  <si>
    <t>4104002</t>
  </si>
  <si>
    <t>Centros de protección social para el adulto mayor adecuados</t>
  </si>
  <si>
    <t>Corresponde a la adecuación de infraestructura destinada al ofrecimiento de servicios de hospedaje, bienestar social y cuidado integral de manera permanente o temporal a los adultos mayores en condiciones de descuido, abandono o víctimas de violencia intrafamiliar.</t>
  </si>
  <si>
    <t>410400200</t>
  </si>
  <si>
    <t>12 Centros de protección social o centros vida para el adulto mayor adecuados</t>
  </si>
  <si>
    <t>4104008</t>
  </si>
  <si>
    <t>Servicio de atención y protección integral al adulto mayor</t>
  </si>
  <si>
    <t>Servicios integrales que incluyen aspectos relacionados con protección a la salud y bienestar social, educación, cultura, recreación, entorno físico y social favorable, productividad para los adultos mayores.</t>
  </si>
  <si>
    <t>Número de adultos mayores</t>
  </si>
  <si>
    <t>410400800</t>
  </si>
  <si>
    <t>Adultos mayores atendidos con servicios integrales</t>
  </si>
  <si>
    <t>10.000 Adultos mayores atendidos con servicios integrales</t>
  </si>
  <si>
    <t>4104022</t>
  </si>
  <si>
    <t>Granjas para adultos mayores dotadas</t>
  </si>
  <si>
    <t>Corresponde a la dotación de la infraestructura física de naturaleza campestre, técnica y operativa en la cual se brinda  albergue, alimentación, recreación y todo el cuidado que requieran los adultos mayores que las integran, y en las cuales se desarrollan proyectos productivos agrícolas, pecuarios, silvícolas y ambientales.</t>
  </si>
  <si>
    <t>Número de granjas</t>
  </si>
  <si>
    <t>410402200</t>
  </si>
  <si>
    <t>120 Granjas para adultos mayores dotadas</t>
  </si>
  <si>
    <t>4104023</t>
  </si>
  <si>
    <t>Servicio de asistencia técnica a proyectos productivos de las granjas para adultos mayores</t>
  </si>
  <si>
    <t>Servicios orientados a fortalecer técnicamente las granjas para adultos mayores en el desarrollo de proyectos productivos agrícolas, pecuarios, silvícolas y ambientales.</t>
  </si>
  <si>
    <t>410402300</t>
  </si>
  <si>
    <t>Proyectos productivos asistidos técnicamente</t>
  </si>
  <si>
    <t>4502035</t>
  </si>
  <si>
    <t>Documentos cuyo objetivo es plasmar una visión de futuro a nivel país, entidad territorial, comunidad, sector, región, entidad o cualquier nivel de desagregación que se requiera. Incluye objetivos, estrategias, metas e indicadores.</t>
  </si>
  <si>
    <t>450203500</t>
  </si>
  <si>
    <t>Documento de política pública de adulto mayor formulado y puesto en marcha</t>
  </si>
  <si>
    <t>4103017</t>
  </si>
  <si>
    <t>Servicio de entrega de raciones de alimentos</t>
  </si>
  <si>
    <t>En el marco de seguridad alimentaria se suministran raciones de alimentos para comunidades vulnerables.</t>
  </si>
  <si>
    <t>410301700</t>
  </si>
  <si>
    <t>Personas beneficiadas con raciones de alimentos</t>
  </si>
  <si>
    <t>8.000 personas en situación de pobreza o pobreza extrema beneficiadas con la entrega de raciones de alimentos en las siete subregiones</t>
  </si>
  <si>
    <t>336 huertas caseras dotadas y con asistencia técnica, para el autoconsumo que beneficien a personas en situación de pobreza extrema distribuidas en las siete subregiones</t>
  </si>
  <si>
    <t>4103057</t>
  </si>
  <si>
    <t>Servicio de apoyo a unidades productivas individuales para la generación de ingresos</t>
  </si>
  <si>
    <t>Corresponde a la entrega de recursos en especie o monetarios dirigidos a generar las condiciones para el emprendimiento individual.</t>
  </si>
  <si>
    <t>410305700</t>
  </si>
  <si>
    <t>Unidades productivas capitalizadas</t>
  </si>
  <si>
    <t>Violencia contra niños, niñas y adolecentes</t>
  </si>
  <si>
    <t>Cuantifica los casos de violencia contra niños, niñas y adolecentes por cada 100.000 menores</t>
  </si>
  <si>
    <t>Instituto Nacional de Medicina Legal</t>
  </si>
  <si>
    <t>Reducir a 32 por cada 100.000 menores, los nuevos casos de violencia contra niños, niñas y adolecentes</t>
  </si>
  <si>
    <t>Oficina de Gestión Social y Asuntos Poblacionales</t>
  </si>
  <si>
    <t>Servicio de educación informal a los agentes educativos</t>
  </si>
  <si>
    <t>Servicio dirigidos a fortalecer las habilidades y competencias de los agentes educativos para brindar atención integral a la primera infancia.</t>
  </si>
  <si>
    <t>Número de agentes educativos</t>
  </si>
  <si>
    <t>410200300</t>
  </si>
  <si>
    <t>Agentes educativos cualificados</t>
  </si>
  <si>
    <t>Servicio de asistencia técnica en el ciclo de políticas públicas de familia y otras relacionadas</t>
  </si>
  <si>
    <t>Comprende la capacitación, asesoría y acompañamiento en el diseño e implementación de programas dirigidos a las familias y a la garantía de sus derechos y los de sus integrantes .</t>
  </si>
  <si>
    <t>Número de instituciones y organizaciones</t>
  </si>
  <si>
    <t>410204100</t>
  </si>
  <si>
    <t>Instituciones y entidades asistidas técnicamente</t>
  </si>
  <si>
    <t>410204700</t>
  </si>
  <si>
    <t>4102046</t>
  </si>
  <si>
    <t>Servicios de promoción de los derechos de los niños, niñas, adolescentes y jóvenes</t>
  </si>
  <si>
    <t>Estrategias mediante las cuales se difunde, motiva y sensibiliza a la sociedad en general acerca de la información de promoción y prevención de los derechos de los niños, niñas, adolescentes y jóvenes y se dan a conocer los mecanismos para su restablecimiento.  Incluye las acciones que se realizan para el intercambio de experiencias, con los agentes del Sistema Nacional de Bienestar Familiar.</t>
  </si>
  <si>
    <t>410204600</t>
  </si>
  <si>
    <t>Campañas de promoción realizadas</t>
  </si>
  <si>
    <t>20 campañas de promoción, garantía y prevención de los derechos de los niños, niñas y adolescentes - NNA realizadas</t>
  </si>
  <si>
    <t>4102043</t>
  </si>
  <si>
    <t>Servicio de promoción de temas de dinámica relacional y desarrollo autónomo</t>
  </si>
  <si>
    <t>Incluye el desarrollo de acciones de asesoría, orientación y acompañamiento a las familias, que buscan  generar cultura en las familias y las comunidades sobre vínculos de cuidado mutuo en las situaciones de dinámica relacional o en aquellas que requieran apoyo ante situaciones de vulnerabilidad sociocultural o de garantía de derechos.</t>
  </si>
  <si>
    <t>Número de familias</t>
  </si>
  <si>
    <t>410204300</t>
  </si>
  <si>
    <t>Familias atendidas</t>
  </si>
  <si>
    <t xml:space="preserve">800 familias orientadas y con acompañamiento sobre la resolución de conflictos, parentalidad positiva, comunicación asertiva y relaciones respetuosas </t>
  </si>
  <si>
    <t>Personas con discapacidad partícipes de las intervenciones asociadas a la inclusión integral</t>
  </si>
  <si>
    <t>Cuantifica el porcentaje de personas con discapacidad partícipes de las intervenciones asociadas a la inclusión integral</t>
  </si>
  <si>
    <t>Incrementar a 35% el porcentaje de personas con discapacidad partícipes de las intervenciones asociadas a la inclusión integral</t>
  </si>
  <si>
    <t>4103052</t>
  </si>
  <si>
    <t>Servicio de gestión de oferta social para la población vulnerable</t>
  </si>
  <si>
    <t>Incluye el desarrollo de acciones encaminadas a generar dinámicas de atención conjunta, articulada y eficiente entre las instituciones del estado hacia la población vulnerable.</t>
  </si>
  <si>
    <t>Beneficiarios potenciales para quienes se gestiona la oferta social</t>
  </si>
  <si>
    <t>3.000 beneficiarios potenciales para quienes se gestiona la oferta social para la atención integral de población con discapacidad en articulación con la estrategia de rehabilitación basada en comunidad</t>
  </si>
  <si>
    <t>4104020</t>
  </si>
  <si>
    <t>Servicio de atención integral a población en condición de discapacidad</t>
  </si>
  <si>
    <t>Servicios integrales que incluyen aspectos relacionados con atención en salud, cuidado, alimentación, hospedaje, formación para el trabajo, inclusión productiva, recreación, entre otros, para población en condición de discapacidad.</t>
  </si>
  <si>
    <t>Personas con discapacidad atendidas con servicios integrales</t>
  </si>
  <si>
    <t>400 Personas con discapacidad atendidas con servicios integrales o de capacitación a sus cuidadores con enfoque etario</t>
  </si>
  <si>
    <t>Incidencia de violencias sexuales y violencias basadas en género en población en general</t>
  </si>
  <si>
    <t>Cuantifica el número de casos de violencias sexuales y violencias basadas en género en población en general</t>
  </si>
  <si>
    <t>SIVIGILA-Departamento del Cauca</t>
  </si>
  <si>
    <t>Reducir a 207 los nuevos casos de violencias sexuales y violencias basadas en género en población en general</t>
  </si>
  <si>
    <t>4502038</t>
  </si>
  <si>
    <t>Servicio de promoción de la garantía de derechos</t>
  </si>
  <si>
    <t>Incluye el desarrollo de acciones orientadas a divulgar y promover los mecanismos de atención, protección y ejercicio de los derechos de las mujeres, población LGTBI y personas y comunidades en riesgo así como la prevención de su vulneración.</t>
  </si>
  <si>
    <t>450203800</t>
  </si>
  <si>
    <t>Estrategias de promoción de la garantía de derechos implementadas</t>
  </si>
  <si>
    <t xml:space="preserve">4 espacios de articulación que promuevan la participación de la población LGBTI - OSIGD desarrollados  </t>
  </si>
  <si>
    <t>4599001</t>
  </si>
  <si>
    <t>Documentos técnicos en donde se realiza el seguimiento y el análisis de resultados e impactos de una política pública a través de indicadores, índices y tasas y otras herramientas técnicas para la toma de decisiones.</t>
  </si>
  <si>
    <t>459900100</t>
  </si>
  <si>
    <t>Documentos de evaluación elaborados</t>
  </si>
  <si>
    <t xml:space="preserve">4 documentos de evaluación del avance de la implementación de la política publica LGBTI - OSIGD elaborados </t>
  </si>
  <si>
    <t>Tasa de ocupación femenina</t>
  </si>
  <si>
    <t>Mide el porcentaje de mujeres activas en el mercado laboral por cada 100.000 mujeres</t>
  </si>
  <si>
    <t>Observatorio Regional del Mercado de Trabajo ORMET  
DANE</t>
  </si>
  <si>
    <t>Aumentar a 48,8% Tasa de ocupación femenina</t>
  </si>
  <si>
    <t>5.  Igualdad de género</t>
  </si>
  <si>
    <t>Servicio de asesoría para el fortalecimiento de la asociatividad</t>
  </si>
  <si>
    <t>Acompañamiento a asociaciones de productores ya conformadas o en proceso de conformación en temas administrativos y de organización.</t>
  </si>
  <si>
    <t>170201100</t>
  </si>
  <si>
    <t>Asociaciones fortalecidas</t>
  </si>
  <si>
    <t>420 Asociaciones de mujeres fortalecidas con iniciativas de emprendimientos en las 7 subregiones</t>
  </si>
  <si>
    <t>Comercio, industria y turismo</t>
  </si>
  <si>
    <t>7 proyectos de servicios turísticos liderados por mujeres cofinanciados, 1 por subregión</t>
  </si>
  <si>
    <t>3602</t>
  </si>
  <si>
    <t>3602003</t>
  </si>
  <si>
    <t xml:space="preserve">Se trata de la gestión que realiza Organizaciones Solidarias para la conformación de emprendimientos. Esto podrá incluir conformación, fortalecimiento, asesoría, empresas, modelo de evaluación, personas sensibilizadas, entre otros, que oriente la creación y fortalecimiento de dichas organizaciones. </t>
  </si>
  <si>
    <t>360200300</t>
  </si>
  <si>
    <t>4501007</t>
  </si>
  <si>
    <t>Servicio información implementado</t>
  </si>
  <si>
    <t>Diseño e implementación de las Tics orientadas a atender las necesidades de las dependencias de la entidad en Sistemas de Información, infraestructura computacional, y  redes, que apoyen los proceso de toma de decisiones y la accesibilidad a la ciudadanía.</t>
  </si>
  <si>
    <t>450100700</t>
  </si>
  <si>
    <t>1 sistema de información implementado para la promoción de talento humano de las mujeres articulado con el Servicio público de empleo</t>
  </si>
  <si>
    <t>3602027</t>
  </si>
  <si>
    <t>360202700</t>
  </si>
  <si>
    <t>3602002</t>
  </si>
  <si>
    <t>Servicios de gestión para generación y formalización del empleo</t>
  </si>
  <si>
    <t>Hace referencia a la gestión que realiza el Ministerio del Trabajo para la  generación y formalización del empleo en diferentes grupos poblacionales (victimas, población con discapacidad, jóvenes,  mujeres, indígenas, afrocolombianos, población ROM, entre otros) mediante  diferentes espacios de participación (foros, seminarios, talleres entre otros). </t>
  </si>
  <si>
    <t>360200200</t>
  </si>
  <si>
    <t>Eventos realizados</t>
  </si>
  <si>
    <t xml:space="preserve">14 eventos y/o ferias para promover con los diferentes gremios empresariales la contratación de mujeres.
</t>
  </si>
  <si>
    <t>Títulos adjudicados que otorgan propiedad de la tierra a mujeres</t>
  </si>
  <si>
    <t>Mide la relación entre títulos adjudicados que otorgan propiedad de la tierra a mujeres y la totalidad de títulos otorgados</t>
  </si>
  <si>
    <t>Programa de Formalización de la Propiedad Rural - Agencia Nacional de Tierras - ANT -  Ministerio de Agricultura</t>
  </si>
  <si>
    <t>Aumentar a un 8%  los títulos en proceso que otorgan propiedad de la tierra a mujeres</t>
  </si>
  <si>
    <t>17</t>
  </si>
  <si>
    <t>1704017</t>
  </si>
  <si>
    <t>Servicio de apoyo para el fomento de la formalidad</t>
  </si>
  <si>
    <t>Estrategias de comunicación efectiva sobre los beneficios de contar con su título de propiedad en regla y los documentos correspondientes y que sus acciones derivadas o el reparto de la tierra a sus descendientes mantengan la línea de la formalidad.</t>
  </si>
  <si>
    <t>170401700</t>
  </si>
  <si>
    <t xml:space="preserve">Personas sensibilizadas en la formalización </t>
  </si>
  <si>
    <t>1.500  mujeres sensibilizadas para el acceso o formalización de predios</t>
  </si>
  <si>
    <t>Tasa de violencia intrafamiliar hacia mujeres</t>
  </si>
  <si>
    <t>Mide el porcentaje de casos de violencia intrafamiliar donde la víctima es mujer por cada 100.000 mujeres</t>
  </si>
  <si>
    <t>Sistema integrado de información sobre violencias de género (SIVIGE), Instituto Nacional de Medicina Legal y Ciencias Forenses.</t>
  </si>
  <si>
    <t>1202020</t>
  </si>
  <si>
    <t>Servicio de divulgación para promover el acceso a la Justicia</t>
  </si>
  <si>
    <t>Hace referencia al desarrollo de campañas de difusión para promover el acceso a la justicia.</t>
  </si>
  <si>
    <t>120202000</t>
  </si>
  <si>
    <t>Campañas de divulgación ejecutadas</t>
  </si>
  <si>
    <t xml:space="preserve">36 campañas implementadas para convertir al Cauca en un territorio seguro para las mujeres y promover la 0 tolerancia de violencias hacia las mujeres </t>
  </si>
  <si>
    <t>Inclusión Social y reconciliación</t>
  </si>
  <si>
    <t>4101079</t>
  </si>
  <si>
    <t>Servicio de asistencia técnica a comunidades en temas de fortalecimiento del tejido social y construcción de escenarios comunitarios protectores de derechos</t>
  </si>
  <si>
    <t>Incluye el desarrollo de acciones de intervención comunitaria,  transmisión de saberes intergeneracionales y acciones de formación comunitaria con enfoque diferencial, que fortalezcan la activación de la reconstrucción del tejido social y la participación ciudadana.</t>
  </si>
  <si>
    <t>Número de acciones</t>
  </si>
  <si>
    <t>410107900</t>
  </si>
  <si>
    <t>Acciones ejecutadas con las comunidades</t>
  </si>
  <si>
    <t>7 semilleros de prevención de violencias hacia las mujeres implementados</t>
  </si>
  <si>
    <t>4102042</t>
  </si>
  <si>
    <t>Incluye el desarrollo de acciones de intervención comunitaria,  transmisión de saberes intergeneracionales y acciones de formación comunitaria con enfoque diferencial, que favorezcan la activación de redes sociales e institucionales de protección de derechos de los integrantes de las familias.</t>
  </si>
  <si>
    <t>410204200</t>
  </si>
  <si>
    <t>Servicio de orientación a casos de violencia de género</t>
  </si>
  <si>
    <t>Servicio enfocado a dar orientación en casos de cualquier acción o conducta que se desarrolle a partir de las relaciones de poder asimétricas basadas en el género, identidad sexual, sexo u orientación a través de líneas de atención.</t>
  </si>
  <si>
    <t>Número de casos</t>
  </si>
  <si>
    <t>Casos atendidos</t>
  </si>
  <si>
    <t>1.500 casos de Violencias Basadas en Género - VBG atendidos a través de asesoría jurídica y psicosocial</t>
  </si>
  <si>
    <t>Salud y protección Social</t>
  </si>
  <si>
    <t>Servicio de gestión del riesgo en temas de consumo de sustancias psicoactivas</t>
  </si>
  <si>
    <t xml:space="preserve">Acciones mediante las cuales se previene el consumo de sustancias psicoactivas en la población. </t>
  </si>
  <si>
    <t>Campañas de gestión del riesgo en temas de consumo de sustancias psicoactivas implementadas</t>
  </si>
  <si>
    <t>4 estrategias para la prevención del consumo de sustancia psicoactivas implementadas con enfoque de género</t>
  </si>
  <si>
    <t>2.000 mujeres sensibilizadas para la promoción de la salud mental a través de la red de atención en salud</t>
  </si>
  <si>
    <t>4502037</t>
  </si>
  <si>
    <t>Servicio de apoyo para el acceso a programas de educación para el trabajo y el desarrollo humano</t>
  </si>
  <si>
    <t>Corresponde al diseño y desarrollo de programas de educación para el trabajo y el desarrollo humano en el campo de la participación ciudadana y comunitaria el cual tiene como objeto preparar a la persona para impulsar procesos de autogestión, de participación, de formación democrática y en general, de organización del trabajo comunitario e institucional en las instituciones educativas del Estado o en instituciones privadas, debidamente autorizadas.</t>
  </si>
  <si>
    <t>Personas beneficiadas de servicios de educación para el trabajo y el desarrollo humano</t>
  </si>
  <si>
    <t>4502020</t>
  </si>
  <si>
    <t>Servicio de información estadística en temas de Derechos Humanos</t>
  </si>
  <si>
    <t>Recolección y procesamiento de información estadística</t>
  </si>
  <si>
    <t>Número de boletines</t>
  </si>
  <si>
    <t>Boletines estadísticos producidos</t>
  </si>
  <si>
    <t>14 Boletines estadísticos sobre la situación de las mujeres producidos</t>
  </si>
  <si>
    <t>Tasa de fecundidad específica en mujeres adolescentes de 15 a 19 años</t>
  </si>
  <si>
    <t>Mide  el número de nacidos vivos de madres entre 15 y 19 años, por cada 1000 mujeres de esta edad</t>
  </si>
  <si>
    <t xml:space="preserve">49,3
</t>
  </si>
  <si>
    <t xml:space="preserve">SISPRO - Ministerio de Salud y Protección Social - MSPS
</t>
  </si>
  <si>
    <t>1905021</t>
  </si>
  <si>
    <t>Servicio de gestión del riesgo en temas de salud sexual y reproductiva</t>
  </si>
  <si>
    <t>Corresponde a las acciones relacionadas con la prevención y mitigación de riesgos que afectan la salud sexual y reproductiva de las personas en el curso de su vida desde un enfoque de derechos.</t>
  </si>
  <si>
    <t>190502100</t>
  </si>
  <si>
    <t>Campañas de gestión del riesgo en temas de salud sexual y reproductiva implementadas</t>
  </si>
  <si>
    <t>1905019</t>
  </si>
  <si>
    <t>Servicio de educación informal en temas de salud pública</t>
  </si>
  <si>
    <t>Corresponde al servicio de educación informal en temas de salud pública, orientado a la población a nivel de individuos, familias y comunidad en general.</t>
  </si>
  <si>
    <t>190501900</t>
  </si>
  <si>
    <t>Tasa específica de fecundidad en niñas de 10 a 14 años por cada mil mujeres de 10 a 14 años</t>
  </si>
  <si>
    <t>Mide  el número de nacidos vivos de madres entre 10 y 14 años por cada 1000 niñas de esta edad.</t>
  </si>
  <si>
    <t xml:space="preserve">4.000 personas atendidas en procesos de educación informal en derechos sexuales y reproductivos y la prevención de la violencia sexual </t>
  </si>
  <si>
    <t>Participación en actividades de trabajo no remunerado, según sexo y región</t>
  </si>
  <si>
    <t xml:space="preserve">Mide el tiempo dedicado al trabajo no remunerado doméstico y de cuidado, tiempo que las mujeres y los hombres dedican en promedio a la provisión de servicios domésticos para el consumo de los hogares. </t>
  </si>
  <si>
    <t xml:space="preserve"> (DANE) Encuesta Nacional de Uso del Tiempo (ENUT)
2020-2021</t>
  </si>
  <si>
    <t>1 instancia/ sistema territorial del cuidado creado con articulación institucional con enfoque etareo y de discapacidad</t>
  </si>
  <si>
    <t xml:space="preserve"> Participación en actividades de trabajo no remunerado, según sexo y región</t>
  </si>
  <si>
    <t>Servicio de información para la promoción de los enfoques de la justicia inclusiva implementado</t>
  </si>
  <si>
    <t>Comprende el desarrollo de acciones, planes y estrategias necesarias para favorecer el dialogo, relacionamiento y concertación entre diferentes instituciones públicas de nivel nacional y territorial, las otras ramas del poder público, organizaciones civiles, de víctimas y otras que participan de la formulación, implementación o aplicación de los mecanismos de carácter transicional mediante la generación de diferentes espacios a nivel nacional, territorial e internacional. Así mismo, incluye el acompañamiento técnico y de conocimiento que se brinda a los departamentos, municipios y demás entidades territoriales en la apropiación y aplicación de los instrumentos conceptuales, metodológicos y técnicos para el desarrollo articulado de la política pública en materia de justicia transicional y sus mecanismos.</t>
  </si>
  <si>
    <t>Número de informes</t>
  </si>
  <si>
    <t> Informes realizados</t>
  </si>
  <si>
    <t xml:space="preserve">Plan de acción en el marco de la resolución 1325 del consejo de seguridad de naciones unidas para el reconocimiento del papel de las mujeres en la prevención, protección y resolución de conflictos para la construcción de paz. </t>
  </si>
  <si>
    <t>12</t>
  </si>
  <si>
    <t>JUSTICIA Y DEL DERECHO</t>
  </si>
  <si>
    <t>Servicio de apoyo para el fomento organizativo de la Agricultura Campesina, Familiar y Comunitaria</t>
  </si>
  <si>
    <t>Este servicio pretende apoyar acciones enmarcadas en Agricultura Campesina, Familiar y Comunitaria para el fomento organizativo a través de estrategias que permitan realizar un análisis diagnóstico de la situación en la que los productores agropecuarios desarrollan sus procesos productivos.</t>
  </si>
  <si>
    <t>Número de productores agropecuarios</t>
  </si>
  <si>
    <t>Productores agropecuarios apoyados</t>
  </si>
  <si>
    <t>Educación ambiental</t>
  </si>
  <si>
    <t>Servicio de asistencia técnica para la implementación de las estrategias educativas ambientales y de participación</t>
  </si>
  <si>
    <t>Estrategias educativo ambientales y de participación implementadas</t>
  </si>
  <si>
    <t>Ciencia, tecnología e innovación</t>
  </si>
  <si>
    <t>Personas apoyadas en su vocación científica</t>
  </si>
  <si>
    <t>220206500</t>
  </si>
  <si>
    <t>7 iniciativas para la promoción de la participación ciudadana de las mujeres implementadas</t>
  </si>
  <si>
    <t>4599028</t>
  </si>
  <si>
    <t>Servicio de información actualizado</t>
  </si>
  <si>
    <t>459902800</t>
  </si>
  <si>
    <t>Sistemas de información actualizados</t>
  </si>
  <si>
    <t xml:space="preserve">Paz, justicia e Instituciones solidas </t>
  </si>
  <si>
    <t xml:space="preserve">Oficina Asesora de Planeación </t>
  </si>
  <si>
    <t>1 política pública de cooperación internacional formulada e implementada</t>
  </si>
  <si>
    <t>EMCASERVICIOS S.A. E.S.P.</t>
  </si>
  <si>
    <t>Secretaría de Gobierno y participación</t>
  </si>
  <si>
    <t>4599002</t>
  </si>
  <si>
    <t>Servicio de saneamiento fiscal y financiero</t>
  </si>
  <si>
    <t xml:space="preserve">Corresponde a la ejecución del programa integral, institucional, financiero y administrativo que cubra la entidad territorial y que tenga por objeto restablecer la solidez económica y financiera de la misma mediante la adopción de medidas de reorganización administrativa, racionalización del gasto, reestructuración de la deuda, saneamiento de pasivos y fortalecimiento de los ingresos. </t>
  </si>
  <si>
    <t>459900200</t>
  </si>
  <si>
    <t>Programa de saneamiento fiscal y financiero ejecutado</t>
  </si>
  <si>
    <t xml:space="preserve">Secretaría de Hacienda
</t>
  </si>
  <si>
    <t>4599018</t>
  </si>
  <si>
    <t>459901800</t>
  </si>
  <si>
    <t>Actualizar 410 documentos  del modelo de operación por procesos de la entidad</t>
  </si>
  <si>
    <t>4599019</t>
  </si>
  <si>
    <t>Consiste en la formulación de documentos cuyo objetivo es plasmar una visión de futuro a nivel país, entidad territorial, comunidad, sector, región, entidad o cualquier nivel de desagregación que se requiera, plasmando elementos como objetivos, estrategias, metas e indicadores.</t>
  </si>
  <si>
    <t>459901900</t>
  </si>
  <si>
    <t>Documentos de planeación realizados</t>
  </si>
  <si>
    <t>Realizar 144 planes institucionales, de acción de las políticas de MIPG y mapa de riesgos con el monitoreo a la ejecución</t>
  </si>
  <si>
    <t>4599023</t>
  </si>
  <si>
    <t>Servicio de Implementación Sistemas de Gestión</t>
  </si>
  <si>
    <t>Contempla actividades de apoyo, necesarias para el diseño e implementación de sistemas de gestión y de desempeño institucional en el marco del Modelo Integrado de Planeación y Gestión - MIPG y otros instrumentos de certificación de calidad a la gestión 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</si>
  <si>
    <t>Implementar 5 sistemas de información con soporte de mantenimiento</t>
  </si>
  <si>
    <t>Realizar 12 asistencias técnicas en conocimiento de políticas MIPG</t>
  </si>
  <si>
    <t>40</t>
  </si>
  <si>
    <t>VIVIENDA, CIUDAD Y TERRITORIO</t>
  </si>
  <si>
    <t>4001001</t>
  </si>
  <si>
    <t>Servicio de asistencia técnica y jurídica en saneamiento y titulación de predios</t>
  </si>
  <si>
    <t>400100100</t>
  </si>
  <si>
    <t>Entidades territoriales asistidas técnica y jurídicamente</t>
  </si>
  <si>
    <t xml:space="preserve"> 30 entidades territoriales con asistencia técnica y jurídica para el saneamiento de predios fiscales </t>
  </si>
  <si>
    <t>4001007</t>
  </si>
  <si>
    <t>Servicio de saneamiento y titulación de bienes fiscales</t>
  </si>
  <si>
    <t>Número de bienes fiscales</t>
  </si>
  <si>
    <t>400100700</t>
  </si>
  <si>
    <t>Bienes fiscales saneados y titulados</t>
  </si>
  <si>
    <t>Conjunto de actividades administrativas y técnicas tendientes a la planificación, manejo y organización de la documentación producida y recibida por las entidades, desde su origen hasta su destino final, con el objeto de facilitar su utilización y conservación. (Ley 594 de 2000)</t>
  </si>
  <si>
    <t>Sistema de gestión implementado</t>
  </si>
  <si>
    <t>Un sistema de gestión de la seguridad y salud en el trabajo implementado y mantenido</t>
  </si>
  <si>
    <t>Un sistema de gestión documental implementado</t>
  </si>
  <si>
    <t>Sedes modificadas</t>
  </si>
  <si>
    <t>Corresponde a un inmueble sobre el cual se realizan obras para variar su diseño arquitectónico o estructural, sin incrementar su área construida. (Corresponde a la licencia de construcción por modificación)</t>
  </si>
  <si>
    <t>2 sedes modificadas</t>
  </si>
  <si>
    <t>Sedes mantenidas</t>
  </si>
  <si>
    <t>Corresponde a un inmueble sobre el cual se realizan obras, operaciones y cuidados necesarios para su conservación en buen estado o en una situación determinada para evitar su degradación. Cuando es adelantado con recursos de inversión debe asegurarse de cumplir con las condiciones de una operación de inversión pública, es decir, debe orientarse a crear, ampliar o mantener la capacidad de producción del Estado, y contar claramente con actividades limitadas en el tiempo.</t>
  </si>
  <si>
    <t>16 sedes con mantenimientos</t>
  </si>
  <si>
    <t>15 Ferias de trámites y servicios realizadas</t>
  </si>
  <si>
    <t>4 audiencias públicas de rendición de cuentas realizadas</t>
  </si>
  <si>
    <t>Oficina para la atención y orientación ciudadana modificada</t>
  </si>
  <si>
    <t>Variación en el diseño arquitectónico o estructural de la infraestructura existente, sin incrementar su área construida</t>
  </si>
  <si>
    <t>Número de oficinas para la atención y orientación ciudadana</t>
  </si>
  <si>
    <t>Oficinas para la atención y orientación ciudadana modificadas</t>
  </si>
  <si>
    <t>Servicio de apoyo financiero para el fortalecimiento del talento humano</t>
  </si>
  <si>
    <t>Corresponde al apoyo financiero para la realización de programas educativos, dirigidos a servidores públicos con el fin de contribuir a la formación del talento humano orientado al fortalecimiento de la capacidad institucional</t>
  </si>
  <si>
    <t>Número de funcionarios</t>
  </si>
  <si>
    <t>Funcionarios apoyados</t>
  </si>
  <si>
    <t>100 funcionarios con apoyo con incentivos para educación formal</t>
  </si>
  <si>
    <t>Sedes adecuadas</t>
  </si>
  <si>
    <t>Corresponde a un inmueble sobre el cual se adelantan obras de edificación que cambian, de manera completa o parcial, el uso del inmueble, garantizando la permanencia 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t>
  </si>
  <si>
    <t>1 Sala amiga de la lactancia adecuada</t>
  </si>
  <si>
    <t>8 Documentos estrategia de comunicaciones pública y planes de medios de comunicación de la entidad</t>
  </si>
  <si>
    <t>Fomento del desarrollo de aplicaciones, software y contenidos para impulsar la apropiación de las Tecnologías de la Información y las Comunicaciones (TIC)</t>
  </si>
  <si>
    <t>Servicio de educación informal para la inclusión de personas con discapacidad</t>
  </si>
  <si>
    <t>Indica la formación  de la comunidad con discapacidad y la creación de cursos que buscan la inclusión en las TIC de personas con discapacidad.</t>
  </si>
  <si>
    <t xml:space="preserve">200 personas con discapacidad capacitadas y/o formadas para la inclusión en las TIC </t>
  </si>
  <si>
    <t>Softwares  y hardware desarrollados o adquiridos para la inclusión de las personas con discapacidad en las  TIC</t>
  </si>
  <si>
    <t>Softwares y hardware para la inclusión de las personas con discapacidad en las Tecnologías de la Información y las Comunicaciones</t>
  </si>
  <si>
    <t>Número de softwares y hardware</t>
  </si>
  <si>
    <t>200 dispositivos tecnológicos adquiridos para la inclusión en las TIC de las personas con discapacidad</t>
  </si>
  <si>
    <t>Documento para la planeación estratégica en TI</t>
  </si>
  <si>
    <t xml:space="preserve">Consiste en la formulación de documento cuyo objetivo es definir el marco de referencia que alinea la gestión de tecnologías  de la información con las políticas de estado y sectoriales que se definan en la materia. </t>
  </si>
  <si>
    <t xml:space="preserve">Documentos para la planeación estratégica en TI </t>
  </si>
  <si>
    <t>3 Documentos para la planeación estratégica de TI formulados</t>
  </si>
  <si>
    <t>Servicios tecnológicos</t>
  </si>
  <si>
    <t>Corresponde al proceso que asegura la disponibilidad del servicio a través de la infraestructura informática tanto de software como de hardware, lo relacionado con seguridad informática, así como la instalación, adecuación y mejoramiento de redes de conectividad y comunicación (LAN, WAN)</t>
  </si>
  <si>
    <t>Porcentaje de capacidad</t>
  </si>
  <si>
    <t>Índice de capacidad en la prestación de servicios de tecnología</t>
  </si>
  <si>
    <t xml:space="preserve">Incrementar en un 15% la capacidad - disponibilidad de los servicios tecnológicos </t>
  </si>
  <si>
    <t>Consiste en el desarrollo de proyectos entre la universidad, empresa y Estado que permitan el fortalecimiento analítico en prospectiva del sector TIC</t>
  </si>
  <si>
    <t>Servicio de gestión de alianzas para el fortalecimiento del análisis y prospectiva del sector TIC</t>
  </si>
  <si>
    <t>Número de proyectos para fortalecimiento, análisis y prospectiva del sector TIC desarrollados</t>
  </si>
  <si>
    <t>2 Proyectos desarrollados</t>
  </si>
  <si>
    <t>Servicio de implementación Sistemas de Gestión</t>
  </si>
  <si>
    <t>Disminuir a 8% la tasa de violencia intrafamiliar hacia mujeres</t>
  </si>
  <si>
    <t>Reducir a 4% la Tasa de deserción intra-anual escolar en los niveles de preescolar, básica y media</t>
  </si>
  <si>
    <t>Promoción al acceso a la justicia</t>
  </si>
  <si>
    <t>Calidad, cobertura y fortalecimiento de la educación inicial, preescolar, básica y media</t>
  </si>
  <si>
    <t>350 Sedes educativas mejoradas en su infraestructura en los niveles de educación inicial, preescolar, básica y media</t>
  </si>
  <si>
    <t>15.000 Toldillos Impregnados de Larga Duración - TILD entregados a viviendas en localidades a mayor riesgo de los municipios de Guapi, Timbiqui y López de Micay</t>
  </si>
  <si>
    <t>100 unidades productivas para el autoconsumo instaladas para hogares en situación de vulnerabilidad social</t>
  </si>
  <si>
    <t>42 agentes institucionales asistidos técnicamente y con material lúdico-pedagógico que promueve la creatividad y el aprendizaje social a través del juego en el marco de la protección integral de niños, niñas y adolescentes - NNA</t>
  </si>
  <si>
    <t xml:space="preserve">Disminuir a 90,4 el promedio del tiempo dedicado por las mujeres al trabajo no remunerado y de cuidado en comparación con los hombres
</t>
  </si>
  <si>
    <t>Servicio de apoyo financiero para el fortalecimiento de las vocaciones científicas en CTI</t>
  </si>
  <si>
    <t>Servicio mediante el cual se otorga apoyo financiero para incentivar las vocaciones científicas en niños, niñas y adolescentes mediante las cuales se promueve el desarrollo de actitudes de habilidades de investigación en CTI</t>
  </si>
  <si>
    <t>Sistema de información socioeconómica del Cauca "Tangara" fortalecido para la producción de información estadística orientados al buen gobierno y la gestión institucional</t>
  </si>
  <si>
    <t xml:space="preserve">Implementar  un sistema estratégico para el fortalecimiento de las dependencias de la administración departamental  </t>
  </si>
  <si>
    <t>5.000 docentes capacitados acorde al plan de acción del área de Bienestar Seguridad y Salud en el trabajo - SST avalado por el Ministerio de Educación Nacional - MEN</t>
  </si>
  <si>
    <t>1 proyecto financiado para el desarrollo tecnológico y la innovación en la cadena productiva del cannabis</t>
  </si>
  <si>
    <t xml:space="preserve">1 sistema de información que permita la captura, almacenamiento, manejo, análisis y seguimiento a las diferentes variables regionales en los sectores económico, turístico, CTeI, trabajo, competitividad, desarrollo humano y minería implementado
</t>
  </si>
  <si>
    <t>7 escuelas territoriales de convivencia para el fortalecimiento de la paz total, la reconciliación y convivencia, que permita la colaboración armónica de las entidades y órganos del estado para garantizar la seguridad humana</t>
  </si>
  <si>
    <t xml:space="preserve">1 documento que contenga  el  plan integral de seguridad y convivencia - PISCC departamental  con enfoque de género, formulado e implementado. </t>
  </si>
  <si>
    <t>4 documentos de focalización de los comportamientos contrarios a la seguridad y  la convivencia ciudadana y presencia de grupos armados  implementados</t>
  </si>
  <si>
    <t>4  instancias  interinstitucionales  de la gestión territorial para la convivencia y la seguridad ciudadana trabajando articuladamente</t>
  </si>
  <si>
    <t>1 estrategia de fortalecimiento de la información, orientación, resolución de conflictos para garantizar el acceso eficiente y oportuno de los ciudadanos a la administración de justicia</t>
  </si>
  <si>
    <t xml:space="preserve">2000 jóvenes capacitados en temas relacionados con el reconocimiento de los derechos de la juventud </t>
  </si>
  <si>
    <t>200 jóvenes beneficiarios de la promoción de la actividad física, la recreación y el deporte</t>
  </si>
  <si>
    <t>200 Proyectos productivos dirigidos a adultos mayores con asistencia técnica y dotación</t>
  </si>
  <si>
    <t>42 Unidades productivas dotadas y con asistencia técnica, para la población en situación de pobreza extrema distribuida las 7 subregiones</t>
  </si>
  <si>
    <t xml:space="preserve">400 agentes educativos o madres comunitarias con acompañamiento y capacitación sobre la atención integral a la primera infancia </t>
  </si>
  <si>
    <t>42 Instituciones y entidades asistidas técnicamente  con acompañamiento familiar para la atención integral y protección de niños, niñas y adolescentes</t>
  </si>
  <si>
    <t xml:space="preserve">16 espacios de integración de la oferta pública desarrollados en el marco de la garantía de la promoción y protección de los derechos de los NNA y la superación de la pobreza y pobreza extrema </t>
  </si>
  <si>
    <t>4 Campañas  implementadas en prevención de las uniones tempranas y los embarazos en la infancia y la adolescencia</t>
  </si>
  <si>
    <t xml:space="preserve">6 estrategias territoriales implementadas  para la transversalidad del enfoque de género en la Gobernación del Cauca
</t>
  </si>
  <si>
    <t>1 Informe de auditoria energética realizado</t>
  </si>
  <si>
    <t>1000 personas capacitadas de acuerdo al Plan Institucional de Capacitación - PIC con enfoque de género</t>
  </si>
  <si>
    <t>Oficina Asesora para la gestión del Riesgo de Desastres</t>
  </si>
  <si>
    <t>Oficina de Gestión Social y asuntos poblacionales</t>
  </si>
  <si>
    <t xml:space="preserve">Atender al 22,33% del total de la matricula de los establecimientos educativos oficiales en los niveles de preescolar, básica y media, caracterizados como población víctima del conflicto </t>
  </si>
  <si>
    <t>Reporte  del Sistema Integrado  de Matricula - SIMAT Anexo6a 1 de Junio 2023 - MEN y Registro Único de víctimas</t>
  </si>
  <si>
    <t>Estrategias de promoción de la salud en temas de salud sexual y reproductiva implementados</t>
  </si>
  <si>
    <t xml:space="preserve">Implementar en los 42 municipios  el programa nacional de prevención, manejo y control de la infección respiratoria aguda - IRA  y la infección diarreica aguda - EDA en menores de 5 años </t>
  </si>
  <si>
    <t xml:space="preserve">Implementar una estrategia departamental para la reducción de la mortalidad por desnutrición aguda menores de 5 años </t>
  </si>
  <si>
    <t>Implementar una  estrategia de prevención de alteraciones de la salud bucal</t>
  </si>
  <si>
    <t>41  entidades territoriales Implementando la estrategia de gestión integrada para la zoonosis y Enfermedades Transmitidas por Vectores - ETV</t>
  </si>
  <si>
    <t>Implementar una estrategia departamental para la prevención y diagnóstico oportuno de cáncer con enfoque de género</t>
  </si>
  <si>
    <t xml:space="preserve">Desarrollar una estrategia para el control de tuberculosis en población vulnerable en municipios de alta carga con enfoque de Atención Primaria y Salud - APS y Ciudades, Entornos y Ruralidades Saludables - CERS
</t>
  </si>
  <si>
    <t>Desarrollar  una estrategia para el control de lepra en los municipios priorizados con enfoque de Atención Primaria y Salud - APS y Ciudades, Entornos y Ruralidades Saludables - CERS</t>
  </si>
  <si>
    <t>Mide los años de escolaridad que culminan las personas de 15 años y mas</t>
  </si>
  <si>
    <t xml:space="preserve">Incrementar a 9 los años de escolaridad culminados por personas de 15 años o mas
</t>
  </si>
  <si>
    <t>Desarrollar una estrategia en los municipios priorizados con la participación de todos los actores del sistema: comunidad/ EAPB/IPS/ Academia,  enfocado en Atención Primaria y Salud - APS y Ciudades, Entornos y Ruralidades Saludables - CERS para control de Enfermedades crónicas no transmisibles - ECNT  según el contexto territorial</t>
  </si>
  <si>
    <t>1 estrategia para responder a las situaciones de emergencia producida por determinantes ambientales, zoonosis y ETV implementada</t>
  </si>
  <si>
    <t xml:space="preserve">Acciones de Vigilancia entomológica, promoción, prevención y Control de las ETV y Zoonosis en 34 municipios de mayor riesgo realizadas
</t>
  </si>
  <si>
    <t>24 campañas de eliminación de criaderos, disposición de residuos sólidos inservibles y orientaciones para el lavado y cepillado de tanques realizadas</t>
  </si>
  <si>
    <t>1 estrategia dirigida a localidades rurales dispersas con acciones de educación en salud en conjunto con organizaciones sociales y comunitarias para la prevención de la malaria implementada</t>
  </si>
  <si>
    <t>Laboratorios construidos</t>
  </si>
  <si>
    <t>1 laboratorio de salud publica construido bajo los lineamientos de la resolución 1619 de 2015 y la ISO 17025 de 2017</t>
  </si>
  <si>
    <t xml:space="preserve">1 Sede de la Secretaria de Salud Departamental construida y dotada </t>
  </si>
  <si>
    <t>1903027</t>
  </si>
  <si>
    <t>Servicio de evaluación, aprobación y seguimiento de planes de gestión integral del riesgo</t>
  </si>
  <si>
    <t>190302700</t>
  </si>
  <si>
    <t>informes de evaluación, aprobación y seguimiento de Planes de Gestión Integral de Riesgo realizados</t>
  </si>
  <si>
    <t xml:space="preserve">este servicio  permite generar los informes de evaluación, aprobación y seguimiento de Planes de Gestión Integral de Riesgo </t>
  </si>
  <si>
    <t>1.558.045 posibles usuarios del sistema de información ambiental para la gestión de la inspección, vigilancia y control sanitario habilitados</t>
  </si>
  <si>
    <t>1704014</t>
  </si>
  <si>
    <t>Servicio de apoyo financiero para la formalización de la propiedad privada rural</t>
  </si>
  <si>
    <t>Apoyar las gestiones para el levantamiento de la información, geográfica, catastral y predial necesarias para formalizar el derecho de dominio de predios rurales, y  acompañar a los interesados en la realización de trámites administrativos, notariales y registrales no cumplidos oportunamente con fundamento en la posesión material sobre predios que tengan antecedentes registrales de derecho de propiedad.</t>
  </si>
  <si>
    <t>Número de predios</t>
  </si>
  <si>
    <t>170401400</t>
  </si>
  <si>
    <t xml:space="preserve">Predios de pequeña propiedad privada rural formalizados  </t>
  </si>
  <si>
    <t>500 predios de pequeña propiedad privada formalizados</t>
  </si>
  <si>
    <t>3 asociaciones u organizaciones apoyadas con la entrega de activos productivos para el mejoramiento de la actividad pesquera y acuicultura</t>
  </si>
  <si>
    <t xml:space="preserve">4 campañas de información para la construcción de la hoja de ruta para la declaratoria de áreas protegidas en cumplimiento de la sentencia 4360 de 2018 - Amazonía sujeto de derechos </t>
  </si>
  <si>
    <t>168 Asistencias técnicas entre visitas técnicas, Planes de acción especifico para la recuperación, Incorporación de la Gestión del Riesgo en documentos de Planificación realizadas</t>
  </si>
  <si>
    <t>4 Municipios con Sistema de Alertas Tempranas - SAT implementados</t>
  </si>
  <si>
    <t>4503022</t>
  </si>
  <si>
    <t>Obras de infraestructura para la reducción del riesgo de desastres</t>
  </si>
  <si>
    <t>Intervenciones que buscan reducir el nivel de riesgo existente en un determinado sitio, mediante acciones de carácter estructural – físicas que conlleven a corregir o reducir las condiciones de amenaza, cuando esto sea posible, y/o la vulnerabilidad de los elementos expuestos.</t>
  </si>
  <si>
    <t>Número de obras</t>
  </si>
  <si>
    <t>450302200</t>
  </si>
  <si>
    <t>Obras de infraestructura para la reducción del riesgo de desastres realizadas</t>
  </si>
  <si>
    <t>4 obras de reducción del riesgo realizadas</t>
  </si>
  <si>
    <t>450302300</t>
  </si>
  <si>
    <t>4 documentos de planeación elaborados</t>
  </si>
  <si>
    <t>4503024</t>
  </si>
  <si>
    <t>450302400</t>
  </si>
  <si>
    <t>4 documentos normativos de gestión del riesgo realizados</t>
  </si>
  <si>
    <t>4 organismos de atención de emergencias fortalecidos</t>
  </si>
  <si>
    <t>42 unidades productivas colectivas de jóvenes  beneficiarios de la asistencia técnica para el fortalecimiento de las capacidades empresariales</t>
  </si>
  <si>
    <t>Un documento de ajuste a la política publica departamental de Juventud "Cauca más  Joven", formulado y validado</t>
  </si>
  <si>
    <t>42 agentes de la institucionalidad de Juventud fortalecidos técnicamente en la formulación e implementación de propuestas de política pública, estrategias, planes y proyectos dirigidas a garantizar la protección integral de los jóvenes</t>
  </si>
  <si>
    <t xml:space="preserve">8 mecanismos de articulación para la gestión de la oferta social de la superación de la pobreza extrema gestionados, coordinados, implementados y con seguimiento a nivel departamental </t>
  </si>
  <si>
    <t>12 Espacios de integración de oferta pública y de seguimiento a la política de discapacidad, generados para la garantía integral de la población con discapacidad</t>
  </si>
  <si>
    <t xml:space="preserve">1 ruta departamental integral para la garantía de derechos humanos de la población LGBTI - OSIGD implementada </t>
  </si>
  <si>
    <t>8 campañas de promoción turística, locales nacionales e internacionales que oferten los atractivos turísticos del Departamento del Cauca</t>
  </si>
  <si>
    <t>1 portal de información turística fortalecido</t>
  </si>
  <si>
    <t>2 sistemas de información para la creación del observatorio de paz y derechos humanos, Derecho Internacional Humanitario - DIH y derechos ambientales del Cauca con enfoque diferencial y el Observatorio de Convivencia y Seguridad Ciudadana</t>
  </si>
  <si>
    <t>2000 victimas del conflicto armado del Departamento del Cauca asistidas técnicamente para la prevención, protección, asistencia, atención y reparación integral.</t>
  </si>
  <si>
    <t xml:space="preserve">2000 víctimas del conflicto armado atendidas con ayuda humanitaria de emergencia en especie (transporte, alojamiento temporal, alimentación, aseo, habitabilidad, cocina y saneamiento básico)
</t>
  </si>
  <si>
    <t>42 iniciativas para el diseño e implementación de acciones y estrategias que promuevan y fortalezcan el ejercicio de la participación ciudadana.</t>
  </si>
  <si>
    <t>Medición de Desempeño de las empresas - Indicador Único Sectorial - IUS</t>
  </si>
  <si>
    <t>El indicador único sectorial (IUS) permite evaluar la gestión de la totalidad de las empresas prestadoras del servicio de acueducto y alcantarillado, por medio de la evaluación y seguimiento de ocho (8) dimensiones estratégicas en las organizaciones</t>
  </si>
  <si>
    <t>500 personas capacitadas, sensibilizadas y/o formadas, en temas de turismo y/o bilingüismo entre otros</t>
  </si>
  <si>
    <t>1136 reincorporados  capacitados  en  promoción y fortalecimiento para la reconciliación, la inclusión, la seguridad y convivencia ciudadana para la reincorporación social y política</t>
  </si>
  <si>
    <t>5.000 mujeres sensibilizadas para la prevención de Violencias Basadas en Género y prácticas nocivas</t>
  </si>
  <si>
    <t>Un documento diagnóstico en el marco del proceso de formulación de la política pública para la población en condición de calle, elaborado</t>
  </si>
  <si>
    <t>Superintendencia de Servicios Públicos Domiciliarios</t>
  </si>
  <si>
    <t>Aumentar a 1.44% el indicador Único Sectorial en la dimensión de calidad del servicio en los municipios priorizados en el plan de aseguramiento</t>
  </si>
  <si>
    <t>Aumentar a 91,54% la cobertura en el servicio público de alcantarillado en la zona urbana</t>
  </si>
  <si>
    <t xml:space="preserve">Aumentar al 8,5% la cobertura en el servicio público de alcantarillado en la zona rural
</t>
  </si>
  <si>
    <t xml:space="preserve">Aumentar a 27.85% la cobertura en el servicio público domiciliario de acueducto en la zona rural 
</t>
  </si>
  <si>
    <t xml:space="preserve">Aumentar a 91.64% la cobertura en el servicio público domiciliario de acueducto en la zona urbana </t>
  </si>
  <si>
    <t>3 Estaciones de clasificación y aprovechamiento de residuos sólidos construidas</t>
  </si>
  <si>
    <t xml:space="preserve">1  alcantarillado rural ampliado
</t>
  </si>
  <si>
    <t>300 Viviendas de interés social mejoradas</t>
  </si>
  <si>
    <t>8,5 Kilómetros de vía secundaria mejorada</t>
  </si>
  <si>
    <t>10 Kilómetros de vía secundaria rehabilitada</t>
  </si>
  <si>
    <t>63 Kilómetros de vía terciaria mejorada</t>
  </si>
  <si>
    <t>2 Puentes construidos en vía secundaria existente</t>
  </si>
  <si>
    <t>2 Puentes de vía secundaria rehabilitado</t>
  </si>
  <si>
    <t>20 Estudios de pre inversión realizados</t>
  </si>
  <si>
    <t>20 Kilómetros de vía secundaria con obras complementarias de seguridad vial</t>
  </si>
  <si>
    <t>8 Polideportivos construidos</t>
  </si>
  <si>
    <t>3 Polideportivos mejorados</t>
  </si>
  <si>
    <t>2 Pistas construidas y dotadas</t>
  </si>
  <si>
    <t>1 Centro de alto rendimiento construido y dotado</t>
  </si>
  <si>
    <t>8 Plazas de mercado adecuadas</t>
  </si>
  <si>
    <t>3 oficinas para la atención y orientación ciudadana modificadas para facilitar el acceso de personas con discapacidad</t>
  </si>
  <si>
    <t>3 alcantarillados urbanos ampliados</t>
  </si>
  <si>
    <t>Número Meta de Producto</t>
  </si>
  <si>
    <t>Estrategias de gestión del riesgo para abordar situaciones  endemo-epidémicas implementadas</t>
  </si>
  <si>
    <t>2.500  bienes fiscales saneados y titulados</t>
  </si>
  <si>
    <r>
      <t xml:space="preserve">Disminuir a 44,3 la tasa de fecundidad en adolescentes de 15 a 19 años
</t>
    </r>
    <r>
      <rPr>
        <b/>
        <sz val="10"/>
        <rFont val="Calibri"/>
        <family val="2"/>
        <scheme val="minor"/>
      </rPr>
      <t xml:space="preserve">
</t>
    </r>
  </si>
  <si>
    <r>
      <t xml:space="preserve">Disminuir a 2,7 la tasa de fecundidad en niñas de 10 a 14 años
</t>
    </r>
    <r>
      <rPr>
        <b/>
        <sz val="10"/>
        <rFont val="Calibri"/>
        <family val="2"/>
        <scheme val="minor"/>
      </rPr>
      <t xml:space="preserve">
</t>
    </r>
  </si>
  <si>
    <t>4502008</t>
  </si>
  <si>
    <t>Inclusión Social y Reconciliación</t>
  </si>
  <si>
    <t>406 estímulos económicos o educativos entregados a deportistas de alto rendimiento con enfoque  étnico, campesino, de género, género diverso,  discapacidad y victima.</t>
  </si>
  <si>
    <t>50 proyectos productivos cofinanciados</t>
  </si>
  <si>
    <t>15.000 animales atendidos a través de actividades de bienestar animal</t>
  </si>
  <si>
    <t>1900 estufas ecoeficientes fijas construidas</t>
  </si>
  <si>
    <t>Servicio de comunicación y divulgación en inspección, vigilancia y control</t>
  </si>
  <si>
    <t>Número de productos</t>
  </si>
  <si>
    <t>Productos de comunicación difundidos</t>
  </si>
  <si>
    <t xml:space="preserve">Una política Pública de Promoción de la Tenencia Responsable de animales formulada, gestionada y dinamizada </t>
  </si>
  <si>
    <t>75 Estudios de preinversión para la construcción de infraestructura educativa y cultural para la paz.</t>
  </si>
  <si>
    <t>38 Iniciativas para la promoción de la convivencia ciudadana con practicas culturales</t>
  </si>
  <si>
    <t>2100 unidades productivas creadas en el sector solidario para mujeres rurales y urbanas en diferentes líneas productivas</t>
  </si>
  <si>
    <t>1 estrategia de fortalecimiento de capacidades diversas, asesoría, cualificación y construcción de rutas para el acceso laboral de las mujeres en el Departamento del Cauca</t>
  </si>
  <si>
    <t>1  Casa de acogida fortalecida para el  restablecimiento de las mujeres victimas de violencias basadas en género y sus familias en el Departamento del Cauca.</t>
  </si>
  <si>
    <t>4 medidas de protección dirigidas a lideresas defensoras de Derechos Humanos Implementadas</t>
  </si>
  <si>
    <t xml:space="preserve">4 Acciones ejecutadas para fomentar medidas de atención a  mujeres cuidadoras </t>
  </si>
  <si>
    <t xml:space="preserve">1360 mujeres formadas a través de  diplomados de educación en prevención de violencias basadas en género  y practicas nocivas </t>
  </si>
  <si>
    <t>1 Estrategia de atención para las personas cuidadoras en el territorio implementada con enfoque etario y de discapacidad</t>
  </si>
  <si>
    <t>Política Pública del cuidado formulada e implementada</t>
  </si>
  <si>
    <t>35 asociaciones o grupos de productoras rurales y de mujeres cuidadoras del ambiente en la gobernanza ambiental fortalecidas</t>
  </si>
  <si>
    <t>4 Estrategias de educación ambiental con enfoque diferencial de género acompañadas por formadoras mujeres lideresas y defensoras de derechos humanos en asuntos ambientales implementada</t>
  </si>
  <si>
    <t>1 Coliseo mejorado</t>
  </si>
  <si>
    <t>5 estudios de preinversión realizados y financiados en el sector turístico</t>
  </si>
  <si>
    <t>4.500 mujeres capacitadas en liderazgo y formación política a través de la escuela itinerante</t>
  </si>
  <si>
    <t>2 sedes del departamento construidas y dotadas</t>
  </si>
  <si>
    <t>7 Escuelas de paz implementadas mediante procesos de formación artístico y cultural para el reconocimiento de la identidad cultural local hacía el desarrollo de la paz y la reconciliación.</t>
  </si>
  <si>
    <t>1 política pública de cultura diseñada con enfoque diferencial, étnico, campesino y de género para la paz.</t>
  </si>
  <si>
    <t>Ambiente y desarrollo sostenible</t>
  </si>
  <si>
    <t xml:space="preserve"> Conservación de la biodiversidad y sus servicios ecosistémicos</t>
  </si>
  <si>
    <t>3202003</t>
  </si>
  <si>
    <t>Documentos de política para la conservación de la biodiversidad y sus servicio eco sistémicos</t>
  </si>
  <si>
    <t>Incluye la realización de los documentos de política orientados a  conservación de la biodiversidad y sus Servicio eco sistémicos</t>
  </si>
  <si>
    <t>320200300</t>
  </si>
  <si>
    <t xml:space="preserve">Documentos de política realizados </t>
  </si>
  <si>
    <t>1 política pública departamental ambiental  formulada</t>
  </si>
  <si>
    <t>1708002</t>
  </si>
  <si>
    <t>Bancos de germoplasma ampliados</t>
  </si>
  <si>
    <t xml:space="preserve">Los Bancos de Germoplasma constituyen una colección de la variabilidad genética Vegetal, Animal y de Microorganismos, de valor estratégico para el desarrollo del país. </t>
  </si>
  <si>
    <t>Número de Bancos de germoplasma</t>
  </si>
  <si>
    <t>170800200</t>
  </si>
  <si>
    <t>Bancos de germoplasma animal, vegetal y microorganismos ampliados</t>
  </si>
  <si>
    <t>3 bancos de germoplasma animal, vegetal y microorganismos ampliados</t>
  </si>
  <si>
    <t>15 manifestaciones culturales del patrimonio inmaterial con acciones de salvaguardia realizadas</t>
  </si>
  <si>
    <t xml:space="preserve">1 política pública de  seguridad y soberanía alimentaria con enfoque de ciclos de vida, género, étnico y campesino elaborada e implementada </t>
  </si>
  <si>
    <t>Línea de base meta de producto (2024)</t>
  </si>
  <si>
    <t>Transformación del Plan Nacional de Desarrollo con la  cual se armoniza la meta de producto</t>
  </si>
  <si>
    <t>Tipo de Meta (Mantenimiento, Incremento)</t>
  </si>
  <si>
    <t>Transformación del Plan Nacional de Desarrollo con la  cual se armoniza la meta de Resultado</t>
  </si>
  <si>
    <t xml:space="preserve">Nombre Indicador de resultado
</t>
  </si>
  <si>
    <t>Descripción del producto</t>
  </si>
  <si>
    <t>Implementar 1 estrategia para la prevención del suicidio con enfoque étnico, campesino y diferencial a poblaciones vulnerables</t>
  </si>
  <si>
    <t>20 sedes de empresas sociales del estado dotadas y las unidades básicas de atención priorizadas que se encuentran incluidas dentro del SISPI.</t>
  </si>
  <si>
    <t xml:space="preserve">8 Estudios de preinversión para la construcción de las unidades de atención  de la red pública y del Sistema Indígena de salud propio Intercultural SISPI. </t>
  </si>
  <si>
    <t>7.924 personas vinculadas a programas y proyectos físicos, deportivos ,recreativos y de turismo deportivo con enfoque  étnico, campesino, de género, género diverso,  discapacidad y victima.</t>
  </si>
  <si>
    <t>69.099 personas participando en actividades deportivas, recreativas, físicas y de turismo deportivo con enfoque  étnico, campesino, de género, género diverso,  discapacidad y victima con fines de esparcimiento.</t>
  </si>
  <si>
    <t>2.990 personas participando en procesos de iniciación, fundamentación y perfeccionamiento en disciplinas formativas  con enfoque  étnico, campesino, de género, género diverso,  discapacidad y victima.</t>
  </si>
  <si>
    <t>2.344 atletas preparados para competencias de alto rendimiento con enfoque  étnico, campesino, de género, género diverso,  discapacidad y victima.</t>
  </si>
  <si>
    <t xml:space="preserve">8 capacitaciones en  deporte libre de violencias de género, hábitos de salud y salud mental  con enfoque  étnico, campesino, de género, género diverso,  discapacidad y victima  dirigidas a deportistas de alto rendimiento, entrenadores, ligas y clubes y equipo de INDEPORTES  </t>
  </si>
  <si>
    <t>1.500 productores apoyados mediante la cofinanciación de proyectos productivos y/o de comercialización con enfoque   diferencial, étnico, campesino y género</t>
  </si>
  <si>
    <t>11 dotaciones y/o equipamiento de tipo mobiliario urbano o rural a unidades productivas, espacios o atractivos turísticos del departamento y/o actividades misionales de la SDEC entregados.</t>
  </si>
  <si>
    <t>1 documento de política pública de economía solidaria y popular con enfoque rural integral, territorial, étnico, género, género diverso, campesino, formulado y presentado</t>
  </si>
  <si>
    <t>1 política Pública de acción comunal formulada e implementada</t>
  </si>
  <si>
    <t>3 políticas Públicas en materia de Derechos Humanos  con enfoque étnico y campesino formulada e implementada.</t>
  </si>
  <si>
    <r>
      <t xml:space="preserve">1  Política Pública Departamental de drogas </t>
    </r>
    <r>
      <rPr>
        <b/>
        <sz val="10"/>
        <rFont val="Calibri"/>
        <family val="2"/>
        <scheme val="minor"/>
      </rPr>
      <t>con enfoque étnico y campesino formulada e implementada.</t>
    </r>
  </si>
  <si>
    <t>420 Proyectos u organizaciones de mujeres subsidiadas  o cofinanciadas</t>
  </si>
  <si>
    <t xml:space="preserve">13 Casas para la dignidad de las mujeres fortalecidas, implementadas y articuladas como medidas para la garantía de los derechos humanos de las mujeres sus niños y niñas
</t>
  </si>
  <si>
    <t>Plan de acción asociado al Programa Integral de Garantías para Mujeres Lideresas y Defensoras (PIGM Defensoras) con enfoque diferencial étnico y campesino</t>
  </si>
  <si>
    <t>1 estrategia implementada para la protección de las mujeres defensoras y lideresas de DDHH con enfoque diferencial étnico y campesino</t>
  </si>
  <si>
    <t>Enfoques del PDD con los que se relaciona la meta de producto</t>
  </si>
  <si>
    <t>Políticas Públicas Departamentales  Poblacionales con las que se relaciona la meta</t>
  </si>
  <si>
    <t>ODS al que está asociado la meta de producto</t>
  </si>
  <si>
    <t>Otra Transformación del Plan Nacional de Desarrollo con la  cual se armoniza la meta de producto</t>
  </si>
  <si>
    <t>N/A</t>
  </si>
  <si>
    <t>Incremento</t>
  </si>
  <si>
    <t>Enfoque de Paz</t>
  </si>
  <si>
    <t>NA</t>
  </si>
  <si>
    <t>Seguridad Humana y Justicia Social</t>
  </si>
  <si>
    <t>Política Pública de Juventud</t>
  </si>
  <si>
    <t xml:space="preserve">Seguridad humana y justicia social </t>
  </si>
  <si>
    <t>Convergencia Regional</t>
  </si>
  <si>
    <t>Mantenimiento</t>
  </si>
  <si>
    <t>Enfoque territorial subregional</t>
  </si>
  <si>
    <t>Política Pública de adulto mayor o envejecimiento humano y vejez</t>
  </si>
  <si>
    <t xml:space="preserve">Política pública de primera infancia, infancia, adolescencia y familia </t>
  </si>
  <si>
    <t xml:space="preserve">1. Fin de la Pobreza, 5. Igualdad de género, 16. Paz, justicia e instituciones sólidas </t>
  </si>
  <si>
    <t xml:space="preserve">1. Fin de la Pobreza, 16. Paz, justicia e instituciones sólidas </t>
  </si>
  <si>
    <t>3 Salud y bienestar. 5 Igualdad de género</t>
  </si>
  <si>
    <t>Subregional territorial</t>
  </si>
  <si>
    <t>5. Convergencia regional</t>
  </si>
  <si>
    <t>Mujer
Juventud
Personas con discapacidad
Población Sexo/genero diversa - LGTB
 Infancia, Adolescencia y Familia</t>
  </si>
  <si>
    <t>17. Alianza para lograr los objetivos</t>
  </si>
  <si>
    <t xml:space="preserve">Ordenamiento del Territorio alrededor del agua
Seguridad humana y justicia social
Derecho humano a la alimentación
Transformación productiva
Convergencia regional
</t>
  </si>
  <si>
    <t>Enfoque rural integral</t>
  </si>
  <si>
    <t>Por la dignidad de las mujeres en el cauca</t>
  </si>
  <si>
    <t>Cauca mas joven</t>
  </si>
  <si>
    <t xml:space="preserve">1. Por la dignidad de las mujeres en el cauca
2. Cauca mas joven
</t>
  </si>
  <si>
    <t>no aplica</t>
  </si>
  <si>
    <t>2.Seguiridad Humana y Justicia social</t>
  </si>
  <si>
    <t>5. Convergencia Regional</t>
  </si>
  <si>
    <t xml:space="preserve">Infancia, Adolescencia y Familia
Juventud
Discapacidad
Género diverso
Adulto mayor Mujer
</t>
  </si>
  <si>
    <t>Ordenamiento de Territorio alrededor del agua</t>
  </si>
  <si>
    <t>Territorial-subregional</t>
  </si>
  <si>
    <t xml:space="preserve">11. Ciudades y comunidades sostenibles   </t>
  </si>
  <si>
    <t>Territorial-subregional                  Rural Integral</t>
  </si>
  <si>
    <t xml:space="preserve">2. Hambre cero,   11. Ciudades y comunidades sostenibles    13. Acción por el clima      </t>
  </si>
  <si>
    <t>Seguridad humana y justicia social; Derecho humano a la alimentación</t>
  </si>
  <si>
    <t>Ambiental                            Territorial-subregional                  Rural Integral</t>
  </si>
  <si>
    <t>Transformación productiva, internacionalización y acción climática</t>
  </si>
  <si>
    <t xml:space="preserve">Enfoque étnico y campesino 
Enfoque de Género . 
Enfoque territorial – subregional 
</t>
  </si>
  <si>
    <t xml:space="preserve">POLITICA DE PIIA
</t>
  </si>
  <si>
    <t>POLTITICA DE JUVENTUD
POLITICA DE SALUD MENTAL
POLITICA PARA LA POBLACION LGTBI</t>
  </si>
  <si>
    <t xml:space="preserve">POLITICA DE PIIA
POLITICA DE JUVENTUD
</t>
  </si>
  <si>
    <t>POLITICA DE PIIA</t>
  </si>
  <si>
    <t>POLITICA DE SALUD MENTAL
POLITICA DE JUVENTUD</t>
  </si>
  <si>
    <t>POLITICA DE SALUD MENTAL
POLITICA DE JUVENTUD
POLITICA DE ADULTO MAYOR
POLITICA PIIA
POLITICA DE DISCAPACIDAD
POLITICA POBLACION LGBTI</t>
  </si>
  <si>
    <t>POLITICA PIIA
POLITICA JUVENTUD</t>
  </si>
  <si>
    <t>POLITICA DE DISCAPACIDAD
POLITICA ADULTO MAYOR</t>
  </si>
  <si>
    <t>POLITICA PIIA
POLITICA ADULTO MAYOR</t>
  </si>
  <si>
    <t xml:space="preserve">Enfoque territorial – subregional </t>
  </si>
  <si>
    <t>POLITICA ADULTO MAYOR
POLITICA PIIA</t>
  </si>
  <si>
    <t xml:space="preserve">POLITICA ADULTO MAYOR
</t>
  </si>
  <si>
    <t>POLITICA ADULTO MAYOR 
POLITICA DISCAPACIDAD</t>
  </si>
  <si>
    <t xml:space="preserve">incremento </t>
  </si>
  <si>
    <t xml:space="preserve">Territorial/ Regional, Ambiental
</t>
  </si>
  <si>
    <t>No Aplica</t>
  </si>
  <si>
    <t>Primera Infancia</t>
  </si>
  <si>
    <t>Primera infancia, Infancia, adolescencia y Juventud
Discapacidad
LGTBI Q+</t>
  </si>
  <si>
    <t>Étnico y campesino,  
Territorial / Regional</t>
  </si>
  <si>
    <t xml:space="preserve">Primera infancia, Infancia, adolescencia y Juventud
</t>
  </si>
  <si>
    <t>Étnico y campesino, Ambiental 
Rural Integral</t>
  </si>
  <si>
    <t xml:space="preserve"> Paz
</t>
  </si>
  <si>
    <t>Territorial / Regional</t>
  </si>
  <si>
    <t xml:space="preserve">Adolescencia y Juventud
</t>
  </si>
  <si>
    <t xml:space="preserve"> 
Territorial / Regional</t>
  </si>
  <si>
    <t xml:space="preserve">Paz
</t>
  </si>
  <si>
    <t>Étnico y campesino, género 
Territorial / Regional,</t>
  </si>
  <si>
    <t>Adolescencia y Juventud
Discapacidad
LGTBI Q+</t>
  </si>
  <si>
    <t>Étnico y campesino, género 
Territorial / Regional, 
Rural Integral</t>
  </si>
  <si>
    <t>2. Seguridad humana y justicia social</t>
  </si>
  <si>
    <t>Étnico y campesino, género 
Territorial / Regional, Ambiental, 
Rural Integral</t>
  </si>
  <si>
    <t xml:space="preserve">Étnico y campesino, género 
Territorial / Regional, 
</t>
  </si>
  <si>
    <t>Infancia y Adolescencia</t>
  </si>
  <si>
    <t xml:space="preserve">Étnico y campesino, 
Territorial / Regional, 
</t>
  </si>
  <si>
    <t xml:space="preserve">Étnico y campesino,  
Territorial / Regional, Ambiental 
</t>
  </si>
  <si>
    <t xml:space="preserve">Territorial / Regional 
</t>
  </si>
  <si>
    <t>Étnico y campesino, género 
Territorial / Regional, Paz
Rural Integral</t>
  </si>
  <si>
    <t>Primera infancia, Infancia, Discapacidad</t>
  </si>
  <si>
    <t>Étnico y campesino, género
Territorial / Regional, ambiental, Paz
Rural Integral</t>
  </si>
  <si>
    <t>Étnico y campesino, género 
Territorial / Regional, ambiental,  Paz
Rural Integral</t>
  </si>
  <si>
    <t>Género</t>
  </si>
  <si>
    <t xml:space="preserve">2. Seguridad humana y justicia social
</t>
  </si>
  <si>
    <t>Infancia, adolescencia y Juventud
LGTBI Q+</t>
  </si>
  <si>
    <t>Étnico y campesino, género, Paz, Rural Integral</t>
  </si>
  <si>
    <t xml:space="preserve">Étnico y campesino, género 
Territorial / Regional, Paz
</t>
  </si>
  <si>
    <t>Étnico y campesino, 
Territorial / Regional, Ambiental, Paz
Rural Integral</t>
  </si>
  <si>
    <t>* Niños, niñas, adolescentes 
* Jóvenes
* Personas con discapacidad
* Población con orientaciones sexuales e identidades de genero diversas</t>
  </si>
  <si>
    <t>* Personas con discapacidad
* Población con orientaciones sexuales e identidades de genero diversas
* Adulto Mayor
* Mujer</t>
  </si>
  <si>
    <t>Étnico y campesino, 
Territorial / Regional,  Paz
Rural Integral</t>
  </si>
  <si>
    <t>* Niños, niñas, adolescentes 
* Jóvenes
* Personas con discapacidad
* Población con orientaciones sexuales e identidades de genero diversas
* Adulto Mayor
* Mujer</t>
  </si>
  <si>
    <t>0</t>
  </si>
  <si>
    <t>* Personas con discapacidad</t>
  </si>
  <si>
    <t>Servicio de divulgación para la educación inicial, preescolar, básica y media</t>
  </si>
  <si>
    <t xml:space="preserve">Número de personas
</t>
  </si>
  <si>
    <t xml:space="preserve">
220103200</t>
  </si>
  <si>
    <t xml:space="preserve">Rural integral </t>
  </si>
  <si>
    <t>Adulto mayor
Discapacidad
Juventud
Sexo/género diverso</t>
  </si>
  <si>
    <t>Adulto mayor
Discapacidad
Juventud
Sexo/género diverso
Mujer</t>
  </si>
  <si>
    <t xml:space="preserve">Derecho humano a la alimentación
</t>
  </si>
  <si>
    <t>Ordenamiento del territorio alrededor del agua y la justicia ambiental</t>
  </si>
  <si>
    <t>Paz</t>
  </si>
  <si>
    <t xml:space="preserve">Étnico y campesino </t>
  </si>
  <si>
    <t>Ambiental</t>
  </si>
  <si>
    <t>Mujer</t>
  </si>
  <si>
    <t xml:space="preserve">Género </t>
  </si>
  <si>
    <t>Ambiental
Paz</t>
  </si>
  <si>
    <t xml:space="preserve">2. Seguridad Humana y  Justicia Social </t>
  </si>
  <si>
    <t>Ambiental
Paz
Rural Integral</t>
  </si>
  <si>
    <t>4. Internacionalización, transformación productiva para la vida  y acción climática</t>
  </si>
  <si>
    <t>3. Derecho humano a la alimentación</t>
  </si>
  <si>
    <t xml:space="preserve">17, Alianzas para lograr los objetivos </t>
  </si>
  <si>
    <t>1. Ordenamiento del territorio</t>
  </si>
  <si>
    <t>Política pública para la inclusión social de las personas en situación de discapacidad en el departamento del Cauca.</t>
  </si>
  <si>
    <t>Personas con discapacidad
Población sexo/genero diverso(LGBTIQ+)
Adulto mayor
Mujer</t>
  </si>
  <si>
    <t>Mujer
Adulto mayor</t>
  </si>
  <si>
    <t>2.Seguridad Humana y Justicia Social</t>
  </si>
  <si>
    <t xml:space="preserve">
Enfoque de Género
Enfoque étnico y campesino</t>
  </si>
  <si>
    <t>Seguridad Humana</t>
  </si>
  <si>
    <t xml:space="preserve">
Enfoque de Género
Enfoque rural integral</t>
  </si>
  <si>
    <t>5.  Igualdad de género
1. Fin de la Pobreza</t>
  </si>
  <si>
    <t xml:space="preserve">Economía productiva para la vida
</t>
  </si>
  <si>
    <t>Convergencia regional.</t>
  </si>
  <si>
    <t xml:space="preserve">
Enfoque de Género
Enfoque rural integral
Enfoque étnico y campesino</t>
  </si>
  <si>
    <t xml:space="preserve">
Economía productiva para la vida
</t>
  </si>
  <si>
    <t xml:space="preserve">
Enfoque de Género</t>
  </si>
  <si>
    <t>5.  Igualdad de género
1. Fin de la Pobreza
8. Trabajo Decente y Crecimiento Decente</t>
  </si>
  <si>
    <t xml:space="preserve">Seguridad Humana
Economía productiva para la vida
</t>
  </si>
  <si>
    <t xml:space="preserve">
Convergencia regional.</t>
  </si>
  <si>
    <t xml:space="preserve">
Economía productiva para la vida</t>
  </si>
  <si>
    <t>5.  Igualdad de género
16. Paz, justicia e instituciones sólidas</t>
  </si>
  <si>
    <t>5.  Igualdad de género
3. Salud y Bienestar</t>
  </si>
  <si>
    <t xml:space="preserve">
Enfoque de Género
Enfoque rural integral
Enfoque étnico y campesino
Enfoque Ambiental</t>
  </si>
  <si>
    <t>5.  Igualdad de género
4. Educación de Calidad</t>
  </si>
  <si>
    <t>Sistemas de gestión implementados</t>
  </si>
  <si>
    <t xml:space="preserve">Servicios de apoyo a la implementación de fuentes no convencionales de energía </t>
  </si>
  <si>
    <t xml:space="preserve"> Consolidación productiva del sector de energía eléctrica</t>
  </si>
  <si>
    <t>Capacidad instalada de generación de energía</t>
  </si>
  <si>
    <t>2102033</t>
  </si>
  <si>
    <t>Conjunto de análisis y estudios necesarios para evaluar, desde el punto de vista técnico y económico, la viabilidad de emprender un proyecto de infraestructura  de energía eléctrica</t>
  </si>
  <si>
    <t>Número de Estudios de pre inversión realizados</t>
  </si>
  <si>
    <t>210203300</t>
  </si>
  <si>
    <t>Enfoque Territorial-Subregional</t>
  </si>
  <si>
    <t>* Infancia, adolescencia y familia
*Juventud
* Personas con discapacidad
* Población sexo/género diverso (LGTB)
* Adulto mayor
* Mujer</t>
  </si>
  <si>
    <t>11. Ciudades y comunidades sostenibles</t>
  </si>
  <si>
    <t>Enfoque Rural Integral</t>
  </si>
  <si>
    <t>Enfoque ambiental</t>
  </si>
  <si>
    <t>2. Hambre Cero</t>
  </si>
  <si>
    <t>Derecho humano a la alimentación</t>
  </si>
  <si>
    <t>4. Transformación productiva, internacionalización y acción climática</t>
  </si>
  <si>
    <t>Enfoque territorial - Subregional
Enfoque rural integral
Enfoque ambiental</t>
  </si>
  <si>
    <t>Política pública de la mujer.</t>
  </si>
  <si>
    <t>4.Enfoque de Paz
2. Enfoque de género
1. Enfoque étnico y campesino</t>
  </si>
  <si>
    <t>8. Trabajo decente y crecimiento económico
1. Fin de la pobreza</t>
  </si>
  <si>
    <t>Enfoque de género
Enfoque rural integral
Enfoque étnico y campesino</t>
  </si>
  <si>
    <t>2. Seguridad Humana y Justicia Social</t>
  </si>
  <si>
    <t>incremento</t>
  </si>
  <si>
    <t xml:space="preserve">5. Enfoque de Paz
2. Enfoque de género
1.Enfoque étnico y campesino </t>
  </si>
  <si>
    <t>Enfoque rural integral
Enfoque territorial - Subregional
Enfoque de género
Enfoque étnico y campesino</t>
  </si>
  <si>
    <t xml:space="preserve">Incremento </t>
  </si>
  <si>
    <t xml:space="preserve">
1.. Enfoque étnico y campesino
2. Enfoque de género
3. Enfoque territorial- Subregional
5. Enfoque de Paz 
</t>
  </si>
  <si>
    <t xml:space="preserve">
5. Enfoque de Paz 
1.  Enfoque étnico y campesino
2. Enfoque de género</t>
  </si>
  <si>
    <t>9. Industria, Innovación e infraestructura
8. Trabajo decente y crecimiento económico</t>
  </si>
  <si>
    <t>Enfoque rural integral
Enfoque territorial - Subregional</t>
  </si>
  <si>
    <t>Enfoque territorial - Subregional</t>
  </si>
  <si>
    <t xml:space="preserve">Enfoque de género
Enfoque territorial - Subregional
</t>
  </si>
  <si>
    <t>Enfoque de género
Enfoque étnico y campesino
Enfoque territorial - Subregional</t>
  </si>
  <si>
    <t>Lograr a 100% la cobertura en formación en tradiciones, artes y oficios</t>
  </si>
  <si>
    <t>Mide  la eficacia en la ejecución de los recursos asignados en favor de la sostenibilidad del patrimonio cultural</t>
  </si>
  <si>
    <t>Este indicador mide la capacidad del sistema educativo para atender a la población en edad escolar según las edades teóricas definidas para el nivel de Básica Secundaria, sin considerar a los estudiantes matriculados en extraedad.</t>
  </si>
  <si>
    <t>Este indicador mide la capacidad del sistema educativo para atender a la población en edad escolar según las edades teóricas definidas para cada el niovel Media sin considerar a los estudiantes matriculados en extraedad.</t>
  </si>
  <si>
    <t xml:space="preserve"> Meta de producto programada al cuatrienio </t>
  </si>
  <si>
    <t>1.800 personas formadas en áreas artísticas y culturales</t>
  </si>
  <si>
    <t>Implementar un Modelo de Gestión de Discapacidad  con enfoque de género</t>
  </si>
  <si>
    <t>Implementar  una estrategia de promoción de la salud para los Grupos de Trabajadores Informales - GOTIS priorizados</t>
  </si>
  <si>
    <t>Meta de resultado del cuatrienio</t>
  </si>
  <si>
    <t>Étnico y Campesino/ Rural Integral</t>
  </si>
  <si>
    <t>Étnico y campesino, género 
Territorial / Regional, Ambiental, paz,
Rural Integral</t>
  </si>
  <si>
    <t>Este indicador mide la capacidad del sistema educativo para atender a la población en edad escolar según las edades teóricas definidas para el nivel de Básica Primaria, sin considerar a los estudiantes matriculados en extraedad.</t>
  </si>
  <si>
    <t>Procesos de formación encaminados a la enseñanza de la lectura y la escritura a población joven y adulta iletrada</t>
  </si>
  <si>
    <t>Mide el porcentaje de personas que culminan y se certifican en programas de formación en tradiciones, artes y oficios</t>
  </si>
  <si>
    <t>Étnico y campesino, 
Territorial / Regional,  Ambiental, Paz
Rural Integral</t>
  </si>
  <si>
    <t>Incluye los procesos para el diseño, producción, difusión y divulgación interna y externa, de las actividades institucionales en cuanto a retos, logros, avances y dificultades. También se incluyen los desarrollos normativos, lineamientos técnicos y demás contenidos que las entidades, en desarrollo de sus actividades misionales, incluyendo lo relativo a derechos y deberes de los ciudadanos en temas relevantes del sistema general de salud y seguridad sanitaria del País</t>
  </si>
  <si>
    <t>12.000 visitas de Inspección, Vigilancia y Control Sanitario realizadas para la verificación del cumplimiento de los estándares y normatividad vigente de establecimientos abiertos al público en los componentes de ambiente, alimentos, medicamentos y zoonosis bajo el enfoque de riesgo</t>
  </si>
  <si>
    <t>Un informe anual de la ejecución de planes de la mesas temáticas de acción intersectorial de consejos territoriales de salud ambiental - COTSA</t>
  </si>
  <si>
    <t xml:space="preserve">5.000 muestras de agua para consumo humano tomadas y transportadas para análisis  de acueductos urbanos y rurales de categorías 4, 5 y 6 </t>
  </si>
  <si>
    <t>Étnico y Campesino
Enfoque de Genero</t>
  </si>
  <si>
    <t xml:space="preserve">Territorial - subregional </t>
  </si>
  <si>
    <t>Incluye la realización de los documentos de contenido normativo para la reglamentación de las diferentes líneas de acción del programa.</t>
  </si>
  <si>
    <t>Enfoque Étnico y Campesino 
Enfoque Ambiental</t>
  </si>
  <si>
    <t>1 proyecto cofinanciado e implementado para la adecuación de la oferta turística en las siete(7)  subregiones.</t>
  </si>
  <si>
    <t>*Política pública de Mujer.
*Política pública de Discapacidad.
* Política pública de Primera infancia, infancia, adolescencia y familia.
*Política pública de Juventud.
*Política pública lGTBI.</t>
  </si>
  <si>
    <t>*Política publica de Mujer.
*Política pública de Discapacidad.
* Política pública de Primera infancia, infancia, adolescencia y familia.
*Política pública de Juventud.
*Política pública lGTBI.</t>
  </si>
  <si>
    <t>1. Política pública de la mujer.
2. Política pública de juventud
3. Política publica de discapacidad
4. Política publica de genero diverso y/o LGBTI
5. Política pública de adulto, envejecimiento y vejez.</t>
  </si>
  <si>
    <t>9. Industria, Innovación e Infraestructura</t>
  </si>
  <si>
    <t>7. Energía Asequible y no contaminante</t>
  </si>
  <si>
    <t>Recursos destinados  de acuerdo con los objetivos y principios  del FENOGE al apoyo planes, programas, proyectos o actividades que promuevan, estimulen y fomenten el desarrollo y la utilización de FNCE principalmente aquellas de carácter renovable, para la diversificación del abastecimiento energético pleno y oportuno, la competitividad de la economía colombiana y el uso eficiente de la energía contribuyendo así a un uso eficiente de los recursos naturales y a mitigar los impactos de los gases de efecto invernadero.</t>
  </si>
  <si>
    <t xml:space="preserve">Corresponde a la entrega de recursos para apoyar la implementación de las estrategias de permanencia escolar desarrolladas por las entidades territoriales a través de alimentación escolar. </t>
  </si>
  <si>
    <t>2201039</t>
  </si>
  <si>
    <t>Estudios y diseños de infraestructura educativa</t>
  </si>
  <si>
    <t>Corresponde a todos los productos relacionados a la etapa de preinversión en infraestructura, como son estudios de factibilidad, diseños arquitectónicos, planos, estudio de suelos y otros estudios y/o instrumentos similares.</t>
  </si>
  <si>
    <t>220103900</t>
  </si>
  <si>
    <t>Estudios y diseños de infraestructura educativa elaborados</t>
  </si>
  <si>
    <t xml:space="preserve">Promover y generar condiciones para que la población tenga oportunidades en el mejoramiento de sus condiciones sociales a través de la formación de ciudadanos activos, corresponsables y transformadores de sus entornos al incrementar sus niveles educativos con calidad y pertinencia, al tiempo que se mejora el acceso y la atención en salud, la recreación, el deporte y espacios culturales como catalizadores de un bienestar humano equilibrado. </t>
  </si>
  <si>
    <t>Realizar una gestión transparente y efectiva que contribuya a recobrar la confianza de los caucanos en la administración pública, propiciando la participación ciudadana y el fortalecimiento institucional para generar capacidades al interior de la administración departamental que permitan dar un adecuado soporte al accionar sectorial.</t>
  </si>
  <si>
    <t>Mejorar los entornos donde se desarrollan las actividades productivas, empresariales y sociales del Cauca, en aspectos como infraestructura, servicios públicos, conectividad, promoviendo el uso y apropiación de la Ciencia, Tecnología e Innovación para mejorar los niveles de productividad e incentivar la generación de ingresos y empleo digno, y avanzar hacia la consolidación de cadenas de valor que propendan por un desarrollo socioeconómico equitativo y sostenible.</t>
  </si>
  <si>
    <t xml:space="preserve">Propender por la resignificación del campo como una forma de vida digna, fuente generadora de ingresos mediante actividades enmarcadas en la legalidad que contribuyan a la prosperidad para las familias y comunidades caucanas, conservando y valorando nuestra riqueza ambiental para alcanzar un desarrollo socioeconómico sustentable. </t>
  </si>
  <si>
    <t>Promover y generar condiciones para que la población tenga oportunidades en el mejoramiento de sus condiciones sociales a través de la formación de ciudadanos activos, corresponsables y transformadores de sus entornos al incrementar sus niveles educativos con calidad y pertinencia, al tiempo que se mejora el acceso y la atención en salud, la recreación, el deporte y espacios culturales como catalizadores de un bienestar humano equilibrado.</t>
  </si>
  <si>
    <t>Velar por la protección de la vida, la integridad y los bienes de quienes habitan en el Cauca, basados en la confianza de la ciudadanía hacía las instituciones públicas, a través del diálogo, los acuerdos sociales y la construcción de una visión compartida para garantizar la tranquilidad, la convivencia pacífica, la inclusión, el disfrute de los derechos y la paz.</t>
  </si>
  <si>
    <t>Velar por la protección de la vida, la integridad y los bienes de quienes habitan en el Cauca, basados en la confianza de la ciudadanía hacía las instituciones públicas, a través del diálogo, los acuerdos sociales y la construcción de una visión compartida para garantizar la tranquilidad, la convivencia pacífica, la inclusión, el disfrute de los derechos y la paz</t>
  </si>
  <si>
    <t>3301</t>
  </si>
  <si>
    <t xml:space="preserve"> Promoción y acceso efectivo a procesos culturales y artísticos</t>
  </si>
  <si>
    <t>3301129</t>
  </si>
  <si>
    <t>330112900</t>
  </si>
  <si>
    <t xml:space="preserve"> Fortalecimiento a la gestión y dirección de la administración pública territorial</t>
  </si>
  <si>
    <t>4599008</t>
  </si>
  <si>
    <t>459900800</t>
  </si>
  <si>
    <t>1903057</t>
  </si>
  <si>
    <t>Servicio de promoción, prevención, vigilancia y control de vectores y zoonosis</t>
  </si>
  <si>
    <t>El Servicio de promoción, prevención, vigilancia  y control de vectores y zoonosis  permite a las entidades formular y ejecutar  efectivamente acciones para la atención del tema control de vectores y zoonosis.</t>
  </si>
  <si>
    <t>Número de municipios</t>
  </si>
  <si>
    <t>190305700</t>
  </si>
  <si>
    <t>Municipios con acciones de promoción, prevención, vigilancia  y control de vectores y zoonosis realizadas</t>
  </si>
  <si>
    <t xml:space="preserve">Infancia, adolescencia y familia
Juventud
Personas con discapacidad
Población sexo/género diverso (LGBR+)
Adulto mayor
Mujer
</t>
  </si>
  <si>
    <t>Seguridad Humana y Justicia social</t>
  </si>
  <si>
    <t>Enfoque étnico y campesino</t>
  </si>
  <si>
    <t>1. Por la dignidad de las mujeres en el cauca
2. Política publica de discapacidad</t>
  </si>
  <si>
    <t>1 política Pública campesina con enfoque de género y etario formulada e implementada</t>
  </si>
  <si>
    <t>2. Seguridad Humana y Justicia social</t>
  </si>
  <si>
    <t>1 plan estratégico elaborado e implementado de la política pública de libertad religiosa y de culto del Cauca / Decreto 0865/10 de 2019</t>
  </si>
  <si>
    <t>Étnico y campesino, de género, territorial/subregional, de paz, rural integral</t>
  </si>
  <si>
    <t>1. Fin de la Pobreza. 8 Trabajo decente y crecimiento económico</t>
  </si>
  <si>
    <t>1. Fin de la Pobreza. 16 Paz justicia e Instituciones sólidas. 5 Igual de género</t>
  </si>
  <si>
    <t>Étnico y campesino, de género, territorial/subregional, de paz</t>
  </si>
  <si>
    <t>Política Publica de Discapacidad</t>
  </si>
  <si>
    <t>Política pública de Discapacidad. Política Pública de Mujer</t>
  </si>
  <si>
    <t>Política pública de Discapacidad</t>
  </si>
  <si>
    <t>Política Pública de LGTBI-OSIGD</t>
  </si>
  <si>
    <t>Política publica de Mujer
Política Publica de Discapacidad
Política Publica LGTBI
Política Publica Adulto Mayor
Política publica de Juventud, Infancia y Adolescencia.
Política Publica de PAZ</t>
  </si>
  <si>
    <t xml:space="preserve">7 campañas de  prevención de ITS e interrupción Voluntaria de Embarazo - IVE Sentencia C 055 de 2022 con enfoque diferencial étnico  y campesino, al personal de las IPS para eliminar barreras de acceso a los servicios 
 </t>
  </si>
  <si>
    <t>5.000 jóvenes formados en  programas educativos  para la prevención del embarazo adolescente, la toma de decisiones informadas para el ejercicio de la sexualidad y relaciones saludables con equidad de género</t>
  </si>
  <si>
    <t>5.  Igualdad de género
16. Paz, Justicia e Instituciones Solidas</t>
  </si>
  <si>
    <t xml:space="preserve"> 30 Mujeres apoyadas en su vocación científica</t>
  </si>
  <si>
    <t>100 mujeres con incentivos económicos  para el acceso y la permanencia en la educación técnica, tecnológica  y  superior</t>
  </si>
  <si>
    <t>1. Enfoque étnico y campesino
 2. Enfoque de género, 3 Enfoque territorial -subregional
 4. Enfoque ambiental 5. Enfoque de paz,
 6 Enfoque rural- ambiental</t>
  </si>
  <si>
    <t xml:space="preserve">16. Paz, Justicia e Instituciones sólidas </t>
  </si>
  <si>
    <r>
      <rPr>
        <b/>
        <sz val="10"/>
        <rFont val="Calibri"/>
        <family val="2"/>
        <scheme val="minor"/>
      </rPr>
      <t>1 MW</t>
    </r>
    <r>
      <rPr>
        <sz val="10"/>
        <rFont val="Calibri"/>
        <family val="2"/>
        <scheme val="minor"/>
      </rPr>
      <t xml:space="preserve"> de capacidad instalada</t>
    </r>
  </si>
  <si>
    <t>39</t>
  </si>
  <si>
    <t xml:space="preserve">Ciencia, tecnología e innovación
</t>
  </si>
  <si>
    <t>3906</t>
  </si>
  <si>
    <t xml:space="preserve"> Fomento a vocaciones y formación, generación, uso y apropiación social del conocimiento de la ciencia, tecnología e innovación</t>
  </si>
  <si>
    <t>3906009</t>
  </si>
  <si>
    <t>Servicios de apoyo financiero para programas y proyectos de CTI que promueven la innovación, la transferencia tecnológica y el emprendimiento</t>
  </si>
  <si>
    <t>Servicio mediante el cual se realiza apoyo financiero a los programas y proyectos de CTI, que promuevan: la innovación empresarial, emprendimiento, la transferencia tecnológica  y la protección de conocimiento</t>
  </si>
  <si>
    <t>390600900</t>
  </si>
  <si>
    <t xml:space="preserve">Número de personas </t>
  </si>
  <si>
    <t>3906015</t>
  </si>
  <si>
    <t xml:space="preserve">Número de documentos </t>
  </si>
  <si>
    <t>390601500</t>
  </si>
  <si>
    <t>3905</t>
  </si>
  <si>
    <t xml:space="preserve"> Fortalecimiento de la gobernanza e institucionalidad multinivel del sector de CTeI</t>
  </si>
  <si>
    <t>3905002</t>
  </si>
  <si>
    <t xml:space="preserve">Documentos cuyo objetivo es dar una orientación frente a las acciones que el Estado debe realizar en el marco de un tema específico con el fin de suplir necesidades de interés público, materializables en los diferentes instrumentos de planeación y presupuestación                 </t>
  </si>
  <si>
    <t>390500200</t>
  </si>
  <si>
    <t>3905005</t>
  </si>
  <si>
    <t>Corresponde al acompañamiento, asesoría y seguimiento técnico en temas de políticas, lineamientos, estrategias, gobernanza y transferencia de herramientas de gestión y conocimiento a entidades nacionales y territoriales, actores del SNCTI, o a grupos de valor, en procedimientos y trámites institucionales de competencia de la entidad.</t>
  </si>
  <si>
    <t>390500500</t>
  </si>
  <si>
    <t>3905007</t>
  </si>
  <si>
    <t>Servicio de cooperación internacional para la CTeI</t>
  </si>
  <si>
    <t>Hace referencia a las acciones desarrolladas en el campo de relaciones y cooperación de CTI con organismos y entidades internacionales.</t>
  </si>
  <si>
    <t>Número de acuerdos</t>
  </si>
  <si>
    <t>390500700</t>
  </si>
  <si>
    <t>Acuerdos de cooperación suscritos</t>
  </si>
  <si>
    <t>3906011</t>
  </si>
  <si>
    <t>Servicio de apropiación social del conocimiento</t>
  </si>
  <si>
    <t>Servicio mediante el cual se realizan actividades que incluyen, entre otras:  estrategias necesarias para la sensibilización, socialización y apropiación social del conocimiento a nivel local, regional y nacional en temáticas especiales por medio de la implementación, seguimiento, acompañamiento y evaluación que promuevan el acceso a la información, fomenten la conciencia pública, la capacitación, la educación, la investigación y la participación.</t>
  </si>
  <si>
    <t>390601100</t>
  </si>
  <si>
    <t>Estrategias de apropiación realizadas</t>
  </si>
  <si>
    <t>3906005</t>
  </si>
  <si>
    <t>Servicio de apoyo financiero a programas y proyectos de Ciencia, Tecnología e Innovación (CTI) para la generación de conocimiento, desarrollo tecnológico e innovación. (I+D+i)</t>
  </si>
  <si>
    <t>Servicio mediante el cual se realiza apoyo financiero a los programas y proyectos de investigación, desarrollo experimental, procesos de innovación y desarrollo tecnológico del Sistema Nacional de Ciencia, Tecnología e Innovación transformativa</t>
  </si>
  <si>
    <t>390600500</t>
  </si>
  <si>
    <t xml:space="preserve">Programas y proyectos financiados </t>
  </si>
  <si>
    <t>3906019</t>
  </si>
  <si>
    <t xml:space="preserve">Servicios de apoyo para la implementación de innovación en las empresas </t>
  </si>
  <si>
    <t>Corresponde a recursos financieros o en especie otorgados a las empresas nacionales para fortalecer sus procesos de innovación.</t>
  </si>
  <si>
    <t>390601900</t>
  </si>
  <si>
    <t>Empresas apoyadas</t>
  </si>
  <si>
    <t>Deporte y Recreación</t>
  </si>
  <si>
    <t xml:space="preserve"> Fomento a la recreación, la actividad física y el deporte para desarrollar entornos de convivencia y paz</t>
  </si>
  <si>
    <t>4301031</t>
  </si>
  <si>
    <t>Estudios y diseños de infraestructura recreo-deportiva</t>
  </si>
  <si>
    <t>Corresponde a todos los productos relacionados a la etapa de preinversión en infraestructura recreo-deportiva, como son estudios de factibilidad, diseños arquitectónicos, planos, estudio de suelos y otros estudios y/o instrumentos similares.</t>
  </si>
  <si>
    <t>430103100</t>
  </si>
  <si>
    <t>Estudios y diseños elaborados</t>
  </si>
  <si>
    <t xml:space="preserve">554 establecimientos educativos oficiales con asistencia técnica en gestión del riesgo escolar desde los procesos de escuela segura y en paz.
</t>
  </si>
  <si>
    <t>20 establecimientos educativos con asistencia técnica para el fortalecimiento de la estrategia educativa del sistema de responsabilidad penal para adolescentes con enfoque diferencial, étnico, campesino y de género.</t>
  </si>
  <si>
    <t>600 Jóvenes y adultos de los establecimientos educativos oficiales  atendidos bajo el modelo de educación para adultos en CLEI 1 con enfoque diferencial, étnico, campesino y de género.</t>
  </si>
  <si>
    <t xml:space="preserve">Atender 12.800 Jóvenes y adultos de los establecimientos educativos oficiales en CLEI del 2 al 6 con enfoque diferencial, étnico, campesino y de género.
</t>
  </si>
  <si>
    <t>46.899 estudiantes victimas del conflicto armado atendidos en los niveles de educación inicial, preescolar, básica y media con enfoque diferencial, étnico, campesino y de género, desde los procesos de escuela segura y en paz.</t>
  </si>
  <si>
    <t>5.000 jóvenes beneficiados con estrategias o programas de  fomento para el acceso a la educación superior con enfoque diferencial, étnico, campesino y de género.</t>
  </si>
  <si>
    <t>100 jóvenes beneficiados con estrategias o programas de  fomento para el acceso y permanencia a la educación superior con enfoque diferencial, étnico, campesino y de género.</t>
  </si>
  <si>
    <t>Total recursos programados 2024 - 2027</t>
  </si>
  <si>
    <t>Política pública de Primera infancia, Política Pública de Adulto Mayor, Política Pública de Mujer, Política Pública de Juventud, Política Pública de LGTBIQ, Política Pública de Discapacidad</t>
  </si>
  <si>
    <t xml:space="preserve">Paz, género, territorial/subregional y étnico y campesino </t>
  </si>
  <si>
    <t>Ejecución del programa para el mejoramiento del índice de desempeño fiscal, que incremente las rentas propias departamentales en un 3,5% anual.</t>
  </si>
  <si>
    <t xml:space="preserve"> Salud pública</t>
  </si>
  <si>
    <t>1905031</t>
  </si>
  <si>
    <t>Servicio de promoción de la salud y prevención de riesgos asociados a condiciones no transmisibles</t>
  </si>
  <si>
    <t xml:space="preserve">Es el conjunto de acciones, procedimientos e intervenciones integrales, mediante los cuales se orienta a la población acerca de hábitos saludables que mejoran su condición de salud a través de la creación o adopción de modos, condiciones o estilos de vida saludables en los entornos cotidianos. </t>
  </si>
  <si>
    <t>190503102</t>
  </si>
  <si>
    <t>Campañas de prevención del cáncer realizadas</t>
  </si>
  <si>
    <t>Sistema de Gestión implementado</t>
  </si>
  <si>
    <t>Mide el número de defunciones asociada a desnutrición  aguda en menores de 5 años por cada 1000 nacidos vivos</t>
  </si>
  <si>
    <t>1. Politica pública de la mujer.
2. Politica pública de juventud
3. Politica publica de adulto mayor
4. Política Pública de Primera Infancia, Infancia, Adolescencia y Familia
5. Politica Pública LGBT - OSIGD</t>
  </si>
  <si>
    <t>1. Politica pública de la mujer.
2. Politica pública de juventud
3. Politica publica de discapacidad
4. Politica Pública LGBT - OSIGD</t>
  </si>
  <si>
    <t xml:space="preserve"> Aseguramiento y prestación integral de servicios de salud</t>
  </si>
  <si>
    <t>Sitio crítico de la red vial secundaria estabilizado</t>
  </si>
  <si>
    <t>Sitio crítico estabilizado</t>
  </si>
  <si>
    <t xml:space="preserve">Vía terciaria con mantenimiento </t>
  </si>
  <si>
    <t>Fomento a la recreación, la actividad física y el deporte para desarrollar entornos de convivencia y paz</t>
  </si>
  <si>
    <t>4301014</t>
  </si>
  <si>
    <t>Canchas multifuncionales construidas.</t>
  </si>
  <si>
    <t xml:space="preserve">Construcción de un escenario destinado para la práctica de baloncesto, voleibol y microfútbol, al cual se le ha construido una cubierta con el fin de optimizar su tiempo de uso. No tiene cerramientos laterales y habitualmente carece de graderías.  Las instalaciones cuentan con escenarios o tarimas de carácter fijo o móvil adecuadas para realizar actividades recreativas, cívicas o  culturales.   </t>
  </si>
  <si>
    <t>430101400</t>
  </si>
  <si>
    <t>Canchas multifuncionales construidas</t>
  </si>
  <si>
    <t>4301018</t>
  </si>
  <si>
    <t>Canchas multifuncionales mejoradas</t>
  </si>
  <si>
    <t>430101800</t>
  </si>
  <si>
    <t>Canchas de eventos recreativos mejorados</t>
  </si>
  <si>
    <t>Documentos Planeacion</t>
  </si>
  <si>
    <t>Documentos cuyo objetivo es plasmar una visión de futuro a anivel de entidad territorial, comunidad, sector, región, entidad o cualquier nivel de desagregación que se requiera. Incluye objetivos, estrategias, metas e indicadores.</t>
  </si>
  <si>
    <t xml:space="preserve"> Fortalecimiento del buen gobierno para el respeto y garantía de los derechos humanos</t>
  </si>
  <si>
    <t>Personas de la comunidad con discapacidad capacitadas en TIC para la inclusión en el uso de las TIC.</t>
  </si>
  <si>
    <t>Programacion de metas de producto 2025</t>
  </si>
  <si>
    <t>Programacion de metas de producto 2024</t>
  </si>
  <si>
    <t>Programacion de metas de producto 2026</t>
  </si>
  <si>
    <t>Programacion de metas de producto 2027</t>
  </si>
  <si>
    <t>programacion financiera metas de producto 2025</t>
  </si>
  <si>
    <t>programacion financiera metas de producto 2024</t>
  </si>
  <si>
    <t>programacion financiera metas de producto 2026</t>
  </si>
  <si>
    <t>programacion financiera metas de producto 2027</t>
  </si>
  <si>
    <t>1 MW de capacidad instalada</t>
  </si>
  <si>
    <t>1  Política Pública Departamental de drogas con enfoque étnico y campesino formulada e implementada.</t>
  </si>
  <si>
    <t>484091408.45</t>
  </si>
  <si>
    <t>2251496608.45</t>
  </si>
  <si>
    <t>612268729.8</t>
  </si>
  <si>
    <t>2829826389.8</t>
  </si>
  <si>
    <t>79540423283.33</t>
  </si>
  <si>
    <t>87375154976.73</t>
  </si>
  <si>
    <t>95981607741.94</t>
  </si>
  <si>
    <t>452931976849.44</t>
  </si>
  <si>
    <t>495729359905.83</t>
  </si>
  <si>
    <t>538055274274.33</t>
  </si>
  <si>
    <t>584425271327.46</t>
  </si>
  <si>
    <t>2071141882357.06</t>
  </si>
  <si>
    <t>373449370738.37</t>
  </si>
  <si>
    <t>409813042088.63</t>
  </si>
  <si>
    <t>450179626734.36</t>
  </si>
  <si>
    <t>494522319967.69</t>
  </si>
  <si>
    <t>1727964359529.05</t>
  </si>
  <si>
    <t>89428499198.98</t>
  </si>
  <si>
    <t>98237206370.08</t>
  </si>
  <si>
    <t>107913571197.54</t>
  </si>
  <si>
    <t>118543057960.49</t>
  </si>
  <si>
    <t>414122334727.09</t>
  </si>
  <si>
    <t>380886179454.07</t>
  </si>
  <si>
    <t>417982376462.82</t>
  </si>
  <si>
    <t>459153640544.41</t>
  </si>
  <si>
    <t>504380274138.03</t>
  </si>
  <si>
    <t>1762402470599.33</t>
  </si>
  <si>
    <t>7475627492.8</t>
  </si>
  <si>
    <t>10308703770.33</t>
  </si>
  <si>
    <t>23384331263.13</t>
  </si>
  <si>
    <t>3300092791.66</t>
  </si>
  <si>
    <t>3427146364.14</t>
  </si>
  <si>
    <t>3559091499.16</t>
  </si>
  <si>
    <t>13403448621.96</t>
  </si>
  <si>
    <t>144745888309.74</t>
  </si>
  <si>
    <t>153963870414.63</t>
  </si>
  <si>
    <t>163963387271.04</t>
  </si>
  <si>
    <t>581970457737.41</t>
  </si>
  <si>
    <t>4270908016.7</t>
  </si>
  <si>
    <t>4768164168.44</t>
  </si>
  <si>
    <t>17539704763.14</t>
  </si>
  <si>
    <t>61333153868.09</t>
  </si>
  <si>
    <t>282242196454.09</t>
  </si>
  <si>
    <t>349631100.6</t>
  </si>
  <si>
    <t>324778991.71</t>
  </si>
  <si>
    <t>1805647947.31</t>
  </si>
  <si>
    <t>60037522.71</t>
  </si>
  <si>
    <t>74445004.28</t>
  </si>
  <si>
    <t>158991348.55</t>
  </si>
  <si>
    <t>473473875.54</t>
  </si>
  <si>
    <t>1286771069.7</t>
  </si>
  <si>
    <t>1341235379.7</t>
  </si>
  <si>
    <t>5299434769.4</t>
  </si>
  <si>
    <t>154770690.81</t>
  </si>
  <si>
    <t>472341995.81</t>
  </si>
  <si>
    <t>339036791.97</t>
  </si>
  <si>
    <t>349207895.73</t>
  </si>
  <si>
    <t>359684132.6</t>
  </si>
  <si>
    <t>1368682644.3</t>
  </si>
  <si>
    <t>291757953.9</t>
  </si>
  <si>
    <t>308825794.2</t>
  </si>
  <si>
    <t>1136617148.1</t>
  </si>
  <si>
    <t>860778849.5</t>
  </si>
  <si>
    <t>911134412.19</t>
  </si>
  <si>
    <t>964435775.31</t>
  </si>
  <si>
    <t>1460561072.93</t>
  </si>
  <si>
    <t>1546003895.69</t>
  </si>
  <si>
    <t>1636445123.59</t>
  </si>
  <si>
    <t>6022850501.21</t>
  </si>
  <si>
    <t>229509934.65</t>
  </si>
  <si>
    <t>242936265.82</t>
  </si>
  <si>
    <t>257148037.38</t>
  </si>
  <si>
    <t>946419872.85</t>
  </si>
  <si>
    <t>203103046.12</t>
  </si>
  <si>
    <t>214984574.32</t>
  </si>
  <si>
    <t>227561171.92</t>
  </si>
  <si>
    <t>837526965.36</t>
  </si>
  <si>
    <t>1103645236.7</t>
  </si>
  <si>
    <t>1168208483.05</t>
  </si>
  <si>
    <t>1236548679.31</t>
  </si>
  <si>
    <t>4551052599.06</t>
  </si>
  <si>
    <t>1158507969.14</t>
  </si>
  <si>
    <t>1226280685.33</t>
  </si>
  <si>
    <t>1298018105.43</t>
  </si>
  <si>
    <t>4777287599.9</t>
  </si>
  <si>
    <t>91874624.5</t>
  </si>
  <si>
    <t>97249290.03</t>
  </si>
  <si>
    <t>357920914.53</t>
  </si>
  <si>
    <t>1067019797.7</t>
  </si>
  <si>
    <t>1129440455.86</t>
  </si>
  <si>
    <t>1195512722.53</t>
  </si>
  <si>
    <t>4400021911.09</t>
  </si>
  <si>
    <t>205095214.04</t>
  </si>
  <si>
    <t>217093284.06</t>
  </si>
  <si>
    <t>229793241.18</t>
  </si>
  <si>
    <t>845741979.28</t>
  </si>
  <si>
    <t>475103850.89</t>
  </si>
  <si>
    <t>502897426.17</t>
  </si>
  <si>
    <t>1850887617.06</t>
  </si>
  <si>
    <t>399665820.8</t>
  </si>
  <si>
    <t>423046271.31</t>
  </si>
  <si>
    <t>1556999627.11</t>
  </si>
  <si>
    <t>231568967.08</t>
  </si>
  <si>
    <t>240484372.31</t>
  </si>
  <si>
    <t>905797419.39</t>
  </si>
  <si>
    <t>197376396.12</t>
  </si>
  <si>
    <t>204975387.37</t>
  </si>
  <si>
    <t>772050903.49</t>
  </si>
  <si>
    <t>50321971.4</t>
  </si>
  <si>
    <t>52259367.3</t>
  </si>
  <si>
    <t>196837738.7</t>
  </si>
  <si>
    <t>258020214.04</t>
  </si>
  <si>
    <t>273114396.56</t>
  </si>
  <si>
    <t>289091588.76</t>
  </si>
  <si>
    <t>1063986439.36</t>
  </si>
  <si>
    <t>987333265.1</t>
  </si>
  <si>
    <t>1045092261.1</t>
  </si>
  <si>
    <t>1106230158.38</t>
  </si>
  <si>
    <t>4071422113.58</t>
  </si>
  <si>
    <t>149355241.26</t>
  </si>
  <si>
    <t>158092522.87</t>
  </si>
  <si>
    <t>167340935.46</t>
  </si>
  <si>
    <t>615889541.59</t>
  </si>
  <si>
    <t>89000669.2</t>
  </si>
  <si>
    <t>335225843.2</t>
  </si>
  <si>
    <t>1366195087.89</t>
  </si>
  <si>
    <t>1372595262.55</t>
  </si>
  <si>
    <t>5348215616.44</t>
  </si>
  <si>
    <t>279011762.2</t>
  </si>
  <si>
    <t>285714968.81</t>
  </si>
  <si>
    <t>1080049931.01</t>
  </si>
  <si>
    <t>35708822.5</t>
  </si>
  <si>
    <t>64251629.17</t>
  </si>
  <si>
    <t>166845451.67</t>
  </si>
  <si>
    <t>56255130.8</t>
  </si>
  <si>
    <t>58420952.09</t>
  </si>
  <si>
    <t>220045682.89</t>
  </si>
  <si>
    <t>6522097207.5</t>
  </si>
  <si>
    <t>7587915809.88</t>
  </si>
  <si>
    <t>7190612171.27</t>
  </si>
  <si>
    <t>26471562389.65</t>
  </si>
  <si>
    <t>1442655689.1</t>
  </si>
  <si>
    <t>1527051046.91</t>
  </si>
  <si>
    <t>5620231336.01</t>
  </si>
  <si>
    <t>819984437.9</t>
  </si>
  <si>
    <t>851553838.76</t>
  </si>
  <si>
    <t>3207423676.66</t>
  </si>
  <si>
    <t>95150277.8</t>
  </si>
  <si>
    <t>98813563.5</t>
  </si>
  <si>
    <t>372186641.3</t>
  </si>
  <si>
    <t>91854078.8</t>
  </si>
  <si>
    <t>95390460.83</t>
  </si>
  <si>
    <t>359293339.63</t>
  </si>
  <si>
    <t>320280669.5</t>
  </si>
  <si>
    <t>332611475.28</t>
  </si>
  <si>
    <t>1252799144.78</t>
  </si>
  <si>
    <t>129430747.4</t>
  </si>
  <si>
    <t>134413831.17</t>
  </si>
  <si>
    <t>506276978.57</t>
  </si>
  <si>
    <t>76448589966.5</t>
  </si>
  <si>
    <t>284903711176.5</t>
  </si>
  <si>
    <t>86135437.5</t>
  </si>
  <si>
    <t>910648296.5</t>
  </si>
  <si>
    <t>255212441.11</t>
  </si>
  <si>
    <t>270142368.91</t>
  </si>
  <si>
    <t>1103605360.02</t>
  </si>
  <si>
    <t>68462053.23</t>
  </si>
  <si>
    <t>257866033.23</t>
  </si>
  <si>
    <t>792795850.36</t>
  </si>
  <si>
    <t>823318490.6</t>
  </si>
  <si>
    <t>855016252.49</t>
  </si>
  <si>
    <t>3219969594.45</t>
  </si>
  <si>
    <t>4549460603.67</t>
  </si>
  <si>
    <t>4724614836.91</t>
  </si>
  <si>
    <t>4906512508.13</t>
  </si>
  <si>
    <t>18477802082.71</t>
  </si>
  <si>
    <t>913431326.46</t>
  </si>
  <si>
    <t>3439959286.46</t>
  </si>
  <si>
    <t>1688770483.2</t>
  </si>
  <si>
    <t>1753788146.8</t>
  </si>
  <si>
    <t>1459484989.55</t>
  </si>
  <si>
    <t>1485255703.41</t>
  </si>
  <si>
    <t>1511106006.01</t>
  </si>
  <si>
    <t>5839846698.97</t>
  </si>
  <si>
    <t>228357831.62</t>
  </si>
  <si>
    <t>859989821.62</t>
  </si>
  <si>
    <t>205380723.43</t>
  </si>
  <si>
    <t>205380722.79</t>
  </si>
  <si>
    <t>205380722.91</t>
  </si>
  <si>
    <t>616142169.13</t>
  </si>
  <si>
    <t>39993017.5</t>
  </si>
  <si>
    <t>42272619.5</t>
  </si>
  <si>
    <t>43540798.08</t>
  </si>
  <si>
    <t>44847022.02</t>
  </si>
  <si>
    <t>170653457.1</t>
  </si>
  <si>
    <t>11292489016.58</t>
  </si>
  <si>
    <t>56300800383.09</t>
  </si>
  <si>
    <t>7463333333.33</t>
  </si>
  <si>
    <t>196176110.57</t>
  </si>
  <si>
    <t>201252419.57</t>
  </si>
  <si>
    <t>206328728.57</t>
  </si>
  <si>
    <t>603757258.71</t>
  </si>
  <si>
    <t>586666666.67</t>
  </si>
  <si>
    <t>613333333.33</t>
  </si>
  <si>
    <t>456715663.33</t>
  </si>
  <si>
    <t>1319979643.33</t>
  </si>
  <si>
    <t>1006276258.36</t>
  </si>
  <si>
    <t>1053964546.11</t>
  </si>
  <si>
    <t>1103083482.49</t>
  </si>
  <si>
    <t>4417212263.96</t>
  </si>
  <si>
    <t>333333333.33</t>
  </si>
  <si>
    <t>333333333.34</t>
  </si>
  <si>
    <t>471494800.38</t>
  </si>
  <si>
    <t>1000000000.38</t>
  </si>
  <si>
    <t>39188604693.84</t>
  </si>
  <si>
    <t>1126281984.82</t>
  </si>
  <si>
    <t>1164743149.12</t>
  </si>
  <si>
    <t>42509203368.78</t>
  </si>
  <si>
    <t>313745680.5</t>
  </si>
  <si>
    <t>57089457.9</t>
  </si>
  <si>
    <t>370835138.4</t>
  </si>
  <si>
    <t>57294091.38</t>
  </si>
  <si>
    <t>59499913.9</t>
  </si>
  <si>
    <t>61790660.58</t>
  </si>
  <si>
    <t>232702065.86</t>
  </si>
  <si>
    <t>70365436.8</t>
  </si>
  <si>
    <t>73074506.12</t>
  </si>
  <si>
    <t>275196742.92</t>
  </si>
  <si>
    <t>22835783.16</t>
  </si>
  <si>
    <t>85998982.16</t>
  </si>
  <si>
    <t>54972997.5</t>
  </si>
  <si>
    <t>164997455.4</t>
  </si>
  <si>
    <t>214997455.4</t>
  </si>
  <si>
    <t>45671566.32</t>
  </si>
  <si>
    <t>171997964.32</t>
  </si>
  <si>
    <t>98322064.5</t>
  </si>
  <si>
    <t>102107463.98</t>
  </si>
  <si>
    <t>323894528.48</t>
  </si>
  <si>
    <t>479551446.39</t>
  </si>
  <si>
    <t>1485978625.39</t>
  </si>
  <si>
    <t>722182246.5</t>
  </si>
  <si>
    <t>749986262.99</t>
  </si>
  <si>
    <t>2377578509.49</t>
  </si>
  <si>
    <t>124445012.75</t>
  </si>
  <si>
    <t>129236145.74</t>
  </si>
  <si>
    <t>253681158.49</t>
  </si>
  <si>
    <t>144436449.3</t>
  </si>
  <si>
    <t>149997252.6</t>
  </si>
  <si>
    <t>563515701.9</t>
  </si>
  <si>
    <t>105044602.13</t>
  </si>
  <si>
    <t>206194917.13</t>
  </si>
  <si>
    <t>72313313.86</t>
  </si>
  <si>
    <t>75097376.45</t>
  </si>
  <si>
    <t>217043154.31</t>
  </si>
  <si>
    <t>91343132.65</t>
  </si>
  <si>
    <t>343995928.65</t>
  </si>
  <si>
    <t>1130896487.35</t>
  </si>
  <si>
    <t>3390067587.35</t>
  </si>
  <si>
    <t>342536747.42</t>
  </si>
  <si>
    <t>1169984732.42</t>
  </si>
  <si>
    <t>120940594.5</t>
  </si>
  <si>
    <t>125596807.39</t>
  </si>
  <si>
    <t>472994401.89</t>
  </si>
  <si>
    <t>76962196.5</t>
  </si>
  <si>
    <t>79925241.07</t>
  </si>
  <si>
    <t>300996437.57</t>
  </si>
  <si>
    <t>175056725.65</t>
  </si>
  <si>
    <t>181796409.59</t>
  </si>
  <si>
    <t>675420035.24</t>
  </si>
  <si>
    <t>570894579.04</t>
  </si>
  <si>
    <t>8376318684.04</t>
  </si>
  <si>
    <t>83558956.2</t>
  </si>
  <si>
    <t>86775976.01</t>
  </si>
  <si>
    <t>326796132.21</t>
  </si>
  <si>
    <t>59316523.75</t>
  </si>
  <si>
    <t>171434023.75</t>
  </si>
  <si>
    <t>7446850791.68</t>
  </si>
  <si>
    <t>45961576258.68</t>
  </si>
  <si>
    <t>23750283.2</t>
  </si>
  <si>
    <t>110224921.2</t>
  </si>
  <si>
    <t>6316179777.27</t>
  </si>
  <si>
    <t>7160379777.27</t>
  </si>
  <si>
    <t>5095364336.8</t>
  </si>
  <si>
    <t>20368454550.4</t>
  </si>
  <si>
    <t>1724729018.32</t>
  </si>
  <si>
    <t>1813107339.78</t>
  </si>
  <si>
    <t>7164051037.66</t>
  </si>
  <si>
    <t>5973647815.41</t>
  </si>
  <si>
    <t>6078963205.66</t>
  </si>
  <si>
    <t>24210537432.39</t>
  </si>
  <si>
    <t>15108919530.25</t>
  </si>
  <si>
    <t>6065235109.67</t>
  </si>
  <si>
    <t>33304624859.26</t>
  </si>
  <si>
    <t>382231534.3</t>
  </si>
  <si>
    <t>394065177.04</t>
  </si>
  <si>
    <t>1564427065.42</t>
  </si>
  <si>
    <t>4444506186.58</t>
  </si>
  <si>
    <t>4583796591.53</t>
  </si>
  <si>
    <t>18195895961.17</t>
  </si>
  <si>
    <t>7557471581.76</t>
  </si>
  <si>
    <t>7678839446.16</t>
  </si>
  <si>
    <t>30593989920.24</t>
  </si>
  <si>
    <t>6016682421.01</t>
  </si>
  <si>
    <t>6094691080.01</t>
  </si>
  <si>
    <t>6427037525.01</t>
  </si>
  <si>
    <t>6769354363.01</t>
  </si>
  <si>
    <t>25307765389.04</t>
  </si>
  <si>
    <t>59735139.75</t>
  </si>
  <si>
    <t>64513950.93</t>
  </si>
  <si>
    <t>253276992.54</t>
  </si>
  <si>
    <t>8598427258.98</t>
  </si>
  <si>
    <t>4457179441.62</t>
  </si>
  <si>
    <t>4789525885.62</t>
  </si>
  <si>
    <t>5131842724.62</t>
  </si>
  <si>
    <t>22976975310.84</t>
  </si>
  <si>
    <t>1123178666.67</t>
  </si>
  <si>
    <t>4762277546.67</t>
  </si>
  <si>
    <t>1673973333.33</t>
  </si>
  <si>
    <t>6222846933.33</t>
  </si>
  <si>
    <t>309040477.83</t>
  </si>
  <si>
    <t>333763716.06</t>
  </si>
  <si>
    <t>1310331626.01</t>
  </si>
  <si>
    <t>121582166.7</t>
  </si>
  <si>
    <t>128719039.89</t>
  </si>
  <si>
    <t>476758206.59</t>
  </si>
  <si>
    <t>58199912.45</t>
  </si>
  <si>
    <t>216107909.95</t>
  </si>
  <si>
    <t>94251914.07</t>
  </si>
  <si>
    <t>347973997.07</t>
  </si>
  <si>
    <t>165988279.5</t>
  </si>
  <si>
    <t>175731791.51</t>
  </si>
  <si>
    <t>650525071.01</t>
  </si>
  <si>
    <t>974030996.85</t>
  </si>
  <si>
    <t>1031206616.37</t>
  </si>
  <si>
    <t>3823069713.22</t>
  </si>
  <si>
    <t>235063758.11</t>
  </si>
  <si>
    <t>868834322.11</t>
  </si>
  <si>
    <t>117531879.05</t>
  </si>
  <si>
    <t>434417161.05</t>
  </si>
  <si>
    <t>5587641703.2</t>
  </si>
  <si>
    <t>4827586260.17</t>
  </si>
  <si>
    <t>21267679963.37</t>
  </si>
  <si>
    <t>782327423.7</t>
  </si>
  <si>
    <t>828250043.47</t>
  </si>
  <si>
    <t>3072254467.17</t>
  </si>
  <si>
    <t>32983798.5</t>
  </si>
  <si>
    <t>34919947.47</t>
  </si>
  <si>
    <t>129664745.97</t>
  </si>
  <si>
    <t>255655934.7</t>
  </si>
  <si>
    <t>270662938.07</t>
  </si>
  <si>
    <t>999819872.77</t>
  </si>
  <si>
    <t>116399824.91</t>
  </si>
  <si>
    <t>432215819.91</t>
  </si>
  <si>
    <t>465599299.63</t>
  </si>
  <si>
    <t>1728863279.63</t>
  </si>
  <si>
    <t>1398041405.55</t>
  </si>
  <si>
    <t>1480106436.06</t>
  </si>
  <si>
    <t>5486520741.61</t>
  </si>
  <si>
    <t>1070878389.14</t>
  </si>
  <si>
    <t>3976385543.14</t>
  </si>
  <si>
    <t>814843207.15</t>
  </si>
  <si>
    <t>862674503.41</t>
  </si>
  <si>
    <t>3193601410.56</t>
  </si>
  <si>
    <t>792038878.8</t>
  </si>
  <si>
    <t>826033169.87</t>
  </si>
  <si>
    <t>3100336048.67</t>
  </si>
  <si>
    <t>954478564.23</t>
  </si>
  <si>
    <t>3544169723.23</t>
  </si>
  <si>
    <t>878691906.92</t>
  </si>
  <si>
    <t>930271121.86</t>
  </si>
  <si>
    <t>3444691548.78</t>
  </si>
  <si>
    <t>2422950253.39</t>
  </si>
  <si>
    <t>2402088284.97</t>
  </si>
  <si>
    <t>9598474318.36</t>
  </si>
  <si>
    <t>775073290.5</t>
  </si>
  <si>
    <t>580567880.08</t>
  </si>
  <si>
    <t>2948492082.58</t>
  </si>
  <si>
    <t>81479877.43</t>
  </si>
  <si>
    <t>302551073.93</t>
  </si>
  <si>
    <t>236195812.25</t>
  </si>
  <si>
    <t>871035663.25</t>
  </si>
  <si>
    <t>105838768.35</t>
  </si>
  <si>
    <t>112051504.05</t>
  </si>
  <si>
    <t>413466772.4</t>
  </si>
  <si>
    <t>218667403.5</t>
  </si>
  <si>
    <t>832080853.5</t>
  </si>
  <si>
    <t>121740227.78</t>
  </si>
  <si>
    <t>128679420.76</t>
  </si>
  <si>
    <t>132539803.39</t>
  </si>
  <si>
    <t>136515997.49</t>
  </si>
  <si>
    <t>519475449.42</t>
  </si>
  <si>
    <t>140171412.5</t>
  </si>
  <si>
    <t>533385162.5</t>
  </si>
  <si>
    <t>64959534.59</t>
  </si>
  <si>
    <t>68662228.06</t>
  </si>
  <si>
    <t>70722094.9</t>
  </si>
  <si>
    <t>72843757.75</t>
  </si>
  <si>
    <t>277187615.3</t>
  </si>
  <si>
    <t>86740227.78</t>
  </si>
  <si>
    <t>91684420.76</t>
  </si>
  <si>
    <t>94434953.39</t>
  </si>
  <si>
    <t>97268001.99</t>
  </si>
  <si>
    <t>370127603.92</t>
  </si>
  <si>
    <t>89693501.95</t>
  </si>
  <si>
    <t>94806031.56</t>
  </si>
  <si>
    <t>97650212.51</t>
  </si>
  <si>
    <t>100579718.88</t>
  </si>
  <si>
    <t>382729464.9</t>
  </si>
  <si>
    <t>4798726775.78</t>
  </si>
  <si>
    <t>5224421828.06</t>
  </si>
  <si>
    <t>5381154482.9</t>
  </si>
  <si>
    <t>20476557288.74</t>
  </si>
  <si>
    <t>3425203866.32</t>
  </si>
  <si>
    <t>3620440486.7</t>
  </si>
  <si>
    <t>3729053701.3</t>
  </si>
  <si>
    <t>3840925312.34</t>
  </si>
  <si>
    <t>14615623366.66</t>
  </si>
  <si>
    <t>162598838.5</t>
  </si>
  <si>
    <t>618726788.5</t>
  </si>
  <si>
    <t>312180678.12</t>
  </si>
  <si>
    <t>329974976.78</t>
  </si>
  <si>
    <t>339874226.08</t>
  </si>
  <si>
    <t>350070452.86</t>
  </si>
  <si>
    <t>1332100333.84</t>
  </si>
  <si>
    <t>249808158.4</t>
  </si>
  <si>
    <t>264047223.42</t>
  </si>
  <si>
    <t>271968640.13</t>
  </si>
  <si>
    <t>280127699.33</t>
  </si>
  <si>
    <t>1065951721.28</t>
  </si>
  <si>
    <t>304673869.27</t>
  </si>
  <si>
    <t>2322040279.82</t>
  </si>
  <si>
    <t>331701488.22</t>
  </si>
  <si>
    <t>341652532.86</t>
  </si>
  <si>
    <t>3300068170.17</t>
  </si>
  <si>
    <t>196144078.57</t>
  </si>
  <si>
    <t>207324291.05</t>
  </si>
  <si>
    <t>213544019.78</t>
  </si>
  <si>
    <t>219950340.37</t>
  </si>
  <si>
    <t>836962729.77</t>
  </si>
  <si>
    <t>214029065.82</t>
  </si>
  <si>
    <t>226228722.57</t>
  </si>
  <si>
    <t>233015584.25</t>
  </si>
  <si>
    <t>240006051.78</t>
  </si>
  <si>
    <t>913279424.42</t>
  </si>
  <si>
    <t>130151712.79</t>
  </si>
  <si>
    <t>137570360.42</t>
  </si>
  <si>
    <t>141697471.23</t>
  </si>
  <si>
    <t>145948395.36</t>
  </si>
  <si>
    <t>555367939.8</t>
  </si>
  <si>
    <t>154492512.3</t>
  </si>
  <si>
    <t>163298585.51</t>
  </si>
  <si>
    <t>168197543.07</t>
  </si>
  <si>
    <t>173243469.36</t>
  </si>
  <si>
    <t>659232110.24</t>
  </si>
  <si>
    <t>179051781.09</t>
  </si>
  <si>
    <t>189257732.61</t>
  </si>
  <si>
    <t>194935464.59</t>
  </si>
  <si>
    <t>200783528.53</t>
  </si>
  <si>
    <t>764028506.82</t>
  </si>
  <si>
    <t>62558627.43</t>
  </si>
  <si>
    <t>66124469.2</t>
  </si>
  <si>
    <t>68108203.27</t>
  </si>
  <si>
    <t>70151449.37</t>
  </si>
  <si>
    <t>266942749.27</t>
  </si>
  <si>
    <t>1764160307.25</t>
  </si>
  <si>
    <t>12332739411.25</t>
  </si>
  <si>
    <t>1872525140.95</t>
  </si>
  <si>
    <t>1928700895.18</t>
  </si>
  <si>
    <t>1986561922.03</t>
  </si>
  <si>
    <t>7559334922.16</t>
  </si>
  <si>
    <t>fuente</t>
  </si>
  <si>
    <t>sector</t>
  </si>
  <si>
    <t>producto</t>
  </si>
  <si>
    <t>numero_meta_de_producto</t>
  </si>
  <si>
    <t>codigo_le</t>
  </si>
  <si>
    <t>linea_estrategica</t>
  </si>
  <si>
    <t>objetivo_linea_estrategica</t>
  </si>
  <si>
    <t>descripcion_del_indicador</t>
  </si>
  <si>
    <t>linea_base</t>
  </si>
  <si>
    <t>año_base</t>
  </si>
  <si>
    <t>meta_de_resultado_del_cuatrienio</t>
  </si>
  <si>
    <t>secretaria_o_dependencia_responsable_de_la_meta_de_resultado</t>
  </si>
  <si>
    <t>codigo_del_sector</t>
  </si>
  <si>
    <t>programa_presupuestal</t>
  </si>
  <si>
    <t>codigo_del_producto</t>
  </si>
  <si>
    <t>descripcion_del_producto</t>
  </si>
  <si>
    <t>medido_a_traves_de</t>
  </si>
  <si>
    <t>codigo_del_indicador_de_producto</t>
  </si>
  <si>
    <t>indicador_de_producto</t>
  </si>
  <si>
    <t>ods_al_que_esta_asociado_la_meta_de_producto</t>
  </si>
  <si>
    <t>programacion_de_metas_de_producto_2024</t>
  </si>
  <si>
    <t>programacion_de_metas_de_producto_2025</t>
  </si>
  <si>
    <t>programacion_de_metas_de_producto_2026</t>
  </si>
  <si>
    <t>programacion_de_metas_de_producto_2027</t>
  </si>
  <si>
    <t>programacion_financiera_metas_de_producto_2024</t>
  </si>
  <si>
    <t>programacion_financiera_metas_de_producto_2025</t>
  </si>
  <si>
    <t>programacion_financiera_metas_de_producto_2026</t>
  </si>
  <si>
    <t>programacion_financiera_metas_de_producto_2027</t>
  </si>
  <si>
    <t>nombre_indicador_de_resultado</t>
  </si>
  <si>
    <t>Territorial/ Regional, Ambiental</t>
  </si>
  <si>
    <t>Primera infancia, Infancia, adolescencia y JuventudDiscapacidadLGTBI Q+</t>
  </si>
  <si>
    <t>Étnico y campesino,  Territorial / Regional</t>
  </si>
  <si>
    <t>Primera infancia, Infancia, adolescencia y Juventud</t>
  </si>
  <si>
    <t>Étnico y campesino, Ambiental Rural Integral</t>
  </si>
  <si>
    <t xml:space="preserve"> Paz</t>
  </si>
  <si>
    <t>Adolescencia y Juventud</t>
  </si>
  <si>
    <t xml:space="preserve"> Territorial / Regional</t>
  </si>
  <si>
    <t>350 sedes educativas apoyadas en la implementación de la ruta de atención integral para la convivencia escolar de acuerdo a su contexto</t>
  </si>
  <si>
    <t>Étnico y campesino, género Territorial / Regional,</t>
  </si>
  <si>
    <t>Adolescencia y JuventudDiscapacidadLGTBI Q+</t>
  </si>
  <si>
    <t>Étnico y campesino, género Territorial / Regional, Rural Integral</t>
  </si>
  <si>
    <t>Étnico y campesino, género Territorial / Regional, Ambiental, Rural Integral</t>
  </si>
  <si>
    <t xml:space="preserve">Étnico y campesino, género Territorial / Regional, </t>
  </si>
  <si>
    <t>Étnico y campesino, género Territorial / Regional, Ambiental, paz,Rural Integral</t>
  </si>
  <si>
    <t xml:space="preserve">Étnico y campesino, Territorial / Regional, </t>
  </si>
  <si>
    <t xml:space="preserve">Étnico y campesino,  Territorial / Regional, Ambiental </t>
  </si>
  <si>
    <t xml:space="preserve">Territorial / Regional </t>
  </si>
  <si>
    <t>Étnico y campesino, género Territorial / Regional, PazRural Integral</t>
  </si>
  <si>
    <t>Étnico y campesino, géneroTerritorial / Regional, ambiental, PazRural Integral</t>
  </si>
  <si>
    <t>24 campañas informativas del sector educativo, socializadas y divulgadas mediante estrategias de comunicación</t>
  </si>
  <si>
    <t>Étnico y campesino, género Territorial / Regional, ambiental,  PazRural Integral</t>
  </si>
  <si>
    <t xml:space="preserve">1200 sedes dotadas con ambientes de aprendizaje para la educación inicial preescolar, básica y media  con enfoque diferencial en armonía con los sistemas etnoeducativos y culturales propios  </t>
  </si>
  <si>
    <t>Reducir en 600 estudiantes la tasa de deserción en los establecimientos educativos oficiales</t>
  </si>
  <si>
    <t>Infancia, adolescencia y JuventudLGTBI Q+</t>
  </si>
  <si>
    <t>554 establecimientos educativos oficiales con asistencia técnica en gestión del riesgo escolar desde los procesos de escuela segura y en paz.</t>
  </si>
  <si>
    <t>Étnico y campesino, género Territorial / Regional, Paz</t>
  </si>
  <si>
    <t>Incrementar a 9 los años de escolaridad culminados por personas de 15 años o mas</t>
  </si>
  <si>
    <t>Atender 12.800 Jóvenes y adultos de los establecimientos educativos oficiales en CLEI del 2 al 6 con enfoque diferencial, étnico, campesino y de género.</t>
  </si>
  <si>
    <t xml:space="preserve">Oficina de Cultura Departamental </t>
  </si>
  <si>
    <t>Étnico y campesino, Territorial / Regional, Ambiental, PazRural Integral</t>
  </si>
  <si>
    <t>* Niños, niñas, adolescentes * Jóvenes* Personas con discapacidad* Población con orientaciones sexuales e identidades de genero diversas</t>
  </si>
  <si>
    <t>* Personas con discapacidad* Población con orientaciones sexuales e identidades de genero diversas* Adulto Mayor* Mujer</t>
  </si>
  <si>
    <t>Étnico y campesino, Territorial / Regional,  PazRural Integral</t>
  </si>
  <si>
    <t>* Niños, niñas, adolescentes * Jóvenes* Personas con discapacidad* Población con orientaciones sexuales e identidades de genero diversas* Adulto Mayor* Mujer</t>
  </si>
  <si>
    <t>Son las capacitaciones para fortalecer las competencias y la calidad de los conocimientos de creadores de contenidos culturales mediáticos, de gestores y agentes culturales, de bibliotecarios, de músicos, de agentes que trabajan con la primera infancia, agentes del campo literario y el libro y agentes del campo de artes visuales y plásticas. La educación informal hace referencia a la adquisición del aprendizaje y todo tipo de conocimiento libre y espontáneo, proveniente de personas, entidades, medios masivos de comunicación, medios impresos, tradiciones, costumbres, comportamientos sociales y otros no estructurados. Incluye charlas, talleres, cursos no certificados.</t>
  </si>
  <si>
    <t>Étnico y campesino, Territorial / Regional,  Ambiental, PazRural Integral</t>
  </si>
  <si>
    <t>Vacunación en menores de 1 año: BCG: 64,5% triple viral: 91,2%Pentavalente: 87,2% SRP: 91,2%Vacunación en niñas y niños 5 años:DPT: 88,6%</t>
  </si>
  <si>
    <t>Lograr coberturas útiles devacunación (95% -biológicos trazadores).Vacunación en menores de 1 año: BCG, triple viral 1 dosis,  Pentavalente 3 dosis, SRP, Vacunación en niñas y niños 5 años: segundo refuerzo DPT</t>
  </si>
  <si>
    <t xml:space="preserve">Enfoque étnico y campesino Enfoque de Género . Enfoque territorial – subregional </t>
  </si>
  <si>
    <t>Contener la Razón de Mortalidad Materna en 54,6 por 100,000 nacidos vivos**Información preliminar año 2022</t>
  </si>
  <si>
    <t>POLTITICA DE JUVENTUDPOLITICA DE SALUD MENTALPOLITICA PARA LA POBLACION LGTBI</t>
  </si>
  <si>
    <t>POLITICA DE PIIAPOLITICA DE JUVENTUD</t>
  </si>
  <si>
    <t>POLITICA DE SALUD MENTALPOLITICA DE JUVENTUD</t>
  </si>
  <si>
    <t>Sistema de información de cuenta de alto costo -HIGIA - Ministerio de Salud y Protección Social.DANE</t>
  </si>
  <si>
    <t>POLITICA DE SALUD MENTALPOLITICA DE JUVENTUDPOLITICA DE ADULTO MAYORPOLITICA PIIAPOLITICA DE DISCAPACIDADPOLITICA POBLACION LGBTI</t>
  </si>
  <si>
    <t>POLITICA PIIAPOLITICA JUVENTUD</t>
  </si>
  <si>
    <t>POLITICA DE DISCAPACIDADPOLITICA ADULTO MAYOR</t>
  </si>
  <si>
    <t>POLITICA PIIAPOLITICA ADULTO MAYOR</t>
  </si>
  <si>
    <t>POLITICA ADULTO MAYORPOLITICA PIIA</t>
  </si>
  <si>
    <t xml:space="preserve">Centro Regulador de Urgencias y Emergencias- CRUEDANE  </t>
  </si>
  <si>
    <t>Desarrollar una estrategia para el control de tuberculosis en población vulnerable en municipios de alta carga con enfoque de Atención Primaria y Salud - APS y Ciudades, Entornos y Ruralidades Saludables - CERS</t>
  </si>
  <si>
    <t>POLITICA ADULTO MAYOR</t>
  </si>
  <si>
    <t>SIVIGILA - Departamento del CaucaDANE</t>
  </si>
  <si>
    <t>POLITICA ADULTO MAYOR POLITICA DISCAPACIDAD</t>
  </si>
  <si>
    <t>Acciones de Vigilancia entomológica, promoción, prevención y Control de las ETV y Zoonosis en 34 municipios de mayor riesgo realizadas</t>
  </si>
  <si>
    <t>19 instituciones prestadoras de servicios de salud asistidas técnicamente para el cumplimiento de la Política Nacional de talento Humano</t>
  </si>
  <si>
    <t xml:space="preserve">1300 visitas de inspección y vigilancia a Instituciones Prestadoras de servicios desalud y Entidades Administradoras dePlanes de beneficios que hacen presencia en el Departamento  </t>
  </si>
  <si>
    <t>300 asistencias técnicas en inspección y vigilancia a Instituciones Prestadoras de servicios desalud y entidades municipales sobre saneamiento de cuentas y recursos que financian el régimen subsidiado</t>
  </si>
  <si>
    <t>Ministerio del interior.Gobernación del Cauca- Secretaría de Gobierno y Participación.</t>
  </si>
  <si>
    <t>Étnico y CampesinoEnfoque de Genero</t>
  </si>
  <si>
    <t>Infancia, Adolescencia y FamiliaJuventudDiscapacidadGénero diversoAdulto mayor Mujer</t>
  </si>
  <si>
    <t>Adulto mayorDiscapacidadJuventudSexo/género diverso</t>
  </si>
  <si>
    <t>1. Fin de la pobreza2. Hambre cero</t>
  </si>
  <si>
    <t>1. Fin de la pobreza2. Hambre cero6. Agua limpia y saneamiento13. Acción por el clima</t>
  </si>
  <si>
    <t xml:space="preserve">Derecho humano a la alimentaciónOrdenamiento del territorio alrededor del agua y la justicia ambiental </t>
  </si>
  <si>
    <t>Adulto mayorDiscapacidadJuventudSexo/género diversoMujer</t>
  </si>
  <si>
    <t>1. Fin de la pobreza2. Hambre cero4. Educación de calidad6. Agua limpia y saneamiento</t>
  </si>
  <si>
    <t>1. Fin de la pobreza2. Hambre cero4. Educación de calidad</t>
  </si>
  <si>
    <t>1. Fin de la pobreza2. Hambre cero13. Acción por el clima</t>
  </si>
  <si>
    <t>Transformación 2 Catalizador: Educación, formación y reconversión laboral como respuesta al cambio productivoTransformación 3 Catalizador: Transformación del sector agropecuario para producir más y mejores alimentos</t>
  </si>
  <si>
    <t>1. Fin de la pobreza2. Hambre cero8. Trabajo decente y crecimiento económico9. Industria, innovación e infraestructura11. Unidades y comunidades sostenibles12. Producción y consumos sostenibles14. Vida submarina15. Vida de ecosistemas terrestres16. Paz, justicia e instituciones sólidas</t>
  </si>
  <si>
    <t>Seguridad humana y justicia socialTransformación Productiva, Internacionalización y Acción Climática</t>
  </si>
  <si>
    <t>5. Igualdad de género9. Industria, innovación e infraestructura10. Reducción de las desigualdades17. Alianzas para lograr los objetivos</t>
  </si>
  <si>
    <t>2,8% de hogares en situación de inseguridad alimentaria grave</t>
  </si>
  <si>
    <t>1. Fin de la pobreza2. Hambre cero3. Educación de calidad4. Agua limpia y saneamiento13. Acción por el clima14. Vida submarina</t>
  </si>
  <si>
    <t>Secretaría de Agricultura y Desarrollo Rural CRC</t>
  </si>
  <si>
    <t>Transformación 1: Catalizador: justicia ambiental y gobernanza inclusivaTransformación 2 Catalizador: Educación, formación y reconversión laboral como respuesta al cambio productivoTransformación 3 Catalizador: Transformación del sector agropecuario para producir más y mejores alimentos</t>
  </si>
  <si>
    <t>2. Hambre cero3. Educación de calidad6. Agua limpia y saneamiento9. Industria, innovación e infraestructura10. Reducción de las desigualdades11. Unidades y comunidades13. Acción por el clima14. Vida submarina15. Vida de ecosistemas terrestres16. Paz, justicia e instituciones sólidas</t>
  </si>
  <si>
    <t>4. Educación de calidad5. Igualdad de género6. Agua limpia y saneamiento10. Reducción de las desigualdades11. Unidades y comunidades sostenibles12. Producción y consumos sostenibles13. Acción por el clima16. Paz, justicia e instituciones sólidas</t>
  </si>
  <si>
    <t>9. Industria, innovación e infraestructura11. Unidades y comunidades sostenibles12. Producción y consumos sostenibles13. Acción por el clima</t>
  </si>
  <si>
    <t>7. Energía sostenible y no contaminante9. Industria, Innovación e infraestructura11. Unidades y comunidades sostenibles13. Acción por el clima17. Alianzas para lograr los objetivos</t>
  </si>
  <si>
    <t>Tasa de perdida de vidas humanas por ocurrencia de  eventos naturales y/o antropogénicos no intencionales</t>
  </si>
  <si>
    <t>Conservación de la biodiversidad y restauración de los ecosistemas para la resiliencia climática</t>
  </si>
  <si>
    <t>Observatorio Colombiano de Ciencia y Tecnología (OCyT) Departamento Nacional de Planeación (DNP)</t>
  </si>
  <si>
    <t>Enfoque territorial - SubregionalEnfoque rural integralEnfoque ambiental</t>
  </si>
  <si>
    <t>12 Unidades productivas colectivas de población víctima con enfoque interseccional con asistencia técnica</t>
  </si>
  <si>
    <t>4.Enfoque de Paz2. Enfoque de género1. Enfoque étnico y campesino</t>
  </si>
  <si>
    <t>8. Trabajo decente y crecimiento económico1. Fin de la pobreza</t>
  </si>
  <si>
    <t>Enfoque de géneroEnfoque rural integralEnfoque étnico y campesino</t>
  </si>
  <si>
    <t>1. Politica pública de la mujer.2. Politica pública de juventud3. Politica publica de adulto mayor4. Política Pública de Primera Infancia, Infancia, Adolescencia y Familia5. Politica Pública LGBT - OSIGD</t>
  </si>
  <si>
    <t>Enfoque Étnico y Campesino Enfoque Ambiental</t>
  </si>
  <si>
    <t xml:space="preserve">5. Enfoque de Paz2. Enfoque de género1.Enfoque étnico y campesino </t>
  </si>
  <si>
    <t>*Política pública de Mujer.*Política pública de Discapacidad.* Política pública de Primera infancia, infancia, adolescencia y familia.*Política pública de Juventud.*Política pública lGTBI.</t>
  </si>
  <si>
    <t>Enfoque rural integralEnfoque territorial - SubregionalEnfoque de géneroEnfoque étnico y campesino</t>
  </si>
  <si>
    <t xml:space="preserve">1.. Enfoque étnico y campesino2. Enfoque de género3. Enfoque territorial- Subregional5. Enfoque de Paz </t>
  </si>
  <si>
    <t>*Política publica de Mujer.*Política pública de Discapacidad.* Política pública de Primera infancia, infancia, adolescencia y familia.*Política pública de Juventud.*Política pública lGTBI.</t>
  </si>
  <si>
    <t>5. Enfoque de Paz 1.  Enfoque étnico y campesino2. Enfoque de género</t>
  </si>
  <si>
    <t>9. Industria, Innovación e infraestructura8. Trabajo decente y crecimiento económico</t>
  </si>
  <si>
    <t>Enfoque rural integralEnfoque territorial - Subregional</t>
  </si>
  <si>
    <t>Enfoque de géneroEnfoque territorial - Subregional</t>
  </si>
  <si>
    <t>1. Politica pública de la mujer.2. Politica pública de juventud3. Politica publica de discapacidad4. Politica Pública LGBT - OSIGD</t>
  </si>
  <si>
    <t>Enfoque de géneroEnfoque étnico y campesinoEnfoque territorial - Subregional</t>
  </si>
  <si>
    <t>1. Política pública de la mujer.2. Política pública de juventud3. Política publica de discapacidad4. Política publica de genero diverso y/o LGBTI5. Política pública de adulto, envejecimiento y vejez.</t>
  </si>
  <si>
    <t>1 sistema de información que permita la captura, almacenamiento, manejo, análisis y seguimiento a las diferentes variables regionales en los sectores económico, turístico, CTeI, trabajo, competitividad, desarrollo humano y minería implementado</t>
  </si>
  <si>
    <t>18 documentos de investigación boletines, herramientas de recolección, métodos de procesamiento de información o estudios locales de análisis elaborados</t>
  </si>
  <si>
    <t>* DANE* Ministerio de Agricultura y Desarrollo Rural / Banco Agrario</t>
  </si>
  <si>
    <t>* Infancia, adolescencia y familia*Juventud* Personas con discapacidad* Población sexo/género diverso (LGTB)* Adulto mayor* Mujer</t>
  </si>
  <si>
    <t xml:space="preserve">Mide la tasa de fallecidos por siniestros viales por cada 100.000habitantes, con respecto al parque automotor </t>
  </si>
  <si>
    <t>Mide la proporción entre elnúmero de viviendas que cuentan con la infraestructura eléctrica disponible, sobre el total de viviendas.</t>
  </si>
  <si>
    <t>* Dane* Ministerio de Minas y Energía</t>
  </si>
  <si>
    <t>Mide la proporción entre elnúmero de viviendas que cuentan con  servicio público domiciliario de gas combustible, sobre el total de viviendas.</t>
  </si>
  <si>
    <t>5  acueductos urbanos optimizados</t>
  </si>
  <si>
    <t>AmbientalPaz</t>
  </si>
  <si>
    <t>Infancia, adolescencia y familiaJuventudPersonas con discapacidadPoblación sexo/género diverso (LGBR+)Adulto mayorMujer</t>
  </si>
  <si>
    <t>6. Agua limpia y saneamiento</t>
  </si>
  <si>
    <t>AmbientalPazRural Integral</t>
  </si>
  <si>
    <t xml:space="preserve">Aumentar a 27.85% la cobertura en el servicio público domiciliario de acueducto en la zona rural </t>
  </si>
  <si>
    <t xml:space="preserve">5 acueductos rurales construidos </t>
  </si>
  <si>
    <t>7 acueductos rurales optimizados</t>
  </si>
  <si>
    <t>Aumentar al 8,5% la cobertura en el servicio público de alcantarillado en la zona rural</t>
  </si>
  <si>
    <t>1 alcantarillado rural construido</t>
  </si>
  <si>
    <t>1  alcantarillado rural ampliado</t>
  </si>
  <si>
    <t>10.000 usuarios con los componentes de recolección y transporte de residuos sólidos optimizado</t>
  </si>
  <si>
    <t>7.000 usuarios con el componente de disposición final optimizado</t>
  </si>
  <si>
    <t>1. Por la dignidad de las mujeres en el cauca2. Política publica de discapacidad</t>
  </si>
  <si>
    <t>Mide el cumplimiento de la operatividad de las instancias de Participación como punto de encuentro entre la administración pública y la ciudadanía en donde a través de procesos de dialogo, deliberación y concertación, se determinan acciones en procura del bienestar general.</t>
  </si>
  <si>
    <t>2.000 salones comunales dotados en el marco de la estrategia de fortalecimiento de la acción comunal</t>
  </si>
  <si>
    <t>Misión de Observación Electoral - MOEBalance electoral y legislativo en torno a la participación política de las mujeres en Colombia</t>
  </si>
  <si>
    <t>1. Por la dignidad de las mujeres en el cauca2. Cauca mas joven</t>
  </si>
  <si>
    <t>Red de Derechos Humanos del Suroccidente Colombiano Francisco Isaías Cifuentes - REDDHFICGobernación del Cauca- Secretaría de Gobierno y Participación</t>
  </si>
  <si>
    <t>21 medidas para el respeto y garantía de los Derechos Humanos y el Derecho Internacional Humanitario implementadas</t>
  </si>
  <si>
    <t xml:space="preserve">Hurto a personas 364,4Violencia Intrafamiliar 187,9Lesiones personales 169,1Amenazas 164,6Homicidios 56,5Delitos Sexuales 52,3Extorsión 28,7 </t>
  </si>
  <si>
    <t>Informe Departamental de convivencia y seguridad ciudadana Observatorio del sistema de ciudades DNP</t>
  </si>
  <si>
    <t xml:space="preserve">100  hogares apoyados en la formulación e implementación de los planes de retornos y reubicaciones de la población víctima del conflicto armado  </t>
  </si>
  <si>
    <t>100% de  hogares de víctimas subsidiados en asistencia funeraria a la demanda</t>
  </si>
  <si>
    <t>150 eventos de participación, coordinación y seguimiento a ordenes de sentencia que demande el protocolo de participación de la mesa departamental de víctimas. (comités técnicos, plenarios, subcomités y comités de justicia transicional y cumplimiento a los decretos étnicos diferenciales 4633, 4634 y 4635 de 2011 e iniciativas de memoria histórica ) realizados conforme a la normatividad vigente.</t>
  </si>
  <si>
    <t xml:space="preserve">400 personas atendidas técnicamente que demanden información sobre la implementación de la ley 1448 restitución de tierras y sus decretos étnicos diferenciales </t>
  </si>
  <si>
    <t>12 Comités de impulso  para la formulación e implementación de planes de  reparación colectiva para los sujetos colectivos y víctimas de comunidades étnicas.</t>
  </si>
  <si>
    <t>2000 víctimas del conflicto armado atendidas con ayuda humanitaria de emergencia en especie (transporte, alojamiento temporal, alimentación, aseo, habitabilidad, cocina y saneamiento básico)</t>
  </si>
  <si>
    <t xml:space="preserve"> Personas que permanecen en el proceso de reincorporación</t>
  </si>
  <si>
    <t>Enfoque de GéneroEnfoque étnico y campesino</t>
  </si>
  <si>
    <t>Política publica de MujerPolítica Publica de DiscapacidadPolítica Publica LGTBIPolítica Publica Adulto MayorPolítica publica de Juventud, Infancia y Adolescencia.Política Publica de PAZ</t>
  </si>
  <si>
    <t>Observatorio Regional del Mercado de Trabajo ORMET  DANE</t>
  </si>
  <si>
    <t>Enfoque de GéneroEnfoque rural integral</t>
  </si>
  <si>
    <t>5.  Igualdad de género1. Fin de la Pobreza</t>
  </si>
  <si>
    <t>Economía productiva para la vida</t>
  </si>
  <si>
    <t>Enfoque de GéneroEnfoque rural integralEnfoque étnico y campesino</t>
  </si>
  <si>
    <t>Enfoque de Género</t>
  </si>
  <si>
    <t>5.  Igualdad de género1. Fin de la Pobreza8. Trabajo Decente y Crecimiento Decente</t>
  </si>
  <si>
    <t>Seguridad HumanaEconomía productiva para la vida</t>
  </si>
  <si>
    <t>14 eventos y/o ferias para promover con los diferentes gremios empresariales la contratación de mujeres.</t>
  </si>
  <si>
    <t>5.  Igualdad de género16. Paz, justicia e instituciones sólidas</t>
  </si>
  <si>
    <t>13 Casas para la dignidad de las mujeres fortalecidas, implementadas y articuladas como medidas para la garantía de los derechos humanos de las mujeres sus niños y niñas</t>
  </si>
  <si>
    <t>Disminuir a 44,3 la tasa de fecundidad en adolescentes de 15 a 19 años</t>
  </si>
  <si>
    <t xml:space="preserve">7 campañas de  prevención de ITS e interrupción Voluntaria de Embarazo - IVE Sentencia C 055 de 2022 con enfoque diferencial étnico  y campesino, al personal de las IPS para eliminar barreras de acceso a los servicios  </t>
  </si>
  <si>
    <t>5.  Igualdad de género3. Salud y Bienestar</t>
  </si>
  <si>
    <t>Disminuir a 2,7 la tasa de fecundidad en niñas de 10 a 14 años</t>
  </si>
  <si>
    <t xml:space="preserve"> (DANE) Encuesta Nacional de Uso del Tiempo (ENUT)2020-2021</t>
  </si>
  <si>
    <t>Disminuir a 90,4 el promedio del tiempo dedicado por las mujeres al trabajo no remunerado y de cuidado en comparación con los hombres</t>
  </si>
  <si>
    <t>5.  Igualdad de género16. Paz, Justicia e Instituciones Solidas</t>
  </si>
  <si>
    <t>Enfoque de GéneroEnfoque rural integralEnfoque étnico y campesinoEnfoque Ambiental</t>
  </si>
  <si>
    <t>5.  Igualdad de género4. Educación de Calidad</t>
  </si>
  <si>
    <t>6 estrategias territoriales implementadas  para la transversalidad del enfoque de género en la Gobernación del Cauca</t>
  </si>
  <si>
    <t>1. Enfoque étnico y campesino 2. Enfoque de género, 3 Enfoque territorial -subregional 4. Enfoque ambiental 5. Enfoque de paz, 6 Enfoque rural- ambiental</t>
  </si>
  <si>
    <t>MujerJuventudPersonas con discapacidadPoblación Sexo/genero diversa - LGTB Infancia, Adolescencia y Familia</t>
  </si>
  <si>
    <t>Ordenamiento del Territorio alrededor del aguaSeguridad humana y justicia socialDerecho humano a la alimentaciónTransformación productivaConvergencia regional</t>
  </si>
  <si>
    <t>Secretaría de Hacienda</t>
  </si>
  <si>
    <t>Personas con discapacidadPoblación sexo/genero diverso(LGBTIQ+)Adulto mayorMujer</t>
  </si>
  <si>
    <t>MujerAdulto mayor</t>
  </si>
  <si>
    <t>periodo_id</t>
  </si>
  <si>
    <t>0.5</t>
  </si>
  <si>
    <t>0.33</t>
  </si>
  <si>
    <t>0.34</t>
  </si>
  <si>
    <t>0.25</t>
  </si>
  <si>
    <t>0.1</t>
  </si>
  <si>
    <t>0.4</t>
  </si>
  <si>
    <t>0.9</t>
  </si>
  <si>
    <t>1.5</t>
  </si>
  <si>
    <t>0.2</t>
  </si>
  <si>
    <t>0.8</t>
  </si>
  <si>
    <t>0.3</t>
  </si>
  <si>
    <t>0.14</t>
  </si>
  <si>
    <t>0.6</t>
  </si>
  <si>
    <t>0.24</t>
  </si>
  <si>
    <t>0.28</t>
  </si>
  <si>
    <t>0.17</t>
  </si>
  <si>
    <t>0.18</t>
  </si>
  <si>
    <t>0.35</t>
  </si>
  <si>
    <t>0.64</t>
  </si>
  <si>
    <t>0.67</t>
  </si>
  <si>
    <t>0.69</t>
  </si>
  <si>
    <t>0.29</t>
  </si>
  <si>
    <t>0.41</t>
  </si>
  <si>
    <t>0.37</t>
  </si>
  <si>
    <t>0.94</t>
  </si>
  <si>
    <t>1.69</t>
  </si>
  <si>
    <t>37.5</t>
  </si>
  <si>
    <t>41.7</t>
  </si>
  <si>
    <t>70.8</t>
  </si>
  <si>
    <t>0.7</t>
  </si>
  <si>
    <t>8.5</t>
  </si>
  <si>
    <t>4.7</t>
  </si>
  <si>
    <t>24.7</t>
  </si>
  <si>
    <t>8.6</t>
  </si>
  <si>
    <t>7.8</t>
  </si>
  <si>
    <t>1.6</t>
  </si>
  <si>
    <t>3.4</t>
  </si>
  <si>
    <t>1.7</t>
  </si>
  <si>
    <t>3.1</t>
  </si>
  <si>
    <t>0.75</t>
  </si>
  <si>
    <t>0.15</t>
  </si>
  <si>
    <t>0.55</t>
  </si>
  <si>
    <t>0.035</t>
  </si>
  <si>
    <t>0.02</t>
  </si>
  <si>
    <t>0.05</t>
  </si>
  <si>
    <t>0.04</t>
  </si>
  <si>
    <t>codigo_del_programa</t>
  </si>
  <si>
    <t>meta_de_producto_programada_al_cuatrienio</t>
  </si>
  <si>
    <t>linea_de_base_meta_de_producto_2024</t>
  </si>
  <si>
    <t>tipo_de_meta_mantenimiento_incremento</t>
  </si>
  <si>
    <t>total_recursos_programados_2024_2027</t>
  </si>
  <si>
    <t>transformacion_pdd_con_la_cual_se_armoniza_la_meta_de_resultado</t>
  </si>
  <si>
    <t>enfoques_del_pdd_con_que_se_relaciona_la_meta_de_producto</t>
  </si>
  <si>
    <t>secretaria_dependencia_responsable_del_producto</t>
  </si>
  <si>
    <t>politicas_publicas_deptales_poblacionales_relacionan_la_meta</t>
  </si>
  <si>
    <t>transformacion_del_pdd_armoniza_la_meta_de_producto</t>
  </si>
  <si>
    <t>otra_transformacion_del_pdd_armoniza_la_meta_de_producto</t>
  </si>
  <si>
    <t>unidad_de_medida_meta_resultado</t>
  </si>
  <si>
    <t>unidad_de_medida_producto_cuatrenio</t>
  </si>
  <si>
    <t>dependencia_responsable_del_producto_id</t>
  </si>
  <si>
    <t>Si</t>
  </si>
  <si>
    <t>No</t>
  </si>
  <si>
    <t>meta_cumplida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</si>
</sst>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2" formatCode="_-&quot;$&quot;\ * #,##0_-;\-&quot;$&quot;\ * #,##0_-;_-&quot;$&quot;\ * &quot;-&quot;_-;_-@_-"/>
    <numFmt numFmtId="41" formatCode="_-* #,##0_-;\-* #,##0_-;_-* &quot;-&quot;_-;_-@_-"/>
    <numFmt numFmtId="164" formatCode="_(&quot;$&quot;\ * #,##0.00_);_(&quot;$&quot;\ * \(#,##0.00\);_(&quot;$&quot;\ * &quot;-&quot;??_);_(@_)"/>
    <numFmt numFmtId="165" formatCode="_(* #,##0.00_);_(* \(#,##0.00\);_(* &quot;-&quot;??_);_(@_)"/>
    <numFmt numFmtId="166" formatCode="_-&quot;$&quot;* #,##0_-;\-&quot;$&quot;* #,##0_-;_-&quot;$&quot;* &quot;-&quot;_-;_-@_-"/>
    <numFmt numFmtId="167" formatCode="0.0%"/>
    <numFmt numFmtId="168" formatCode="0.0"/>
    <numFmt numFmtId="169" formatCode="_-&quot;$&quot;\ * #,##0_-;\-&quot;$&quot;\ * #,##0_-;_-&quot;$&quot;\ * &quot;-&quot;??_-;_-@_-"/>
    <numFmt numFmtId="170" formatCode="#,##0.0"/>
  </numFmts>
  <fonts count="12" x14ac:knownFonts="1">
    <font>
      <sz val="11"/>
      <color theme="1"/>
      <name val="Calibri"/>
      <family val="2"/>
      <scheme val="minor"/>
    </font>
    <font>
      <sz val="11"/>
      <color theme="1"/>
      <name val="Calibri"/>
      <family val="2"/>
      <scheme val="minor"/>
    </font>
    <font>
      <b/>
      <sz val="11"/>
      <color theme="0"/>
      <name val="Calibri"/>
      <family val="2"/>
      <scheme val="minor"/>
    </font>
    <font>
      <sz val="10"/>
      <color theme="1"/>
      <name val="Arial"/>
      <family val="2"/>
    </font>
    <font>
      <sz val="12"/>
      <color theme="1"/>
      <name val="Calibri"/>
      <family val="2"/>
      <scheme val="minor"/>
    </font>
    <font>
      <sz val="10"/>
      <name val="Arial"/>
      <family val="2"/>
    </font>
    <font>
      <sz val="11"/>
      <color rgb="FF000000"/>
      <name val="Calibri"/>
      <family val="2"/>
    </font>
    <font>
      <sz val="11"/>
      <name val="Calibri Light"/>
      <family val="2"/>
      <scheme val="major"/>
    </font>
    <font>
      <sz val="10"/>
      <name val="Calibri"/>
      <family val="2"/>
      <scheme val="minor"/>
    </font>
    <font>
      <b/>
      <sz val="10"/>
      <name val="Calibri"/>
      <family val="2"/>
      <scheme val="minor"/>
    </font>
    <font>
      <b/>
      <sz val="10"/>
      <color theme="1"/>
      <name val="Calibri"/>
      <family val="2"/>
      <scheme val="minor"/>
    </font>
    <font>
      <sz val="10"/>
      <name val="Calibri"/>
      <family val="2"/>
    </font>
  </fonts>
  <fills count="15">
    <fill>
      <patternFill patternType="none"/>
    </fill>
    <fill>
      <patternFill patternType="gray125"/>
    </fill>
    <fill>
      <patternFill patternType="solid">
        <fgColor theme="9" tint="0.79998168889431442"/>
        <bgColor indexed="64"/>
      </patternFill>
    </fill>
    <fill>
      <patternFill patternType="solid">
        <fgColor theme="7" tint="0.59999389629810485"/>
        <bgColor indexed="64"/>
      </patternFill>
    </fill>
    <fill>
      <patternFill patternType="solid">
        <fgColor rgb="FF522B57"/>
        <bgColor indexed="64"/>
      </patternFill>
    </fill>
    <fill>
      <patternFill patternType="solid">
        <fgColor theme="9" tint="0.59999389629810485"/>
        <bgColor rgb="FF000000"/>
      </patternFill>
    </fill>
    <fill>
      <patternFill patternType="solid">
        <fgColor theme="9" tint="0.59999389629810485"/>
        <bgColor indexed="64"/>
      </patternFill>
    </fill>
    <fill>
      <patternFill patternType="solid">
        <fgColor rgb="FFFFFFCC"/>
        <bgColor indexed="64"/>
      </patternFill>
    </fill>
    <fill>
      <patternFill patternType="solid">
        <fgColor rgb="FFFFFFCC"/>
        <bgColor rgb="FFFFFFFF"/>
      </patternFill>
    </fill>
    <fill>
      <patternFill patternType="solid">
        <fgColor theme="9" tint="0.79998168889431442"/>
        <bgColor rgb="FFFFFFFF"/>
      </patternFill>
    </fill>
    <fill>
      <patternFill patternType="solid">
        <fgColor theme="4" tint="0.79998168889431442"/>
        <bgColor indexed="64"/>
      </patternFill>
    </fill>
    <fill>
      <patternFill patternType="solid">
        <fgColor theme="4" tint="0.79998168889431442"/>
        <bgColor rgb="FFFFFFFF"/>
      </patternFill>
    </fill>
    <fill>
      <patternFill patternType="solid">
        <fgColor theme="7" tint="0.59999389629810485"/>
        <bgColor rgb="FFFFFFFF"/>
      </patternFill>
    </fill>
    <fill>
      <patternFill patternType="solid">
        <fgColor theme="7" tint="0.59999389629810485"/>
        <bgColor rgb="FF000000"/>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medium">
        <color rgb="FFECECEC"/>
      </left>
      <right style="medium">
        <color rgb="FFECECEC"/>
      </right>
      <top style="medium">
        <color rgb="FFECECEC"/>
      </top>
      <bottom style="medium">
        <color rgb="FFECECEC"/>
      </bottom>
      <diagonal/>
    </border>
    <border>
      <left/>
      <right style="thin">
        <color indexed="64"/>
      </right>
      <top style="thin">
        <color indexed="64"/>
      </top>
      <bottom style="thin">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thin">
        <color indexed="64"/>
      </top>
      <bottom/>
      <diagonal/>
    </border>
    <border>
      <left style="medium">
        <color indexed="64"/>
      </left>
      <right style="hair">
        <color indexed="64"/>
      </right>
      <top style="hair">
        <color indexed="64"/>
      </top>
      <bottom style="hair">
        <color indexed="64"/>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42" fontId="1" fillId="0" borderId="0" applyFont="0" applyFill="0" applyBorder="0" applyAlignment="0" applyProtection="0"/>
    <xf numFmtId="9" fontId="1" fillId="0" borderId="0" applyFont="0" applyFill="0" applyBorder="0" applyAlignment="0" applyProtection="0"/>
    <xf numFmtId="0" fontId="6" fillId="0" borderId="0" applyBorder="0"/>
    <xf numFmtId="0" fontId="7" fillId="2" borderId="2">
      <alignment horizontal="center" vertical="center" wrapText="1"/>
    </xf>
    <xf numFmtId="0" fontId="4" fillId="0" borderId="0"/>
    <xf numFmtId="0" fontId="5" fillId="0" borderId="0"/>
    <xf numFmtId="0" fontId="1" fillId="0" borderId="0"/>
    <xf numFmtId="0" fontId="1" fillId="0" borderId="0"/>
    <xf numFmtId="166" fontId="6" fillId="0" borderId="0" applyFont="0" applyFill="0" applyBorder="0" applyAlignment="0" applyProtection="0"/>
    <xf numFmtId="0" fontId="2" fillId="4" borderId="3">
      <alignment horizontal="center" vertical="center" wrapText="1"/>
    </xf>
    <xf numFmtId="0" fontId="4" fillId="0" borderId="0"/>
    <xf numFmtId="41"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cellStyleXfs>
  <cellXfs count="194">
    <xf numFmtId="0" fontId="0" fillId="0" borderId="0" xfId="0"/>
    <xf numFmtId="42" fontId="8" fillId="0" borderId="1" xfId="1" applyFont="1" applyFill="1" applyBorder="1" applyAlignment="1" applyProtection="1">
      <alignment horizontal="left" vertical="top" wrapText="1"/>
    </xf>
    <xf numFmtId="0" fontId="8" fillId="7" borderId="1" xfId="1" applyNumberFormat="1" applyFont="1" applyFill="1" applyBorder="1" applyAlignment="1" applyProtection="1">
      <alignment horizontal="center" vertical="top" wrapText="1"/>
    </xf>
    <xf numFmtId="167" fontId="8" fillId="7" borderId="1" xfId="1" applyNumberFormat="1" applyFont="1" applyFill="1" applyBorder="1" applyAlignment="1" applyProtection="1">
      <alignment horizontal="center" vertical="top" wrapText="1"/>
    </xf>
    <xf numFmtId="0" fontId="8" fillId="2" borderId="1" xfId="1" applyNumberFormat="1" applyFont="1" applyFill="1" applyBorder="1" applyAlignment="1" applyProtection="1">
      <alignment horizontal="center" vertical="top" wrapText="1"/>
    </xf>
    <xf numFmtId="167" fontId="8" fillId="2" borderId="1" xfId="1" applyNumberFormat="1" applyFont="1" applyFill="1" applyBorder="1" applyAlignment="1" applyProtection="1">
      <alignment horizontal="center" vertical="top" wrapText="1"/>
    </xf>
    <xf numFmtId="0" fontId="8" fillId="10" borderId="1" xfId="1" applyNumberFormat="1" applyFont="1" applyFill="1" applyBorder="1" applyAlignment="1" applyProtection="1">
      <alignment horizontal="center" vertical="top" wrapText="1"/>
    </xf>
    <xf numFmtId="167" fontId="8" fillId="10" borderId="1" xfId="1" applyNumberFormat="1" applyFont="1" applyFill="1" applyBorder="1" applyAlignment="1" applyProtection="1">
      <alignment horizontal="center" vertical="top" wrapText="1"/>
    </xf>
    <xf numFmtId="0" fontId="8" fillId="3" borderId="1" xfId="1" applyNumberFormat="1" applyFont="1" applyFill="1" applyBorder="1" applyAlignment="1" applyProtection="1">
      <alignment horizontal="center" vertical="top" wrapText="1"/>
    </xf>
    <xf numFmtId="167" fontId="8" fillId="3" borderId="1" xfId="1" applyNumberFormat="1" applyFont="1" applyFill="1" applyBorder="1" applyAlignment="1" applyProtection="1">
      <alignment horizontal="center" vertical="top" wrapText="1"/>
    </xf>
    <xf numFmtId="166" fontId="8" fillId="0" borderId="1" xfId="9" applyFont="1" applyFill="1" applyBorder="1" applyAlignment="1" applyProtection="1">
      <alignment horizontal="left" vertical="top" wrapText="1"/>
    </xf>
    <xf numFmtId="2" fontId="8" fillId="7" borderId="1" xfId="1" applyNumberFormat="1" applyFont="1" applyFill="1" applyBorder="1" applyAlignment="1" applyProtection="1">
      <alignment horizontal="center" vertical="top" wrapText="1"/>
    </xf>
    <xf numFmtId="2" fontId="8" fillId="2" borderId="1" xfId="1" applyNumberFormat="1" applyFont="1" applyFill="1" applyBorder="1" applyAlignment="1" applyProtection="1">
      <alignment horizontal="center" vertical="top" wrapText="1"/>
    </xf>
    <xf numFmtId="2" fontId="8" fillId="3" borderId="1" xfId="1" applyNumberFormat="1" applyFont="1" applyFill="1" applyBorder="1" applyAlignment="1" applyProtection="1">
      <alignment horizontal="center" vertical="top" wrapText="1"/>
    </xf>
    <xf numFmtId="2" fontId="8" fillId="10" borderId="1" xfId="1" applyNumberFormat="1" applyFont="1" applyFill="1" applyBorder="1" applyAlignment="1" applyProtection="1">
      <alignment horizontal="center" vertical="top" wrapText="1"/>
    </xf>
    <xf numFmtId="4" fontId="8" fillId="7" borderId="1" xfId="1" applyNumberFormat="1" applyFont="1" applyFill="1" applyBorder="1" applyAlignment="1" applyProtection="1">
      <alignment horizontal="center" vertical="top" wrapText="1"/>
    </xf>
    <xf numFmtId="4" fontId="8" fillId="2" borderId="1" xfId="1" applyNumberFormat="1" applyFont="1" applyFill="1" applyBorder="1" applyAlignment="1" applyProtection="1">
      <alignment horizontal="center" vertical="top" wrapText="1"/>
    </xf>
    <xf numFmtId="4" fontId="8" fillId="3" borderId="1" xfId="1" applyNumberFormat="1" applyFont="1" applyFill="1" applyBorder="1" applyAlignment="1" applyProtection="1">
      <alignment horizontal="center" vertical="top" wrapText="1"/>
    </xf>
    <xf numFmtId="4" fontId="8" fillId="10" borderId="1" xfId="1" applyNumberFormat="1" applyFont="1" applyFill="1" applyBorder="1" applyAlignment="1" applyProtection="1">
      <alignment horizontal="center" vertical="top" wrapText="1"/>
    </xf>
    <xf numFmtId="3" fontId="8" fillId="7" borderId="1" xfId="1" applyNumberFormat="1" applyFont="1" applyFill="1" applyBorder="1" applyAlignment="1" applyProtection="1">
      <alignment horizontal="center" vertical="top" wrapText="1"/>
    </xf>
    <xf numFmtId="3" fontId="8" fillId="2" borderId="1" xfId="1" applyNumberFormat="1" applyFont="1" applyFill="1" applyBorder="1" applyAlignment="1" applyProtection="1">
      <alignment horizontal="center" vertical="top" wrapText="1"/>
    </xf>
    <xf numFmtId="3" fontId="8" fillId="3" borderId="1" xfId="1" applyNumberFormat="1" applyFont="1" applyFill="1" applyBorder="1" applyAlignment="1" applyProtection="1">
      <alignment horizontal="center" vertical="top" wrapText="1"/>
    </xf>
    <xf numFmtId="3" fontId="8" fillId="10" borderId="1" xfId="1" applyNumberFormat="1" applyFont="1" applyFill="1" applyBorder="1" applyAlignment="1" applyProtection="1">
      <alignment horizontal="center" vertical="top" wrapText="1"/>
    </xf>
    <xf numFmtId="3" fontId="8" fillId="7" borderId="1" xfId="9" applyNumberFormat="1" applyFont="1" applyFill="1" applyBorder="1" applyAlignment="1" applyProtection="1">
      <alignment horizontal="center" vertical="top" wrapText="1"/>
    </xf>
    <xf numFmtId="3" fontId="8" fillId="2" borderId="1" xfId="9" applyNumberFormat="1" applyFont="1" applyFill="1" applyBorder="1" applyAlignment="1" applyProtection="1">
      <alignment horizontal="center" vertical="top" wrapText="1"/>
    </xf>
    <xf numFmtId="3" fontId="8" fillId="3" borderId="1" xfId="9" applyNumberFormat="1" applyFont="1" applyFill="1" applyBorder="1" applyAlignment="1" applyProtection="1">
      <alignment horizontal="center" vertical="top" wrapText="1"/>
    </xf>
    <xf numFmtId="3" fontId="8" fillId="10" borderId="1" xfId="9" applyNumberFormat="1" applyFont="1" applyFill="1" applyBorder="1" applyAlignment="1" applyProtection="1">
      <alignment horizontal="center" vertical="top" wrapText="1"/>
    </xf>
    <xf numFmtId="3" fontId="8" fillId="7" borderId="1" xfId="14" applyNumberFormat="1" applyFont="1" applyFill="1" applyBorder="1" applyAlignment="1" applyProtection="1">
      <alignment horizontal="center" vertical="top" wrapText="1"/>
    </xf>
    <xf numFmtId="3" fontId="8" fillId="2" borderId="1" xfId="14" applyNumberFormat="1" applyFont="1" applyFill="1" applyBorder="1" applyAlignment="1" applyProtection="1">
      <alignment horizontal="center" vertical="top" wrapText="1"/>
    </xf>
    <xf numFmtId="3" fontId="8" fillId="3" borderId="1" xfId="14" applyNumberFormat="1" applyFont="1" applyFill="1" applyBorder="1" applyAlignment="1" applyProtection="1">
      <alignment horizontal="center" vertical="top" wrapText="1"/>
    </xf>
    <xf numFmtId="3" fontId="8" fillId="10" borderId="1" xfId="14" applyNumberFormat="1" applyFont="1" applyFill="1" applyBorder="1" applyAlignment="1" applyProtection="1">
      <alignment horizontal="center" vertical="top" wrapText="1"/>
    </xf>
    <xf numFmtId="0" fontId="3" fillId="0" borderId="0" xfId="0" applyFont="1"/>
    <xf numFmtId="0" fontId="5" fillId="0" borderId="0" xfId="0" applyFont="1"/>
    <xf numFmtId="0" fontId="9" fillId="3" borderId="4"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8" fillId="0" borderId="1" xfId="0" applyFont="1" applyBorder="1" applyAlignment="1">
      <alignment horizontal="center" vertical="top" wrapText="1"/>
    </xf>
    <xf numFmtId="0" fontId="8" fillId="0" borderId="1" xfId="0" applyFont="1" applyBorder="1" applyAlignment="1">
      <alignment horizontal="left" vertical="top" wrapText="1"/>
    </xf>
    <xf numFmtId="0" fontId="8" fillId="0" borderId="1" xfId="0" applyFont="1" applyBorder="1" applyAlignment="1">
      <alignment vertical="top" wrapText="1"/>
    </xf>
    <xf numFmtId="10" fontId="8" fillId="0" borderId="1" xfId="2" applyNumberFormat="1" applyFont="1" applyFill="1" applyBorder="1" applyAlignment="1" applyProtection="1">
      <alignment horizontal="center" vertical="top" wrapText="1"/>
    </xf>
    <xf numFmtId="10" fontId="8" fillId="0" borderId="1" xfId="0" applyNumberFormat="1" applyFont="1" applyBorder="1" applyAlignment="1">
      <alignment horizontal="center" vertical="top" wrapText="1"/>
    </xf>
    <xf numFmtId="1" fontId="8" fillId="0" borderId="1" xfId="0" applyNumberFormat="1" applyFont="1" applyBorder="1" applyAlignment="1">
      <alignment horizontal="left" vertical="top" wrapText="1"/>
    </xf>
    <xf numFmtId="3" fontId="8" fillId="7" borderId="1" xfId="0" applyNumberFormat="1" applyFont="1" applyFill="1" applyBorder="1" applyAlignment="1">
      <alignment horizontal="center" vertical="top" wrapText="1"/>
    </xf>
    <xf numFmtId="3" fontId="8" fillId="2" borderId="1" xfId="0" applyNumberFormat="1" applyFont="1" applyFill="1" applyBorder="1" applyAlignment="1">
      <alignment horizontal="center" vertical="top" wrapText="1"/>
    </xf>
    <xf numFmtId="3" fontId="8" fillId="3" borderId="1" xfId="0" applyNumberFormat="1" applyFont="1" applyFill="1" applyBorder="1" applyAlignment="1">
      <alignment horizontal="center" vertical="top" wrapText="1"/>
    </xf>
    <xf numFmtId="3" fontId="8" fillId="10" borderId="1" xfId="0" applyNumberFormat="1" applyFont="1" applyFill="1" applyBorder="1" applyAlignment="1">
      <alignment horizontal="center" vertical="top" wrapText="1"/>
    </xf>
    <xf numFmtId="4" fontId="8" fillId="7" borderId="1" xfId="0" applyNumberFormat="1" applyFont="1" applyFill="1" applyBorder="1" applyAlignment="1">
      <alignment horizontal="right" vertical="top" wrapText="1"/>
    </xf>
    <xf numFmtId="4" fontId="8" fillId="2" borderId="1" xfId="0" applyNumberFormat="1" applyFont="1" applyFill="1" applyBorder="1" applyAlignment="1">
      <alignment horizontal="right" vertical="top" wrapText="1"/>
    </xf>
    <xf numFmtId="4" fontId="8" fillId="3" borderId="1" xfId="0" applyNumberFormat="1" applyFont="1" applyFill="1" applyBorder="1" applyAlignment="1">
      <alignment horizontal="right" vertical="top" wrapText="1"/>
    </xf>
    <xf numFmtId="4" fontId="8" fillId="10" borderId="1" xfId="0" applyNumberFormat="1" applyFont="1" applyFill="1" applyBorder="1" applyAlignment="1">
      <alignment horizontal="right" vertical="top" wrapText="1"/>
    </xf>
    <xf numFmtId="4" fontId="8" fillId="6" borderId="1" xfId="0" applyNumberFormat="1" applyFont="1" applyFill="1" applyBorder="1" applyAlignment="1">
      <alignment horizontal="right" vertical="top" wrapText="1"/>
    </xf>
    <xf numFmtId="0" fontId="8" fillId="0" borderId="1" xfId="3" applyFont="1" applyBorder="1" applyAlignment="1">
      <alignment horizontal="center" vertical="top" wrapText="1"/>
    </xf>
    <xf numFmtId="1" fontId="8" fillId="7" borderId="1" xfId="0" applyNumberFormat="1" applyFont="1" applyFill="1" applyBorder="1" applyAlignment="1">
      <alignment horizontal="center" vertical="top" wrapText="1"/>
    </xf>
    <xf numFmtId="0" fontId="8" fillId="2" borderId="1" xfId="0" applyFont="1" applyFill="1" applyBorder="1" applyAlignment="1">
      <alignment horizontal="center" vertical="top" wrapText="1"/>
    </xf>
    <xf numFmtId="0" fontId="8" fillId="3" borderId="1" xfId="0" applyFont="1" applyFill="1" applyBorder="1" applyAlignment="1">
      <alignment horizontal="center" vertical="top" wrapText="1"/>
    </xf>
    <xf numFmtId="0" fontId="8" fillId="10" borderId="1" xfId="0" applyFont="1" applyFill="1" applyBorder="1" applyAlignment="1">
      <alignment horizontal="center" vertical="top" wrapText="1"/>
    </xf>
    <xf numFmtId="0" fontId="8" fillId="0" borderId="1" xfId="4" applyFont="1" applyFill="1" applyBorder="1" applyAlignment="1">
      <alignment horizontal="left" vertical="top" wrapText="1"/>
    </xf>
    <xf numFmtId="167" fontId="8" fillId="0" borderId="1" xfId="2" applyNumberFormat="1" applyFont="1" applyFill="1" applyBorder="1" applyAlignment="1" applyProtection="1">
      <alignment horizontal="center" vertical="top" wrapText="1"/>
    </xf>
    <xf numFmtId="0" fontId="8" fillId="0" borderId="1" xfId="3" applyFont="1" applyBorder="1" applyAlignment="1">
      <alignment horizontal="left" vertical="top" wrapText="1"/>
    </xf>
    <xf numFmtId="0" fontId="8" fillId="0" borderId="1" xfId="3" applyFont="1" applyBorder="1" applyAlignment="1">
      <alignment vertical="top" wrapText="1"/>
    </xf>
    <xf numFmtId="9" fontId="8" fillId="0" borderId="1" xfId="0" applyNumberFormat="1" applyFont="1" applyBorder="1" applyAlignment="1">
      <alignment vertical="top" wrapText="1"/>
    </xf>
    <xf numFmtId="10" fontId="8" fillId="0" borderId="1" xfId="0" applyNumberFormat="1" applyFont="1" applyBorder="1" applyAlignment="1">
      <alignment vertical="top" wrapText="1"/>
    </xf>
    <xf numFmtId="1" fontId="8" fillId="0" borderId="1" xfId="0" applyNumberFormat="1" applyFont="1" applyBorder="1" applyAlignment="1">
      <alignment horizontal="center" vertical="top" wrapText="1"/>
    </xf>
    <xf numFmtId="3" fontId="8" fillId="0" borderId="1" xfId="0" applyNumberFormat="1" applyFont="1" applyBorder="1" applyAlignment="1">
      <alignment horizontal="center" vertical="top" wrapText="1"/>
    </xf>
    <xf numFmtId="0" fontId="8" fillId="0" borderId="1" xfId="4" applyFont="1" applyFill="1" applyBorder="1" applyAlignment="1">
      <alignment horizontal="center" vertical="top" wrapText="1"/>
    </xf>
    <xf numFmtId="9" fontId="8" fillId="0" borderId="1" xfId="0" applyNumberFormat="1" applyFont="1" applyBorder="1" applyAlignment="1">
      <alignment horizontal="center" vertical="top" wrapText="1"/>
    </xf>
    <xf numFmtId="0" fontId="8" fillId="0" borderId="1" xfId="5" applyFont="1" applyBorder="1" applyAlignment="1">
      <alignment horizontal="left" vertical="top" wrapText="1"/>
    </xf>
    <xf numFmtId="0" fontId="8" fillId="0" borderId="1" xfId="5" applyFont="1" applyBorder="1" applyAlignment="1">
      <alignment horizontal="center" vertical="top" wrapText="1"/>
    </xf>
    <xf numFmtId="0" fontId="8" fillId="0" borderId="1" xfId="5" applyFont="1" applyBorder="1" applyAlignment="1">
      <alignment vertical="top" wrapText="1"/>
    </xf>
    <xf numFmtId="0" fontId="8" fillId="0" borderId="1" xfId="11" applyFont="1" applyBorder="1" applyAlignment="1">
      <alignment horizontal="left" vertical="top" wrapText="1"/>
    </xf>
    <xf numFmtId="0" fontId="8" fillId="0" borderId="1" xfId="6" applyFont="1" applyBorder="1" applyAlignment="1">
      <alignment horizontal="left" vertical="top" wrapText="1"/>
    </xf>
    <xf numFmtId="0" fontId="8" fillId="7" borderId="1" xfId="0" applyFont="1" applyFill="1" applyBorder="1" applyAlignment="1">
      <alignment horizontal="center" vertical="top" wrapText="1"/>
    </xf>
    <xf numFmtId="49" fontId="8" fillId="0" borderId="1" xfId="6" applyNumberFormat="1" applyFont="1" applyBorder="1" applyAlignment="1">
      <alignment horizontal="left" vertical="top" wrapText="1"/>
    </xf>
    <xf numFmtId="4" fontId="8" fillId="7" borderId="1" xfId="0" applyNumberFormat="1" applyFont="1" applyFill="1" applyBorder="1" applyAlignment="1">
      <alignment horizontal="center" vertical="top" wrapText="1"/>
    </xf>
    <xf numFmtId="4" fontId="8" fillId="2" borderId="1" xfId="0" applyNumberFormat="1" applyFont="1" applyFill="1" applyBorder="1" applyAlignment="1">
      <alignment horizontal="center" vertical="top" wrapText="1"/>
    </xf>
    <xf numFmtId="4" fontId="8" fillId="3" borderId="1" xfId="0" applyNumberFormat="1" applyFont="1" applyFill="1" applyBorder="1" applyAlignment="1">
      <alignment horizontal="center" vertical="top" wrapText="1"/>
    </xf>
    <xf numFmtId="4" fontId="8" fillId="10" borderId="1" xfId="0" applyNumberFormat="1" applyFont="1" applyFill="1" applyBorder="1" applyAlignment="1">
      <alignment horizontal="center" vertical="top" wrapText="1"/>
    </xf>
    <xf numFmtId="9" fontId="8" fillId="0" borderId="1" xfId="6" applyNumberFormat="1" applyFont="1" applyBorder="1" applyAlignment="1">
      <alignment horizontal="center" vertical="top" wrapText="1"/>
    </xf>
    <xf numFmtId="0" fontId="8" fillId="0" borderId="1" xfId="6" applyFont="1" applyBorder="1" applyAlignment="1">
      <alignment horizontal="center" vertical="top" wrapText="1"/>
    </xf>
    <xf numFmtId="168" fontId="8" fillId="0" borderId="1" xfId="0" applyNumberFormat="1" applyFont="1" applyBorder="1" applyAlignment="1">
      <alignment horizontal="center" vertical="top" wrapText="1"/>
    </xf>
    <xf numFmtId="0" fontId="8" fillId="0" borderId="1" xfId="7" applyFont="1" applyBorder="1" applyAlignment="1">
      <alignment horizontal="left" vertical="top" wrapText="1"/>
    </xf>
    <xf numFmtId="9" fontId="8" fillId="0" borderId="1" xfId="0" applyNumberFormat="1" applyFont="1" applyBorder="1" applyAlignment="1">
      <alignment horizontal="left" vertical="top" wrapText="1"/>
    </xf>
    <xf numFmtId="49" fontId="8" fillId="0" borderId="1" xfId="6" applyNumberFormat="1" applyFont="1" applyBorder="1" applyAlignment="1">
      <alignment horizontal="center" vertical="top" wrapText="1"/>
    </xf>
    <xf numFmtId="9" fontId="8" fillId="7" borderId="1" xfId="0" applyNumberFormat="1" applyFont="1" applyFill="1" applyBorder="1" applyAlignment="1">
      <alignment horizontal="center" vertical="top" wrapText="1"/>
    </xf>
    <xf numFmtId="9" fontId="8" fillId="2" borderId="1" xfId="0" applyNumberFormat="1" applyFont="1" applyFill="1" applyBorder="1" applyAlignment="1">
      <alignment horizontal="center" vertical="top" wrapText="1"/>
    </xf>
    <xf numFmtId="9" fontId="8" fillId="3" borderId="1" xfId="0" applyNumberFormat="1" applyFont="1" applyFill="1" applyBorder="1" applyAlignment="1">
      <alignment horizontal="center" vertical="top" wrapText="1"/>
    </xf>
    <xf numFmtId="9" fontId="8" fillId="10" borderId="1" xfId="0" applyNumberFormat="1" applyFont="1" applyFill="1" applyBorder="1" applyAlignment="1">
      <alignment horizontal="center" vertical="top" wrapText="1"/>
    </xf>
    <xf numFmtId="10" fontId="8" fillId="0" borderId="1" xfId="0" applyNumberFormat="1" applyFont="1" applyBorder="1" applyAlignment="1">
      <alignment horizontal="left" vertical="top" wrapText="1"/>
    </xf>
    <xf numFmtId="0" fontId="8" fillId="0" borderId="1" xfId="8" applyFont="1" applyBorder="1" applyAlignment="1">
      <alignment horizontal="left" vertical="top" wrapText="1"/>
    </xf>
    <xf numFmtId="10" fontId="8" fillId="0" borderId="1" xfId="3" applyNumberFormat="1" applyFont="1" applyBorder="1" applyAlignment="1">
      <alignment horizontal="center" vertical="top" wrapText="1"/>
    </xf>
    <xf numFmtId="3" fontId="8" fillId="0" borderId="1" xfId="3" applyNumberFormat="1" applyFont="1" applyBorder="1" applyAlignment="1">
      <alignment vertical="top" wrapText="1"/>
    </xf>
    <xf numFmtId="0" fontId="11" fillId="0" borderId="1" xfId="0" applyFont="1" applyBorder="1" applyAlignment="1">
      <alignment vertical="top" wrapText="1"/>
    </xf>
    <xf numFmtId="10" fontId="8" fillId="0" borderId="1" xfId="5" applyNumberFormat="1" applyFont="1" applyBorder="1" applyAlignment="1">
      <alignment horizontal="center" vertical="top" wrapText="1"/>
    </xf>
    <xf numFmtId="0" fontId="11" fillId="0" borderId="1" xfId="0" applyFont="1" applyBorder="1" applyAlignment="1">
      <alignment horizontal="center" vertical="top" wrapText="1"/>
    </xf>
    <xf numFmtId="0" fontId="11" fillId="0" borderId="5" xfId="0" applyFont="1" applyBorder="1" applyAlignment="1">
      <alignment vertical="top" wrapText="1"/>
    </xf>
    <xf numFmtId="0" fontId="11" fillId="0" borderId="6" xfId="0" applyFont="1" applyBorder="1" applyAlignment="1">
      <alignment vertical="top" wrapText="1"/>
    </xf>
    <xf numFmtId="0" fontId="11" fillId="0" borderId="7" xfId="0" applyFont="1" applyBorder="1" applyAlignment="1">
      <alignment vertical="top" wrapText="1"/>
    </xf>
    <xf numFmtId="3" fontId="8" fillId="7" borderId="1" xfId="5" applyNumberFormat="1" applyFont="1" applyFill="1" applyBorder="1" applyAlignment="1">
      <alignment horizontal="center" vertical="top" wrapText="1"/>
    </xf>
    <xf numFmtId="3" fontId="8" fillId="2" borderId="1" xfId="5" applyNumberFormat="1" applyFont="1" applyFill="1" applyBorder="1" applyAlignment="1">
      <alignment horizontal="center" vertical="top" wrapText="1"/>
    </xf>
    <xf numFmtId="3" fontId="8" fillId="3" borderId="1" xfId="5" applyNumberFormat="1" applyFont="1" applyFill="1" applyBorder="1" applyAlignment="1">
      <alignment horizontal="center" vertical="top" wrapText="1"/>
    </xf>
    <xf numFmtId="3" fontId="8" fillId="10" borderId="1" xfId="5" applyNumberFormat="1" applyFont="1" applyFill="1" applyBorder="1" applyAlignment="1">
      <alignment horizontal="center" vertical="top" wrapText="1"/>
    </xf>
    <xf numFmtId="0" fontId="8" fillId="7" borderId="1" xfId="5" applyFont="1" applyFill="1" applyBorder="1" applyAlignment="1">
      <alignment horizontal="center" vertical="top" wrapText="1"/>
    </xf>
    <xf numFmtId="0" fontId="8" fillId="2" borderId="1" xfId="5" applyFont="1" applyFill="1" applyBorder="1" applyAlignment="1">
      <alignment horizontal="center" vertical="top" wrapText="1"/>
    </xf>
    <xf numFmtId="0" fontId="8" fillId="3" borderId="1" xfId="5" applyFont="1" applyFill="1" applyBorder="1" applyAlignment="1">
      <alignment horizontal="center" vertical="top" wrapText="1"/>
    </xf>
    <xf numFmtId="0" fontId="8" fillId="10" borderId="1" xfId="5" applyFont="1" applyFill="1" applyBorder="1" applyAlignment="1">
      <alignment horizontal="center" vertical="top" wrapText="1"/>
    </xf>
    <xf numFmtId="4" fontId="8" fillId="0" borderId="1" xfId="0" applyNumberFormat="1" applyFont="1" applyBorder="1" applyAlignment="1">
      <alignment vertical="top" wrapText="1"/>
    </xf>
    <xf numFmtId="1" fontId="8" fillId="0" borderId="1" xfId="11" applyNumberFormat="1" applyFont="1" applyBorder="1" applyAlignment="1">
      <alignment horizontal="left" vertical="top" wrapText="1"/>
    </xf>
    <xf numFmtId="0" fontId="11" fillId="0" borderId="4" xfId="0" applyFont="1" applyBorder="1" applyAlignment="1">
      <alignment vertical="top" wrapText="1"/>
    </xf>
    <xf numFmtId="0" fontId="11" fillId="0" borderId="8" xfId="0" applyFont="1" applyBorder="1" applyAlignment="1">
      <alignment vertical="top" wrapText="1"/>
    </xf>
    <xf numFmtId="10" fontId="8" fillId="0" borderId="1" xfId="5" applyNumberFormat="1" applyFont="1" applyBorder="1" applyAlignment="1">
      <alignment horizontal="left" vertical="top" wrapText="1"/>
    </xf>
    <xf numFmtId="1" fontId="8" fillId="0" borderId="1" xfId="5" applyNumberFormat="1" applyFont="1" applyBorder="1" applyAlignment="1">
      <alignment horizontal="center" vertical="top" wrapText="1"/>
    </xf>
    <xf numFmtId="2" fontId="11" fillId="0" borderId="1" xfId="0" applyNumberFormat="1" applyFont="1" applyBorder="1" applyAlignment="1">
      <alignment vertical="top" wrapText="1"/>
    </xf>
    <xf numFmtId="49" fontId="8" fillId="0" borderId="1" xfId="0" applyNumberFormat="1" applyFont="1" applyBorder="1" applyAlignment="1">
      <alignment horizontal="left" vertical="top" wrapText="1"/>
    </xf>
    <xf numFmtId="49" fontId="8" fillId="0" borderId="1" xfId="0" applyNumberFormat="1" applyFont="1" applyBorder="1" applyAlignment="1">
      <alignment vertical="top" wrapText="1"/>
    </xf>
    <xf numFmtId="1" fontId="8" fillId="0" borderId="1" xfId="0" applyNumberFormat="1" applyFont="1" applyBorder="1" applyAlignment="1">
      <alignment vertical="top" wrapText="1"/>
    </xf>
    <xf numFmtId="0" fontId="8" fillId="0" borderId="1" xfId="10" applyFont="1" applyFill="1" applyBorder="1" applyAlignment="1">
      <alignment horizontal="left" vertical="top" wrapText="1"/>
    </xf>
    <xf numFmtId="3" fontId="8" fillId="7" borderId="1" xfId="3" applyNumberFormat="1" applyFont="1" applyFill="1" applyBorder="1" applyAlignment="1">
      <alignment horizontal="center" vertical="top" wrapText="1"/>
    </xf>
    <xf numFmtId="3" fontId="8" fillId="2" borderId="1" xfId="3" applyNumberFormat="1" applyFont="1" applyFill="1" applyBorder="1" applyAlignment="1">
      <alignment horizontal="center" vertical="top" wrapText="1"/>
    </xf>
    <xf numFmtId="3" fontId="8" fillId="3" borderId="1" xfId="3" applyNumberFormat="1" applyFont="1" applyFill="1" applyBorder="1" applyAlignment="1">
      <alignment horizontal="center" vertical="top" wrapText="1"/>
    </xf>
    <xf numFmtId="3" fontId="8" fillId="10" borderId="1" xfId="3" applyNumberFormat="1" applyFont="1" applyFill="1" applyBorder="1" applyAlignment="1">
      <alignment horizontal="center" vertical="top" wrapText="1"/>
    </xf>
    <xf numFmtId="9" fontId="8" fillId="0" borderId="1" xfId="2" applyFont="1" applyFill="1" applyBorder="1" applyAlignment="1" applyProtection="1">
      <alignment horizontal="center" vertical="top" wrapText="1"/>
    </xf>
    <xf numFmtId="1" fontId="8" fillId="0" borderId="1" xfId="3" applyNumberFormat="1" applyFont="1" applyBorder="1" applyAlignment="1">
      <alignment horizontal="center" vertical="top" wrapText="1"/>
    </xf>
    <xf numFmtId="9" fontId="8" fillId="0" borderId="1" xfId="2" applyFont="1" applyFill="1" applyBorder="1" applyAlignment="1" applyProtection="1">
      <alignment horizontal="left" vertical="top" wrapText="1"/>
    </xf>
    <xf numFmtId="1" fontId="8" fillId="0" borderId="1" xfId="2" applyNumberFormat="1" applyFont="1" applyFill="1" applyBorder="1" applyAlignment="1" applyProtection="1">
      <alignment horizontal="center" vertical="top" wrapText="1"/>
    </xf>
    <xf numFmtId="0" fontId="9" fillId="0" borderId="1" xfId="4" applyFont="1" applyFill="1" applyBorder="1" applyAlignment="1">
      <alignment horizontal="left" vertical="top" wrapText="1"/>
    </xf>
    <xf numFmtId="0" fontId="8" fillId="0" borderId="1" xfId="0" applyFont="1" applyBorder="1" applyAlignment="1">
      <alignment horizontal="justify" vertical="top" wrapText="1"/>
    </xf>
    <xf numFmtId="2" fontId="8" fillId="0" borderId="1" xfId="4" applyNumberFormat="1" applyFont="1" applyFill="1" applyBorder="1" applyAlignment="1">
      <alignment horizontal="center" vertical="top" wrapText="1"/>
    </xf>
    <xf numFmtId="2" fontId="8" fillId="0" borderId="1" xfId="0" applyNumberFormat="1" applyFont="1" applyBorder="1" applyAlignment="1">
      <alignment horizontal="left" vertical="top" wrapText="1"/>
    </xf>
    <xf numFmtId="169" fontId="8" fillId="0" borderId="1" xfId="13" applyNumberFormat="1" applyFont="1" applyFill="1" applyBorder="1" applyAlignment="1" applyProtection="1">
      <alignment horizontal="center" vertical="top" wrapText="1"/>
    </xf>
    <xf numFmtId="3" fontId="8" fillId="8" borderId="1" xfId="0" applyNumberFormat="1" applyFont="1" applyFill="1" applyBorder="1" applyAlignment="1">
      <alignment horizontal="center" vertical="top" wrapText="1"/>
    </xf>
    <xf numFmtId="3" fontId="8" fillId="9" borderId="1" xfId="0" applyNumberFormat="1" applyFont="1" applyFill="1" applyBorder="1" applyAlignment="1">
      <alignment horizontal="center" vertical="top" wrapText="1"/>
    </xf>
    <xf numFmtId="3" fontId="8" fillId="12" borderId="1" xfId="0" applyNumberFormat="1" applyFont="1" applyFill="1" applyBorder="1" applyAlignment="1">
      <alignment horizontal="center" vertical="top" wrapText="1"/>
    </xf>
    <xf numFmtId="3" fontId="8" fillId="11" borderId="1" xfId="0" applyNumberFormat="1" applyFont="1" applyFill="1" applyBorder="1" applyAlignment="1">
      <alignment horizontal="center" vertical="top" wrapText="1"/>
    </xf>
    <xf numFmtId="170" fontId="8" fillId="8" borderId="1" xfId="0" applyNumberFormat="1" applyFont="1" applyFill="1" applyBorder="1" applyAlignment="1">
      <alignment horizontal="center" vertical="top" wrapText="1"/>
    </xf>
    <xf numFmtId="170" fontId="8" fillId="9" borderId="1" xfId="0" applyNumberFormat="1" applyFont="1" applyFill="1" applyBorder="1" applyAlignment="1">
      <alignment horizontal="center" vertical="top" wrapText="1"/>
    </xf>
    <xf numFmtId="170" fontId="8" fillId="12" borderId="1" xfId="0" applyNumberFormat="1" applyFont="1" applyFill="1" applyBorder="1" applyAlignment="1">
      <alignment horizontal="center" vertical="top" wrapText="1"/>
    </xf>
    <xf numFmtId="170" fontId="8" fillId="11" borderId="1" xfId="0" applyNumberFormat="1" applyFont="1" applyFill="1" applyBorder="1" applyAlignment="1">
      <alignment horizontal="center" vertical="top" wrapText="1"/>
    </xf>
    <xf numFmtId="170" fontId="8" fillId="7" borderId="1" xfId="0" applyNumberFormat="1" applyFont="1" applyFill="1" applyBorder="1" applyAlignment="1">
      <alignment horizontal="center" vertical="top" wrapText="1"/>
    </xf>
    <xf numFmtId="170" fontId="8" fillId="2" borderId="1" xfId="0" applyNumberFormat="1" applyFont="1" applyFill="1" applyBorder="1" applyAlignment="1">
      <alignment horizontal="center" vertical="top" wrapText="1"/>
    </xf>
    <xf numFmtId="170" fontId="8" fillId="3" borderId="1" xfId="0" applyNumberFormat="1" applyFont="1" applyFill="1" applyBorder="1" applyAlignment="1">
      <alignment horizontal="center" vertical="top" wrapText="1"/>
    </xf>
    <xf numFmtId="170" fontId="8" fillId="10" borderId="1" xfId="0" applyNumberFormat="1" applyFont="1" applyFill="1" applyBorder="1" applyAlignment="1">
      <alignment horizontal="center" vertical="top" wrapText="1"/>
    </xf>
    <xf numFmtId="0" fontId="8" fillId="0" borderId="0" xfId="0" applyFont="1" applyAlignment="1">
      <alignment vertical="top" wrapText="1"/>
    </xf>
    <xf numFmtId="4" fontId="8" fillId="7" borderId="1" xfId="0" applyNumberFormat="1" applyFont="1" applyFill="1" applyBorder="1" applyAlignment="1">
      <alignment vertical="top" wrapText="1"/>
    </xf>
    <xf numFmtId="4" fontId="8" fillId="2" borderId="1" xfId="0" applyNumberFormat="1" applyFont="1" applyFill="1" applyBorder="1" applyAlignment="1">
      <alignment vertical="top" wrapText="1"/>
    </xf>
    <xf numFmtId="4" fontId="8" fillId="3" borderId="1" xfId="0" applyNumberFormat="1" applyFont="1" applyFill="1" applyBorder="1" applyAlignment="1">
      <alignment vertical="top" wrapText="1"/>
    </xf>
    <xf numFmtId="4" fontId="8" fillId="10" borderId="1" xfId="0" applyNumberFormat="1" applyFont="1" applyFill="1" applyBorder="1" applyAlignment="1">
      <alignment vertical="top" wrapText="1"/>
    </xf>
    <xf numFmtId="4" fontId="8" fillId="6" borderId="1" xfId="0" applyNumberFormat="1" applyFont="1" applyFill="1" applyBorder="1" applyAlignment="1">
      <alignment vertical="top" wrapText="1"/>
    </xf>
    <xf numFmtId="4" fontId="8" fillId="0" borderId="0" xfId="0" applyNumberFormat="1" applyFont="1" applyAlignment="1">
      <alignment vertical="top" wrapText="1"/>
    </xf>
    <xf numFmtId="4" fontId="3" fillId="0" borderId="0" xfId="0" applyNumberFormat="1" applyFont="1"/>
    <xf numFmtId="4" fontId="0" fillId="0" borderId="0" xfId="0" applyNumberFormat="1"/>
    <xf numFmtId="3" fontId="8" fillId="0" borderId="1" xfId="9" applyNumberFormat="1" applyFont="1" applyFill="1" applyBorder="1" applyAlignment="1" applyProtection="1">
      <alignment horizontal="center" vertical="top" wrapText="1"/>
    </xf>
    <xf numFmtId="1" fontId="8" fillId="7" borderId="1" xfId="5" applyNumberFormat="1" applyFont="1" applyFill="1" applyBorder="1" applyAlignment="1">
      <alignment horizontal="center" vertical="top" wrapText="1"/>
    </xf>
    <xf numFmtId="1" fontId="8" fillId="7" borderId="1" xfId="1" applyNumberFormat="1" applyFont="1" applyFill="1" applyBorder="1" applyAlignment="1" applyProtection="1">
      <alignment horizontal="center" vertical="top" wrapText="1"/>
    </xf>
    <xf numFmtId="1" fontId="8" fillId="2" borderId="1" xfId="0" applyNumberFormat="1" applyFont="1" applyFill="1" applyBorder="1" applyAlignment="1">
      <alignment horizontal="center" vertical="top" wrapText="1"/>
    </xf>
    <xf numFmtId="1" fontId="8" fillId="3" borderId="1" xfId="0" applyNumberFormat="1" applyFont="1" applyFill="1" applyBorder="1" applyAlignment="1">
      <alignment horizontal="center" vertical="top" wrapText="1"/>
    </xf>
    <xf numFmtId="1" fontId="8" fillId="10" borderId="1" xfId="0" applyNumberFormat="1" applyFont="1" applyFill="1" applyBorder="1" applyAlignment="1">
      <alignment horizontal="center" vertical="top" wrapText="1"/>
    </xf>
    <xf numFmtId="168" fontId="8" fillId="2" borderId="1" xfId="0" applyNumberFormat="1" applyFont="1" applyFill="1" applyBorder="1" applyAlignment="1">
      <alignment horizontal="center" vertical="top" wrapText="1"/>
    </xf>
    <xf numFmtId="168" fontId="8" fillId="3" borderId="1" xfId="0" applyNumberFormat="1" applyFont="1" applyFill="1" applyBorder="1" applyAlignment="1">
      <alignment horizontal="center" vertical="top" wrapText="1"/>
    </xf>
    <xf numFmtId="168" fontId="8" fillId="10" borderId="1" xfId="0" applyNumberFormat="1" applyFont="1" applyFill="1" applyBorder="1" applyAlignment="1">
      <alignment horizontal="center" vertical="top" wrapText="1"/>
    </xf>
    <xf numFmtId="168" fontId="8" fillId="7" borderId="1" xfId="0" applyNumberFormat="1" applyFont="1" applyFill="1" applyBorder="1" applyAlignment="1">
      <alignment horizontal="center" vertical="top" wrapText="1"/>
    </xf>
    <xf numFmtId="168" fontId="8" fillId="7" borderId="1" xfId="1" applyNumberFormat="1" applyFont="1" applyFill="1" applyBorder="1" applyAlignment="1" applyProtection="1">
      <alignment horizontal="center" vertical="top" wrapText="1"/>
    </xf>
    <xf numFmtId="168" fontId="8" fillId="2" borderId="1" xfId="1" applyNumberFormat="1" applyFont="1" applyFill="1" applyBorder="1" applyAlignment="1" applyProtection="1">
      <alignment horizontal="center" vertical="top" wrapText="1"/>
    </xf>
    <xf numFmtId="168" fontId="8" fillId="3" borderId="1" xfId="1" applyNumberFormat="1" applyFont="1" applyFill="1" applyBorder="1" applyAlignment="1" applyProtection="1">
      <alignment horizontal="center" vertical="top" wrapText="1"/>
    </xf>
    <xf numFmtId="168" fontId="8" fillId="10" borderId="1" xfId="1" applyNumberFormat="1" applyFont="1" applyFill="1" applyBorder="1" applyAlignment="1" applyProtection="1">
      <alignment horizontal="center" vertical="top" wrapText="1"/>
    </xf>
    <xf numFmtId="1" fontId="8" fillId="2" borderId="1" xfId="1" applyNumberFormat="1" applyFont="1" applyFill="1" applyBorder="1" applyAlignment="1" applyProtection="1">
      <alignment horizontal="center" vertical="top" wrapText="1"/>
    </xf>
    <xf numFmtId="1" fontId="8" fillId="3" borderId="1" xfId="1" applyNumberFormat="1" applyFont="1" applyFill="1" applyBorder="1" applyAlignment="1" applyProtection="1">
      <alignment horizontal="center" vertical="top" wrapText="1"/>
    </xf>
    <xf numFmtId="1" fontId="8" fillId="10" borderId="1" xfId="1" applyNumberFormat="1" applyFont="1" applyFill="1" applyBorder="1" applyAlignment="1" applyProtection="1">
      <alignment horizontal="center" vertical="top" wrapText="1"/>
    </xf>
    <xf numFmtId="0" fontId="11" fillId="0" borderId="11" xfId="0" applyFont="1" applyBorder="1" applyAlignment="1">
      <alignment horizontal="center" vertical="top" wrapText="1"/>
    </xf>
    <xf numFmtId="0" fontId="11" fillId="0" borderId="10" xfId="0" applyFont="1" applyBorder="1" applyAlignment="1">
      <alignment horizontal="center" vertical="top" wrapText="1"/>
    </xf>
    <xf numFmtId="0" fontId="11" fillId="0" borderId="6" xfId="0" applyFont="1" applyBorder="1" applyAlignment="1">
      <alignment horizontal="center" vertical="top" wrapText="1"/>
    </xf>
    <xf numFmtId="2" fontId="11" fillId="0" borderId="1" xfId="0" applyNumberFormat="1" applyFont="1" applyBorder="1" applyAlignment="1">
      <alignment horizontal="center" vertical="top" wrapText="1"/>
    </xf>
    <xf numFmtId="49" fontId="8" fillId="0" borderId="1" xfId="0" applyNumberFormat="1" applyFont="1" applyBorder="1" applyAlignment="1">
      <alignment horizontal="center" vertical="top" wrapText="1"/>
    </xf>
    <xf numFmtId="2" fontId="10" fillId="3" borderId="1" xfId="0" applyNumberFormat="1" applyFont="1" applyFill="1" applyBorder="1" applyAlignment="1">
      <alignment vertical="center" wrapText="1"/>
    </xf>
    <xf numFmtId="0" fontId="9" fillId="5" borderId="9" xfId="0" applyFont="1" applyFill="1" applyBorder="1" applyAlignment="1">
      <alignment vertical="center" wrapText="1"/>
    </xf>
    <xf numFmtId="0" fontId="9" fillId="13" borderId="1" xfId="0" applyFont="1" applyFill="1" applyBorder="1" applyAlignment="1">
      <alignment vertical="center" wrapText="1"/>
    </xf>
    <xf numFmtId="0" fontId="0" fillId="0" borderId="0" xfId="0" applyAlignment="1">
      <alignment horizontal="center"/>
    </xf>
    <xf numFmtId="1" fontId="0" fillId="0" borderId="0" xfId="0" applyNumberFormat="1"/>
    <xf numFmtId="0" fontId="0" fillId="0" borderId="0" xfId="0" applyAlignment="1">
      <alignment wrapText="1"/>
    </xf>
    <xf numFmtId="10" fontId="8" fillId="0" borderId="0" xfId="2" applyNumberFormat="1" applyFont="1" applyFill="1" applyBorder="1" applyAlignment="1" applyProtection="1">
      <alignment horizontal="center" vertical="top"/>
    </xf>
    <xf numFmtId="167" fontId="8" fillId="0" borderId="0" xfId="2" applyNumberFormat="1" applyFont="1" applyFill="1" applyBorder="1" applyAlignment="1" applyProtection="1">
      <alignment horizontal="center" vertical="top"/>
    </xf>
    <xf numFmtId="10" fontId="8" fillId="0" borderId="0" xfId="0" applyNumberFormat="1" applyFont="1" applyAlignment="1">
      <alignment horizontal="center" vertical="top"/>
    </xf>
    <xf numFmtId="9" fontId="8" fillId="0" borderId="0" xfId="0" applyNumberFormat="1" applyFont="1" applyAlignment="1">
      <alignment horizontal="center" vertical="top"/>
    </xf>
    <xf numFmtId="0" fontId="8" fillId="0" borderId="0" xfId="5" applyFont="1" applyAlignment="1">
      <alignment horizontal="center" vertical="top"/>
    </xf>
    <xf numFmtId="0" fontId="8" fillId="0" borderId="0" xfId="0" applyFont="1" applyAlignment="1">
      <alignment horizontal="center" vertical="top"/>
    </xf>
    <xf numFmtId="0" fontId="8" fillId="0" borderId="0" xfId="4" applyFont="1" applyFill="1" applyBorder="1" applyAlignment="1">
      <alignment horizontal="center" vertical="top"/>
    </xf>
    <xf numFmtId="9" fontId="8" fillId="0" borderId="0" xfId="6" applyNumberFormat="1" applyFont="1" applyAlignment="1">
      <alignment horizontal="center" vertical="top"/>
    </xf>
    <xf numFmtId="0" fontId="8" fillId="0" borderId="0" xfId="6" applyFont="1" applyAlignment="1">
      <alignment horizontal="center" vertical="top"/>
    </xf>
    <xf numFmtId="168" fontId="8" fillId="0" borderId="0" xfId="0" applyNumberFormat="1" applyFont="1" applyAlignment="1">
      <alignment horizontal="center" vertical="top"/>
    </xf>
    <xf numFmtId="10" fontId="8" fillId="0" borderId="0" xfId="3" applyNumberFormat="1" applyFont="1" applyBorder="1" applyAlignment="1">
      <alignment horizontal="center" vertical="top"/>
    </xf>
    <xf numFmtId="10" fontId="8" fillId="0" borderId="0" xfId="5" applyNumberFormat="1" applyFont="1" applyAlignment="1">
      <alignment horizontal="center" vertical="top"/>
    </xf>
    <xf numFmtId="1" fontId="8" fillId="0" borderId="0" xfId="0" applyNumberFormat="1" applyFont="1" applyAlignment="1">
      <alignment horizontal="center" vertical="top"/>
    </xf>
    <xf numFmtId="9" fontId="8" fillId="0" borderId="0" xfId="2" applyFont="1" applyFill="1" applyBorder="1" applyAlignment="1" applyProtection="1">
      <alignment horizontal="center" vertical="top"/>
    </xf>
    <xf numFmtId="2" fontId="8" fillId="0" borderId="0" xfId="4" applyNumberFormat="1" applyFont="1" applyFill="1" applyBorder="1" applyAlignment="1">
      <alignment horizontal="center" vertical="top"/>
    </xf>
    <xf numFmtId="0" fontId="0" fillId="14" borderId="0" xfId="0" applyFill="1"/>
  </cellXfs>
  <cellStyles count="15">
    <cellStyle name="KPT04_Main" xfId="10" xr:uid="{00000000-0005-0000-0000-000000000000}"/>
    <cellStyle name="Millares" xfId="14" builtinId="3"/>
    <cellStyle name="Millares [0] 2" xfId="12" xr:uid="{00000000-0005-0000-0000-000002000000}"/>
    <cellStyle name="Moneda" xfId="13" builtinId="4"/>
    <cellStyle name="Moneda [0]" xfId="1" builtinId="7"/>
    <cellStyle name="Moneda [0] 2" xfId="9" xr:uid="{00000000-0005-0000-0000-000005000000}"/>
    <cellStyle name="Normal" xfId="0" builtinId="0"/>
    <cellStyle name="Normal 2" xfId="6" xr:uid="{00000000-0005-0000-0000-000007000000}"/>
    <cellStyle name="Normal 2 2" xfId="7" xr:uid="{00000000-0005-0000-0000-000008000000}"/>
    <cellStyle name="Normal 2 2 2" xfId="8" xr:uid="{00000000-0005-0000-0000-000009000000}"/>
    <cellStyle name="Normal 3" xfId="3" xr:uid="{00000000-0005-0000-0000-00000A000000}"/>
    <cellStyle name="Normal 4 2" xfId="5" xr:uid="{00000000-0005-0000-0000-00000B000000}"/>
    <cellStyle name="Normal 4 2 3" xfId="11" xr:uid="{00000000-0005-0000-0000-00000C000000}"/>
    <cellStyle name="PDD" xfId="4" xr:uid="{00000000-0005-0000-0000-00000D000000}"/>
    <cellStyle name="Porcentaje" xfId="2" builtinId="5"/>
  </cellStyles>
  <dxfs count="0"/>
  <tableStyles count="0" defaultTableStyle="TableStyleMedium2" defaultPivotStyle="PivotStyleLight16"/>
  <colors>
    <mruColors>
      <color rgb="FFFFFFCC"/>
      <color rgb="FFFFFF6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Users\Per&#167;onal_\Downloads\Matriz_estrategica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no"/>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7AFAC-D53C-4206-A9A9-3014F39FB844}">
  <dimension ref="A1:AR417"/>
  <sheetViews>
    <sheetView tabSelected="1" workbookViewId="0">
      <pane ySplit="1" topLeftCell="A2" activePane="bottomLeft" state="frozen"/>
      <selection pane="bottomLeft" activeCell="J1" sqref="J1"/>
    </sheetView>
  </sheetViews>
  <sheetFormatPr baseColWidth="10" defaultRowHeight="12.75" x14ac:dyDescent="0.2"/>
  <cols>
    <col min="1" max="1" width="12.85546875" style="31" customWidth="1"/>
    <col min="2" max="2" width="12.28515625" style="31" customWidth="1"/>
    <col min="3" max="3" width="20.28515625" style="31" customWidth="1"/>
    <col min="4" max="4" width="61.28515625" style="31" customWidth="1"/>
    <col min="5" max="5" width="41.28515625" style="31" customWidth="1"/>
    <col min="6" max="6" width="61.42578125" style="31" customWidth="1"/>
    <col min="7" max="7" width="25.42578125" style="31" customWidth="1"/>
    <col min="8" max="8" width="11.42578125" style="31"/>
    <col min="9" max="9" width="33.28515625" style="31" customWidth="1"/>
    <col min="10" max="10" width="48.85546875" style="31" customWidth="1"/>
    <col min="11" max="11" width="16.28515625" style="31" customWidth="1"/>
    <col min="12" max="13" width="26.42578125" style="31" customWidth="1"/>
    <col min="14" max="14" width="12.7109375" style="31" customWidth="1"/>
    <col min="15" max="15" width="21" style="31" customWidth="1"/>
    <col min="16" max="16" width="16" style="31" customWidth="1"/>
    <col min="17" max="17" width="47.7109375" style="31" customWidth="1"/>
    <col min="18" max="18" width="16.5703125" style="31" customWidth="1"/>
    <col min="19" max="19" width="43.28515625" style="31" customWidth="1"/>
    <col min="20" max="20" width="87.140625" style="31" customWidth="1"/>
    <col min="21" max="21" width="19" style="31" customWidth="1"/>
    <col min="22" max="22" width="13.85546875" style="31" customWidth="1"/>
    <col min="23" max="23" width="39.140625" style="31" customWidth="1"/>
    <col min="24" max="24" width="62" style="31" customWidth="1"/>
    <col min="25" max="28" width="19.85546875" style="32" customWidth="1"/>
    <col min="29" max="29" width="40.42578125" style="32" customWidth="1"/>
    <col min="30" max="30" width="30.42578125" style="32" customWidth="1"/>
    <col min="31" max="32" width="25" style="32" customWidth="1"/>
    <col min="33" max="33" width="21.7109375" style="31" customWidth="1"/>
    <col min="34" max="34" width="21" style="31" customWidth="1"/>
    <col min="35" max="35" width="18.7109375" style="31" customWidth="1"/>
    <col min="36" max="36" width="17.7109375" style="31" customWidth="1"/>
    <col min="37" max="37" width="21.7109375" style="31" customWidth="1"/>
    <col min="38" max="38" width="21" style="31" customWidth="1"/>
    <col min="39" max="39" width="21.140625" style="31" customWidth="1"/>
    <col min="40" max="41" width="23.140625" style="31" customWidth="1"/>
    <col min="42" max="42" width="27.28515625" style="31" customWidth="1"/>
    <col min="43" max="43" width="11.42578125" style="31"/>
    <col min="44" max="44" width="16.28515625" style="31" bestFit="1" customWidth="1"/>
    <col min="45" max="16384" width="11.42578125" style="31"/>
  </cols>
  <sheetData>
    <row r="1" spans="1:42" ht="33.75" customHeight="1" x14ac:dyDescent="0.2">
      <c r="A1" s="172" t="s">
        <v>2106</v>
      </c>
      <c r="B1" s="33" t="s">
        <v>0</v>
      </c>
      <c r="C1" s="34" t="s">
        <v>1</v>
      </c>
      <c r="D1" s="34" t="s">
        <v>2</v>
      </c>
      <c r="E1" s="34" t="s">
        <v>2160</v>
      </c>
      <c r="F1" s="34" t="s">
        <v>3</v>
      </c>
      <c r="G1" s="34" t="s">
        <v>4</v>
      </c>
      <c r="H1" s="34" t="s">
        <v>5</v>
      </c>
      <c r="I1" s="34" t="s">
        <v>6</v>
      </c>
      <c r="J1" s="34" t="s">
        <v>2355</v>
      </c>
      <c r="K1" s="34" t="s">
        <v>7</v>
      </c>
      <c r="L1" s="34" t="s">
        <v>2159</v>
      </c>
      <c r="M1" s="34" t="s">
        <v>8</v>
      </c>
      <c r="N1" s="34" t="s">
        <v>9</v>
      </c>
      <c r="O1" s="34" t="s">
        <v>10</v>
      </c>
      <c r="P1" s="34" t="s">
        <v>11</v>
      </c>
      <c r="Q1" s="34" t="s">
        <v>12</v>
      </c>
      <c r="R1" s="34" t="s">
        <v>13</v>
      </c>
      <c r="S1" s="34" t="s">
        <v>14</v>
      </c>
      <c r="T1" s="34" t="s">
        <v>2161</v>
      </c>
      <c r="U1" s="34" t="s">
        <v>15</v>
      </c>
      <c r="V1" s="34" t="s">
        <v>16</v>
      </c>
      <c r="W1" s="34" t="s">
        <v>17</v>
      </c>
      <c r="X1" s="34" t="s">
        <v>2351</v>
      </c>
      <c r="Y1" s="34" t="s">
        <v>7</v>
      </c>
      <c r="Z1" s="34" t="s">
        <v>2156</v>
      </c>
      <c r="AA1" s="34" t="s">
        <v>2158</v>
      </c>
      <c r="AB1" s="34" t="s">
        <v>2180</v>
      </c>
      <c r="AC1" s="34" t="s">
        <v>2181</v>
      </c>
      <c r="AD1" s="34" t="s">
        <v>2182</v>
      </c>
      <c r="AE1" s="34" t="s">
        <v>2157</v>
      </c>
      <c r="AF1" s="34" t="s">
        <v>2183</v>
      </c>
      <c r="AG1" s="35" t="s">
        <v>2515</v>
      </c>
      <c r="AH1" s="35" t="s">
        <v>2514</v>
      </c>
      <c r="AI1" s="35" t="s">
        <v>2516</v>
      </c>
      <c r="AJ1" s="35" t="s">
        <v>2517</v>
      </c>
      <c r="AK1" s="35" t="s">
        <v>2519</v>
      </c>
      <c r="AL1" s="35" t="s">
        <v>2518</v>
      </c>
      <c r="AM1" s="35" t="s">
        <v>2520</v>
      </c>
      <c r="AN1" s="35" t="s">
        <v>2521</v>
      </c>
      <c r="AO1" s="173" t="s">
        <v>2482</v>
      </c>
      <c r="AP1" s="174" t="s">
        <v>18</v>
      </c>
    </row>
    <row r="2" spans="1:42" customFormat="1" ht="71.25" customHeight="1" x14ac:dyDescent="0.25">
      <c r="A2" s="36">
        <v>1</v>
      </c>
      <c r="B2" s="37" t="s">
        <v>19</v>
      </c>
      <c r="C2" s="37" t="s">
        <v>20</v>
      </c>
      <c r="D2" s="38" t="s">
        <v>2383</v>
      </c>
      <c r="E2" s="37" t="s">
        <v>21</v>
      </c>
      <c r="F2" s="38" t="s">
        <v>22</v>
      </c>
      <c r="G2" s="39">
        <v>0.26250000000000001</v>
      </c>
      <c r="H2" s="36">
        <v>2023</v>
      </c>
      <c r="I2" s="37" t="s">
        <v>23</v>
      </c>
      <c r="J2" s="38" t="s">
        <v>24</v>
      </c>
      <c r="K2" s="40" t="s">
        <v>25</v>
      </c>
      <c r="L2" s="37" t="s">
        <v>27</v>
      </c>
      <c r="M2" s="37" t="s">
        <v>26</v>
      </c>
      <c r="N2" s="36">
        <v>22</v>
      </c>
      <c r="O2" s="36" t="s">
        <v>28</v>
      </c>
      <c r="P2" s="36" t="s">
        <v>29</v>
      </c>
      <c r="Q2" s="37" t="s">
        <v>1984</v>
      </c>
      <c r="R2" s="36">
        <v>2201006</v>
      </c>
      <c r="S2" s="37" t="s">
        <v>30</v>
      </c>
      <c r="T2" s="38" t="s">
        <v>31</v>
      </c>
      <c r="U2" s="36" t="s">
        <v>32</v>
      </c>
      <c r="V2" s="36" t="s">
        <v>33</v>
      </c>
      <c r="W2" s="37" t="s">
        <v>34</v>
      </c>
      <c r="X2" s="41" t="s">
        <v>35</v>
      </c>
      <c r="Y2" s="36" t="s">
        <v>36</v>
      </c>
      <c r="Z2" s="36">
        <v>270</v>
      </c>
      <c r="AA2" s="36" t="s">
        <v>2185</v>
      </c>
      <c r="AB2" s="36" t="s">
        <v>2235</v>
      </c>
      <c r="AC2" s="36" t="s">
        <v>2187</v>
      </c>
      <c r="AD2" s="36" t="s">
        <v>37</v>
      </c>
      <c r="AE2" s="36" t="s">
        <v>2187</v>
      </c>
      <c r="AF2" s="36" t="s">
        <v>2187</v>
      </c>
      <c r="AG2" s="42">
        <v>125</v>
      </c>
      <c r="AH2" s="43">
        <v>125</v>
      </c>
      <c r="AI2" s="44">
        <v>125</v>
      </c>
      <c r="AJ2" s="45">
        <v>125</v>
      </c>
      <c r="AK2" s="46">
        <v>958852400</v>
      </c>
      <c r="AL2" s="47">
        <v>453960364</v>
      </c>
      <c r="AM2" s="48">
        <v>484091408.44999999</v>
      </c>
      <c r="AN2" s="49">
        <v>354592436</v>
      </c>
      <c r="AO2" s="50">
        <v>2251496608.4499998</v>
      </c>
      <c r="AP2" s="37" t="s">
        <v>26</v>
      </c>
    </row>
    <row r="3" spans="1:42" customFormat="1" ht="46.5" customHeight="1" x14ac:dyDescent="0.25">
      <c r="A3" s="36">
        <v>2</v>
      </c>
      <c r="B3" s="37" t="s">
        <v>19</v>
      </c>
      <c r="C3" s="37" t="s">
        <v>20</v>
      </c>
      <c r="D3" s="38" t="s">
        <v>2383</v>
      </c>
      <c r="E3" s="37" t="s">
        <v>21</v>
      </c>
      <c r="F3" s="38" t="s">
        <v>22</v>
      </c>
      <c r="G3" s="39">
        <v>0.26250000000000001</v>
      </c>
      <c r="H3" s="36">
        <v>2023</v>
      </c>
      <c r="I3" s="37" t="s">
        <v>23</v>
      </c>
      <c r="J3" s="38" t="s">
        <v>24</v>
      </c>
      <c r="K3" s="40" t="s">
        <v>25</v>
      </c>
      <c r="L3" s="37" t="s">
        <v>27</v>
      </c>
      <c r="M3" s="37" t="s">
        <v>26</v>
      </c>
      <c r="N3" s="36">
        <v>22</v>
      </c>
      <c r="O3" s="36" t="s">
        <v>28</v>
      </c>
      <c r="P3" s="36" t="s">
        <v>29</v>
      </c>
      <c r="Q3" s="37" t="s">
        <v>1984</v>
      </c>
      <c r="R3" s="36" t="s">
        <v>38</v>
      </c>
      <c r="S3" s="37" t="s">
        <v>39</v>
      </c>
      <c r="T3" s="38" t="s">
        <v>40</v>
      </c>
      <c r="U3" s="36" t="s">
        <v>41</v>
      </c>
      <c r="V3" s="36" t="s">
        <v>42</v>
      </c>
      <c r="W3" s="37" t="s">
        <v>41</v>
      </c>
      <c r="X3" s="41" t="s">
        <v>43</v>
      </c>
      <c r="Y3" s="51" t="s">
        <v>36</v>
      </c>
      <c r="Z3" s="51">
        <v>0</v>
      </c>
      <c r="AA3" s="51" t="s">
        <v>2185</v>
      </c>
      <c r="AB3" s="51" t="s">
        <v>2356</v>
      </c>
      <c r="AC3" s="51" t="s">
        <v>2237</v>
      </c>
      <c r="AD3" s="36" t="s">
        <v>37</v>
      </c>
      <c r="AE3" s="36" t="s">
        <v>2187</v>
      </c>
      <c r="AF3" s="36" t="s">
        <v>2187</v>
      </c>
      <c r="AG3" s="42">
        <v>15</v>
      </c>
      <c r="AH3" s="43">
        <v>17</v>
      </c>
      <c r="AI3" s="44">
        <v>17</v>
      </c>
      <c r="AJ3" s="45">
        <v>15</v>
      </c>
      <c r="AK3" s="46">
        <v>9571141576</v>
      </c>
      <c r="AL3" s="47">
        <v>9571141576</v>
      </c>
      <c r="AM3" s="48">
        <v>9571141576</v>
      </c>
      <c r="AN3" s="49">
        <v>9571141576</v>
      </c>
      <c r="AO3" s="50">
        <v>38284566304</v>
      </c>
      <c r="AP3" s="37" t="s">
        <v>26</v>
      </c>
    </row>
    <row r="4" spans="1:42" customFormat="1" ht="89.25" x14ac:dyDescent="0.25">
      <c r="A4" s="36">
        <v>3</v>
      </c>
      <c r="B4" s="37" t="s">
        <v>19</v>
      </c>
      <c r="C4" s="37" t="s">
        <v>20</v>
      </c>
      <c r="D4" s="38" t="s">
        <v>2383</v>
      </c>
      <c r="E4" s="37" t="s">
        <v>21</v>
      </c>
      <c r="F4" s="38" t="s">
        <v>22</v>
      </c>
      <c r="G4" s="39">
        <v>0.26250000000000001</v>
      </c>
      <c r="H4" s="36">
        <v>2023</v>
      </c>
      <c r="I4" s="37" t="s">
        <v>23</v>
      </c>
      <c r="J4" s="38" t="s">
        <v>24</v>
      </c>
      <c r="K4" s="40" t="s">
        <v>25</v>
      </c>
      <c r="L4" s="37" t="s">
        <v>27</v>
      </c>
      <c r="M4" s="37" t="s">
        <v>26</v>
      </c>
      <c r="N4" s="36">
        <v>22</v>
      </c>
      <c r="O4" s="36" t="s">
        <v>28</v>
      </c>
      <c r="P4" s="36" t="s">
        <v>29</v>
      </c>
      <c r="Q4" s="37" t="s">
        <v>1984</v>
      </c>
      <c r="R4" s="36">
        <v>2201034</v>
      </c>
      <c r="S4" s="37" t="s">
        <v>44</v>
      </c>
      <c r="T4" s="38" t="s">
        <v>45</v>
      </c>
      <c r="U4" s="36" t="s">
        <v>46</v>
      </c>
      <c r="V4" s="36" t="s">
        <v>47</v>
      </c>
      <c r="W4" s="37" t="s">
        <v>48</v>
      </c>
      <c r="X4" s="41" t="s">
        <v>49</v>
      </c>
      <c r="Y4" s="51" t="s">
        <v>36</v>
      </c>
      <c r="Z4" s="51">
        <v>0</v>
      </c>
      <c r="AA4" s="51" t="s">
        <v>2185</v>
      </c>
      <c r="AB4" s="51" t="s">
        <v>2236</v>
      </c>
      <c r="AC4" s="51" t="s">
        <v>2238</v>
      </c>
      <c r="AD4" s="36" t="s">
        <v>37</v>
      </c>
      <c r="AE4" s="36" t="s">
        <v>2187</v>
      </c>
      <c r="AF4" s="36" t="s">
        <v>2187</v>
      </c>
      <c r="AG4" s="52">
        <v>0</v>
      </c>
      <c r="AH4" s="53">
        <v>3000</v>
      </c>
      <c r="AI4" s="54">
        <v>1500</v>
      </c>
      <c r="AJ4" s="55">
        <v>0</v>
      </c>
      <c r="AK4" s="46">
        <v>0</v>
      </c>
      <c r="AL4" s="47">
        <v>1020000000</v>
      </c>
      <c r="AM4" s="48">
        <v>520000000</v>
      </c>
      <c r="AN4" s="49">
        <v>0</v>
      </c>
      <c r="AO4" s="50">
        <v>1540000000</v>
      </c>
      <c r="AP4" s="37" t="s">
        <v>26</v>
      </c>
    </row>
    <row r="5" spans="1:42" customFormat="1" ht="89.25" x14ac:dyDescent="0.25">
      <c r="A5" s="36">
        <v>4</v>
      </c>
      <c r="B5" s="37" t="s">
        <v>19</v>
      </c>
      <c r="C5" s="37" t="s">
        <v>20</v>
      </c>
      <c r="D5" s="38" t="s">
        <v>2383</v>
      </c>
      <c r="E5" s="37" t="s">
        <v>21</v>
      </c>
      <c r="F5" s="38" t="s">
        <v>22</v>
      </c>
      <c r="G5" s="39">
        <v>0.26250000000000001</v>
      </c>
      <c r="H5" s="36">
        <v>2023</v>
      </c>
      <c r="I5" s="37" t="s">
        <v>23</v>
      </c>
      <c r="J5" s="38" t="s">
        <v>24</v>
      </c>
      <c r="K5" s="40" t="s">
        <v>25</v>
      </c>
      <c r="L5" s="37" t="s">
        <v>27</v>
      </c>
      <c r="M5" s="37" t="s">
        <v>26</v>
      </c>
      <c r="N5" s="36">
        <v>22</v>
      </c>
      <c r="O5" s="36" t="s">
        <v>28</v>
      </c>
      <c r="P5" s="36" t="s">
        <v>29</v>
      </c>
      <c r="Q5" s="37" t="s">
        <v>1984</v>
      </c>
      <c r="R5" s="36" t="s">
        <v>50</v>
      </c>
      <c r="S5" s="37" t="s">
        <v>51</v>
      </c>
      <c r="T5" s="38" t="s">
        <v>52</v>
      </c>
      <c r="U5" s="36" t="s">
        <v>53</v>
      </c>
      <c r="V5" s="36">
        <v>220105600</v>
      </c>
      <c r="W5" s="37" t="s">
        <v>54</v>
      </c>
      <c r="X5" s="41" t="s">
        <v>55</v>
      </c>
      <c r="Y5" s="36" t="s">
        <v>36</v>
      </c>
      <c r="Z5" s="36">
        <v>200</v>
      </c>
      <c r="AA5" s="36" t="s">
        <v>2185</v>
      </c>
      <c r="AB5" s="36" t="s">
        <v>2239</v>
      </c>
      <c r="AC5" s="36" t="s">
        <v>2240</v>
      </c>
      <c r="AD5" s="36" t="s">
        <v>37</v>
      </c>
      <c r="AE5" s="36" t="s">
        <v>2187</v>
      </c>
      <c r="AF5" s="36" t="s">
        <v>2187</v>
      </c>
      <c r="AG5" s="42">
        <v>50</v>
      </c>
      <c r="AH5" s="43">
        <v>75</v>
      </c>
      <c r="AI5" s="44">
        <v>75</v>
      </c>
      <c r="AJ5" s="45">
        <v>50</v>
      </c>
      <c r="AK5" s="46">
        <v>142949400</v>
      </c>
      <c r="AL5" s="47">
        <v>328848200</v>
      </c>
      <c r="AM5" s="48">
        <v>328848200</v>
      </c>
      <c r="AN5" s="49">
        <v>328848200</v>
      </c>
      <c r="AO5" s="50">
        <v>1129494000</v>
      </c>
      <c r="AP5" s="37" t="s">
        <v>26</v>
      </c>
    </row>
    <row r="6" spans="1:42" customFormat="1" ht="51.75" customHeight="1" x14ac:dyDescent="0.25">
      <c r="A6" s="36">
        <v>5</v>
      </c>
      <c r="B6" s="37" t="s">
        <v>19</v>
      </c>
      <c r="C6" s="37" t="s">
        <v>20</v>
      </c>
      <c r="D6" s="38" t="s">
        <v>2383</v>
      </c>
      <c r="E6" s="37" t="s">
        <v>21</v>
      </c>
      <c r="F6" s="38" t="s">
        <v>22</v>
      </c>
      <c r="G6" s="39">
        <v>0.26250000000000001</v>
      </c>
      <c r="H6" s="36">
        <v>2023</v>
      </c>
      <c r="I6" s="37" t="s">
        <v>23</v>
      </c>
      <c r="J6" s="38" t="s">
        <v>24</v>
      </c>
      <c r="K6" s="40" t="s">
        <v>25</v>
      </c>
      <c r="L6" s="37" t="s">
        <v>27</v>
      </c>
      <c r="M6" s="37" t="s">
        <v>26</v>
      </c>
      <c r="N6" s="36">
        <v>22</v>
      </c>
      <c r="O6" s="36" t="s">
        <v>28</v>
      </c>
      <c r="P6" s="36" t="s">
        <v>29</v>
      </c>
      <c r="Q6" s="37" t="s">
        <v>1984</v>
      </c>
      <c r="R6" s="36" t="s">
        <v>56</v>
      </c>
      <c r="S6" s="37" t="s">
        <v>57</v>
      </c>
      <c r="T6" s="38" t="s">
        <v>58</v>
      </c>
      <c r="U6" s="36" t="s">
        <v>59</v>
      </c>
      <c r="V6" s="36">
        <v>220106100</v>
      </c>
      <c r="W6" s="37" t="s">
        <v>60</v>
      </c>
      <c r="X6" s="41" t="s">
        <v>61</v>
      </c>
      <c r="Y6" s="36" t="s">
        <v>36</v>
      </c>
      <c r="Z6" s="36">
        <v>67</v>
      </c>
      <c r="AA6" s="36" t="s">
        <v>2185</v>
      </c>
      <c r="AB6" s="36" t="s">
        <v>2241</v>
      </c>
      <c r="AC6" s="36" t="s">
        <v>2240</v>
      </c>
      <c r="AD6" s="36" t="s">
        <v>37</v>
      </c>
      <c r="AE6" s="36" t="s">
        <v>2187</v>
      </c>
      <c r="AF6" s="36" t="s">
        <v>2187</v>
      </c>
      <c r="AG6" s="42">
        <v>10</v>
      </c>
      <c r="AH6" s="43">
        <v>15</v>
      </c>
      <c r="AI6" s="44">
        <v>15</v>
      </c>
      <c r="AJ6" s="45">
        <v>10</v>
      </c>
      <c r="AK6" s="46">
        <v>646000000</v>
      </c>
      <c r="AL6" s="47">
        <v>777122000</v>
      </c>
      <c r="AM6" s="48">
        <v>794435660</v>
      </c>
      <c r="AN6" s="49">
        <v>612268729.79999995</v>
      </c>
      <c r="AO6" s="50">
        <v>2829826389.8000002</v>
      </c>
      <c r="AP6" s="37" t="s">
        <v>26</v>
      </c>
    </row>
    <row r="7" spans="1:42" customFormat="1" ht="89.25" x14ac:dyDescent="0.25">
      <c r="A7" s="36">
        <v>6</v>
      </c>
      <c r="B7" s="37" t="s">
        <v>19</v>
      </c>
      <c r="C7" s="37" t="s">
        <v>20</v>
      </c>
      <c r="D7" s="38" t="s">
        <v>2383</v>
      </c>
      <c r="E7" s="37" t="s">
        <v>21</v>
      </c>
      <c r="F7" s="38" t="s">
        <v>22</v>
      </c>
      <c r="G7" s="39">
        <v>0.26250000000000001</v>
      </c>
      <c r="H7" s="36">
        <v>2023</v>
      </c>
      <c r="I7" s="37" t="s">
        <v>23</v>
      </c>
      <c r="J7" s="38" t="s">
        <v>24</v>
      </c>
      <c r="K7" s="40" t="s">
        <v>25</v>
      </c>
      <c r="L7" s="37" t="s">
        <v>27</v>
      </c>
      <c r="M7" s="37" t="s">
        <v>26</v>
      </c>
      <c r="N7" s="36">
        <v>22</v>
      </c>
      <c r="O7" s="36" t="s">
        <v>28</v>
      </c>
      <c r="P7" s="36" t="s">
        <v>29</v>
      </c>
      <c r="Q7" s="37" t="s">
        <v>1984</v>
      </c>
      <c r="R7" s="36" t="s">
        <v>62</v>
      </c>
      <c r="S7" s="37" t="s">
        <v>63</v>
      </c>
      <c r="T7" s="38" t="s">
        <v>64</v>
      </c>
      <c r="U7" s="36" t="s">
        <v>65</v>
      </c>
      <c r="V7" s="36">
        <v>220106700</v>
      </c>
      <c r="W7" s="37" t="s">
        <v>66</v>
      </c>
      <c r="X7" s="41" t="s">
        <v>67</v>
      </c>
      <c r="Y7" s="36" t="s">
        <v>36</v>
      </c>
      <c r="Z7" s="36">
        <v>0</v>
      </c>
      <c r="AA7" s="36" t="s">
        <v>2185</v>
      </c>
      <c r="AB7" s="36" t="s">
        <v>2242</v>
      </c>
      <c r="AC7" s="36" t="s">
        <v>2238</v>
      </c>
      <c r="AD7" s="36" t="s">
        <v>37</v>
      </c>
      <c r="AE7" s="36" t="s">
        <v>2187</v>
      </c>
      <c r="AF7" s="36" t="s">
        <v>2187</v>
      </c>
      <c r="AG7" s="42">
        <v>10</v>
      </c>
      <c r="AH7" s="43">
        <v>140</v>
      </c>
      <c r="AI7" s="44">
        <v>0</v>
      </c>
      <c r="AJ7" s="45">
        <v>0</v>
      </c>
      <c r="AK7" s="46">
        <v>30000000</v>
      </c>
      <c r="AL7" s="47">
        <v>270000000</v>
      </c>
      <c r="AM7" s="48">
        <v>0</v>
      </c>
      <c r="AN7" s="49">
        <v>0</v>
      </c>
      <c r="AO7" s="50">
        <v>300000000</v>
      </c>
      <c r="AP7" s="37" t="s">
        <v>26</v>
      </c>
    </row>
    <row r="8" spans="1:42" customFormat="1" ht="69.75" customHeight="1" x14ac:dyDescent="0.25">
      <c r="A8" s="36">
        <v>7</v>
      </c>
      <c r="B8" s="37" t="s">
        <v>19</v>
      </c>
      <c r="C8" s="37" t="s">
        <v>20</v>
      </c>
      <c r="D8" s="38" t="s">
        <v>2383</v>
      </c>
      <c r="E8" s="37" t="s">
        <v>21</v>
      </c>
      <c r="F8" s="38" t="s">
        <v>22</v>
      </c>
      <c r="G8" s="39">
        <v>0.26250000000000001</v>
      </c>
      <c r="H8" s="36">
        <v>2023</v>
      </c>
      <c r="I8" s="37" t="s">
        <v>23</v>
      </c>
      <c r="J8" s="38" t="s">
        <v>24</v>
      </c>
      <c r="K8" s="40" t="s">
        <v>25</v>
      </c>
      <c r="L8" s="37" t="s">
        <v>27</v>
      </c>
      <c r="M8" s="37" t="s">
        <v>26</v>
      </c>
      <c r="N8" s="36">
        <v>22</v>
      </c>
      <c r="O8" s="36" t="s">
        <v>28</v>
      </c>
      <c r="P8" s="36" t="s">
        <v>29</v>
      </c>
      <c r="Q8" s="37" t="s">
        <v>1984</v>
      </c>
      <c r="R8" s="36" t="s">
        <v>68</v>
      </c>
      <c r="S8" s="37" t="s">
        <v>69</v>
      </c>
      <c r="T8" s="38" t="s">
        <v>70</v>
      </c>
      <c r="U8" s="36" t="s">
        <v>46</v>
      </c>
      <c r="V8" s="36" t="s">
        <v>71</v>
      </c>
      <c r="W8" s="37" t="s">
        <v>72</v>
      </c>
      <c r="X8" s="41" t="s">
        <v>73</v>
      </c>
      <c r="Y8" s="36" t="s">
        <v>36</v>
      </c>
      <c r="Z8" s="36">
        <v>25000</v>
      </c>
      <c r="AA8" s="36" t="s">
        <v>2185</v>
      </c>
      <c r="AB8" s="36" t="s">
        <v>2243</v>
      </c>
      <c r="AC8" s="36" t="s">
        <v>2244</v>
      </c>
      <c r="AD8" s="36" t="s">
        <v>37</v>
      </c>
      <c r="AE8" s="36" t="s">
        <v>2187</v>
      </c>
      <c r="AF8" s="36" t="s">
        <v>2187</v>
      </c>
      <c r="AG8" s="52">
        <v>0</v>
      </c>
      <c r="AH8" s="53">
        <v>9333</v>
      </c>
      <c r="AI8" s="54">
        <v>9334</v>
      </c>
      <c r="AJ8" s="55">
        <v>9333</v>
      </c>
      <c r="AK8" s="46">
        <v>0</v>
      </c>
      <c r="AL8" s="47">
        <v>495000000</v>
      </c>
      <c r="AM8" s="48">
        <v>495000000</v>
      </c>
      <c r="AN8" s="49">
        <v>400000000</v>
      </c>
      <c r="AO8" s="50">
        <v>1390000000</v>
      </c>
      <c r="AP8" s="37" t="s">
        <v>26</v>
      </c>
    </row>
    <row r="9" spans="1:42" customFormat="1" ht="89.25" x14ac:dyDescent="0.25">
      <c r="A9" s="36">
        <v>8</v>
      </c>
      <c r="B9" s="37" t="s">
        <v>19</v>
      </c>
      <c r="C9" s="37" t="s">
        <v>20</v>
      </c>
      <c r="D9" s="38" t="s">
        <v>2383</v>
      </c>
      <c r="E9" s="37" t="s">
        <v>21</v>
      </c>
      <c r="F9" s="38" t="s">
        <v>22</v>
      </c>
      <c r="G9" s="39">
        <v>0.26250000000000001</v>
      </c>
      <c r="H9" s="36">
        <v>2023</v>
      </c>
      <c r="I9" s="37" t="s">
        <v>23</v>
      </c>
      <c r="J9" s="38" t="s">
        <v>24</v>
      </c>
      <c r="K9" s="40" t="s">
        <v>25</v>
      </c>
      <c r="L9" s="37" t="s">
        <v>27</v>
      </c>
      <c r="M9" s="37" t="s">
        <v>26</v>
      </c>
      <c r="N9" s="36">
        <v>22</v>
      </c>
      <c r="O9" s="36" t="s">
        <v>28</v>
      </c>
      <c r="P9" s="36" t="s">
        <v>29</v>
      </c>
      <c r="Q9" s="37" t="s">
        <v>1984</v>
      </c>
      <c r="R9" s="36" t="s">
        <v>74</v>
      </c>
      <c r="S9" s="37" t="s">
        <v>75</v>
      </c>
      <c r="T9" s="38" t="s">
        <v>76</v>
      </c>
      <c r="U9" s="36" t="s">
        <v>77</v>
      </c>
      <c r="V9" s="36">
        <v>220107400</v>
      </c>
      <c r="W9" s="37" t="s">
        <v>78</v>
      </c>
      <c r="X9" s="41" t="s">
        <v>79</v>
      </c>
      <c r="Y9" s="36" t="s">
        <v>36</v>
      </c>
      <c r="Z9" s="36">
        <v>5677</v>
      </c>
      <c r="AA9" s="36" t="s">
        <v>2185</v>
      </c>
      <c r="AB9" s="36" t="s">
        <v>2245</v>
      </c>
      <c r="AC9" s="36" t="s">
        <v>2187</v>
      </c>
      <c r="AD9" s="36" t="s">
        <v>37</v>
      </c>
      <c r="AE9" s="36" t="s">
        <v>2187</v>
      </c>
      <c r="AF9" s="36" t="s">
        <v>2187</v>
      </c>
      <c r="AG9" s="52">
        <v>0</v>
      </c>
      <c r="AH9" s="43">
        <v>2000</v>
      </c>
      <c r="AI9" s="44">
        <v>2000</v>
      </c>
      <c r="AJ9" s="45">
        <v>2000</v>
      </c>
      <c r="AK9" s="46">
        <v>0</v>
      </c>
      <c r="AL9" s="47">
        <v>698600000</v>
      </c>
      <c r="AM9" s="48">
        <v>673950000</v>
      </c>
      <c r="AN9" s="49">
        <v>673950000</v>
      </c>
      <c r="AO9" s="50">
        <v>2046500000</v>
      </c>
      <c r="AP9" s="37" t="s">
        <v>26</v>
      </c>
    </row>
    <row r="10" spans="1:42" customFormat="1" ht="52.5" customHeight="1" x14ac:dyDescent="0.25">
      <c r="A10" s="36">
        <v>9</v>
      </c>
      <c r="B10" s="37" t="s">
        <v>19</v>
      </c>
      <c r="C10" s="37" t="s">
        <v>20</v>
      </c>
      <c r="D10" s="38" t="s">
        <v>2383</v>
      </c>
      <c r="E10" s="37" t="s">
        <v>21</v>
      </c>
      <c r="F10" s="38" t="s">
        <v>22</v>
      </c>
      <c r="G10" s="39">
        <v>0.26250000000000001</v>
      </c>
      <c r="H10" s="36">
        <v>2023</v>
      </c>
      <c r="I10" s="37" t="s">
        <v>23</v>
      </c>
      <c r="J10" s="38" t="s">
        <v>24</v>
      </c>
      <c r="K10" s="40" t="s">
        <v>25</v>
      </c>
      <c r="L10" s="37" t="s">
        <v>27</v>
      </c>
      <c r="M10" s="37" t="s">
        <v>26</v>
      </c>
      <c r="N10" s="36">
        <v>22</v>
      </c>
      <c r="O10" s="36" t="s">
        <v>28</v>
      </c>
      <c r="P10" s="36" t="s">
        <v>29</v>
      </c>
      <c r="Q10" s="37" t="s">
        <v>1984</v>
      </c>
      <c r="R10" s="36" t="s">
        <v>80</v>
      </c>
      <c r="S10" s="37" t="s">
        <v>81</v>
      </c>
      <c r="T10" s="38" t="s">
        <v>82</v>
      </c>
      <c r="U10" s="36" t="s">
        <v>83</v>
      </c>
      <c r="V10" s="36">
        <v>220108100</v>
      </c>
      <c r="W10" s="37" t="s">
        <v>84</v>
      </c>
      <c r="X10" s="41" t="s">
        <v>85</v>
      </c>
      <c r="Y10" s="36" t="s">
        <v>36</v>
      </c>
      <c r="Z10" s="36">
        <v>0</v>
      </c>
      <c r="AA10" s="36" t="s">
        <v>2185</v>
      </c>
      <c r="AB10" s="36" t="s">
        <v>2246</v>
      </c>
      <c r="AC10" s="36" t="s">
        <v>2238</v>
      </c>
      <c r="AD10" s="36" t="s">
        <v>37</v>
      </c>
      <c r="AE10" s="36" t="s">
        <v>2187</v>
      </c>
      <c r="AF10" s="36" t="s">
        <v>2187</v>
      </c>
      <c r="AG10" s="42">
        <v>50</v>
      </c>
      <c r="AH10" s="43">
        <v>300</v>
      </c>
      <c r="AI10" s="44">
        <v>0</v>
      </c>
      <c r="AJ10" s="45">
        <v>0</v>
      </c>
      <c r="AK10" s="46">
        <v>42000000</v>
      </c>
      <c r="AL10" s="47">
        <v>378000000</v>
      </c>
      <c r="AM10" s="48">
        <v>0</v>
      </c>
      <c r="AN10" s="49">
        <v>0</v>
      </c>
      <c r="AO10" s="50">
        <v>420000000</v>
      </c>
      <c r="AP10" s="37" t="s">
        <v>26</v>
      </c>
    </row>
    <row r="11" spans="1:42" customFormat="1" ht="52.5" customHeight="1" x14ac:dyDescent="0.25">
      <c r="A11" s="36">
        <v>10</v>
      </c>
      <c r="B11" s="37" t="s">
        <v>19</v>
      </c>
      <c r="C11" s="37" t="s">
        <v>20</v>
      </c>
      <c r="D11" s="38" t="s">
        <v>2383</v>
      </c>
      <c r="E11" s="37" t="s">
        <v>21</v>
      </c>
      <c r="F11" s="38" t="s">
        <v>22</v>
      </c>
      <c r="G11" s="39">
        <v>0.26250000000000001</v>
      </c>
      <c r="H11" s="36">
        <v>2023</v>
      </c>
      <c r="I11" s="37" t="s">
        <v>23</v>
      </c>
      <c r="J11" s="38" t="s">
        <v>24</v>
      </c>
      <c r="K11" s="40" t="s">
        <v>25</v>
      </c>
      <c r="L11" s="37" t="s">
        <v>27</v>
      </c>
      <c r="M11" s="37" t="s">
        <v>26</v>
      </c>
      <c r="N11" s="36">
        <v>22</v>
      </c>
      <c r="O11" s="36" t="s">
        <v>28</v>
      </c>
      <c r="P11" s="36" t="s">
        <v>29</v>
      </c>
      <c r="Q11" s="37" t="s">
        <v>1984</v>
      </c>
      <c r="R11" s="36" t="s">
        <v>86</v>
      </c>
      <c r="S11" s="37" t="s">
        <v>87</v>
      </c>
      <c r="T11" s="38" t="s">
        <v>88</v>
      </c>
      <c r="U11" s="36" t="s">
        <v>83</v>
      </c>
      <c r="V11" s="36">
        <v>220108400</v>
      </c>
      <c r="W11" s="37" t="s">
        <v>89</v>
      </c>
      <c r="X11" s="41" t="s">
        <v>90</v>
      </c>
      <c r="Y11" s="36" t="s">
        <v>36</v>
      </c>
      <c r="Z11" s="36">
        <v>89</v>
      </c>
      <c r="AA11" s="36" t="s">
        <v>2185</v>
      </c>
      <c r="AB11" s="36" t="s">
        <v>2236</v>
      </c>
      <c r="AC11" s="36" t="s">
        <v>2238</v>
      </c>
      <c r="AD11" s="36" t="s">
        <v>37</v>
      </c>
      <c r="AE11" s="36" t="s">
        <v>2187</v>
      </c>
      <c r="AF11" s="36" t="s">
        <v>2187</v>
      </c>
      <c r="AG11" s="42">
        <v>45</v>
      </c>
      <c r="AH11" s="43">
        <v>45</v>
      </c>
      <c r="AI11" s="44">
        <v>45</v>
      </c>
      <c r="AJ11" s="45">
        <v>40</v>
      </c>
      <c r="AK11" s="46">
        <v>2800000000</v>
      </c>
      <c r="AL11" s="47">
        <v>2500000000</v>
      </c>
      <c r="AM11" s="48">
        <v>2500000000</v>
      </c>
      <c r="AN11" s="49">
        <v>2500000000</v>
      </c>
      <c r="AO11" s="50">
        <v>10300000000</v>
      </c>
      <c r="AP11" s="37" t="s">
        <v>26</v>
      </c>
    </row>
    <row r="12" spans="1:42" customFormat="1" ht="61.5" customHeight="1" x14ac:dyDescent="0.25">
      <c r="A12" s="36">
        <v>11</v>
      </c>
      <c r="B12" s="37" t="s">
        <v>19</v>
      </c>
      <c r="C12" s="37" t="s">
        <v>20</v>
      </c>
      <c r="D12" s="38" t="s">
        <v>2383</v>
      </c>
      <c r="E12" s="37" t="s">
        <v>21</v>
      </c>
      <c r="F12" s="38" t="s">
        <v>22</v>
      </c>
      <c r="G12" s="39">
        <v>0.26250000000000001</v>
      </c>
      <c r="H12" s="36">
        <v>2023</v>
      </c>
      <c r="I12" s="37" t="s">
        <v>23</v>
      </c>
      <c r="J12" s="38" t="s">
        <v>24</v>
      </c>
      <c r="K12" s="40" t="s">
        <v>25</v>
      </c>
      <c r="L12" s="37" t="s">
        <v>27</v>
      </c>
      <c r="M12" s="37" t="s">
        <v>26</v>
      </c>
      <c r="N12" s="36">
        <v>22</v>
      </c>
      <c r="O12" s="36" t="s">
        <v>28</v>
      </c>
      <c r="P12" s="36" t="s">
        <v>29</v>
      </c>
      <c r="Q12" s="37" t="s">
        <v>1984</v>
      </c>
      <c r="R12" s="36" t="s">
        <v>91</v>
      </c>
      <c r="S12" s="37" t="s">
        <v>92</v>
      </c>
      <c r="T12" s="38" t="s">
        <v>93</v>
      </c>
      <c r="U12" s="36" t="s">
        <v>94</v>
      </c>
      <c r="V12" s="36">
        <v>220108500</v>
      </c>
      <c r="W12" s="37" t="s">
        <v>95</v>
      </c>
      <c r="X12" s="41" t="s">
        <v>96</v>
      </c>
      <c r="Y12" s="36" t="s">
        <v>36</v>
      </c>
      <c r="Z12" s="36">
        <v>0</v>
      </c>
      <c r="AA12" s="36" t="s">
        <v>2185</v>
      </c>
      <c r="AB12" s="36" t="s">
        <v>2247</v>
      </c>
      <c r="AC12" s="36" t="s">
        <v>2248</v>
      </c>
      <c r="AD12" s="36" t="s">
        <v>37</v>
      </c>
      <c r="AE12" s="36" t="s">
        <v>2187</v>
      </c>
      <c r="AF12" s="36" t="s">
        <v>2187</v>
      </c>
      <c r="AG12" s="42">
        <v>100</v>
      </c>
      <c r="AH12" s="43">
        <v>300</v>
      </c>
      <c r="AI12" s="44">
        <v>300</v>
      </c>
      <c r="AJ12" s="45">
        <v>300</v>
      </c>
      <c r="AK12" s="46">
        <v>600000000</v>
      </c>
      <c r="AL12" s="47">
        <v>600000000</v>
      </c>
      <c r="AM12" s="48">
        <v>600000000</v>
      </c>
      <c r="AN12" s="49">
        <v>600000000</v>
      </c>
      <c r="AO12" s="50">
        <v>2400000000</v>
      </c>
      <c r="AP12" s="37" t="s">
        <v>26</v>
      </c>
    </row>
    <row r="13" spans="1:42" customFormat="1" ht="89.25" x14ac:dyDescent="0.25">
      <c r="A13" s="36">
        <v>12</v>
      </c>
      <c r="B13" s="37" t="s">
        <v>19</v>
      </c>
      <c r="C13" s="37" t="s">
        <v>20</v>
      </c>
      <c r="D13" s="38" t="s">
        <v>2383</v>
      </c>
      <c r="E13" s="37" t="s">
        <v>21</v>
      </c>
      <c r="F13" s="38" t="s">
        <v>22</v>
      </c>
      <c r="G13" s="39">
        <v>0.26250000000000001</v>
      </c>
      <c r="H13" s="36">
        <v>2023</v>
      </c>
      <c r="I13" s="56" t="s">
        <v>23</v>
      </c>
      <c r="J13" s="38" t="s">
        <v>24</v>
      </c>
      <c r="K13" s="40" t="s">
        <v>25</v>
      </c>
      <c r="L13" s="37" t="s">
        <v>27</v>
      </c>
      <c r="M13" s="37" t="s">
        <v>26</v>
      </c>
      <c r="N13" s="36">
        <v>23</v>
      </c>
      <c r="O13" s="36" t="s">
        <v>97</v>
      </c>
      <c r="P13" s="36" t="s">
        <v>98</v>
      </c>
      <c r="Q13" s="37" t="s">
        <v>99</v>
      </c>
      <c r="R13" s="36" t="s">
        <v>100</v>
      </c>
      <c r="S13" s="37" t="s">
        <v>101</v>
      </c>
      <c r="T13" s="38" t="s">
        <v>102</v>
      </c>
      <c r="U13" s="38" t="s">
        <v>103</v>
      </c>
      <c r="V13" s="36" t="s">
        <v>104</v>
      </c>
      <c r="W13" s="37" t="s">
        <v>1151</v>
      </c>
      <c r="X13" s="37" t="s">
        <v>105</v>
      </c>
      <c r="Y13" s="36" t="s">
        <v>36</v>
      </c>
      <c r="Z13" s="36">
        <v>32</v>
      </c>
      <c r="AA13" s="36" t="s">
        <v>2185</v>
      </c>
      <c r="AB13" s="36" t="s">
        <v>2249</v>
      </c>
      <c r="AC13" s="36" t="s">
        <v>2187</v>
      </c>
      <c r="AD13" s="36" t="s">
        <v>37</v>
      </c>
      <c r="AE13" s="36" t="s">
        <v>2250</v>
      </c>
      <c r="AF13" s="36" t="s">
        <v>2191</v>
      </c>
      <c r="AG13" s="52">
        <v>0</v>
      </c>
      <c r="AH13" s="53">
        <v>100</v>
      </c>
      <c r="AI13" s="54">
        <v>110</v>
      </c>
      <c r="AJ13" s="55">
        <v>40</v>
      </c>
      <c r="AK13" s="46">
        <v>0</v>
      </c>
      <c r="AL13" s="47">
        <v>208000000</v>
      </c>
      <c r="AM13" s="48">
        <v>208000000</v>
      </c>
      <c r="AN13" s="49">
        <v>209000000</v>
      </c>
      <c r="AO13" s="50">
        <v>625000000</v>
      </c>
      <c r="AP13" s="37" t="s">
        <v>26</v>
      </c>
    </row>
    <row r="14" spans="1:42" customFormat="1" ht="89.25" x14ac:dyDescent="0.25">
      <c r="A14" s="36">
        <v>13</v>
      </c>
      <c r="B14" s="37" t="s">
        <v>19</v>
      </c>
      <c r="C14" s="37" t="s">
        <v>20</v>
      </c>
      <c r="D14" s="38" t="s">
        <v>2383</v>
      </c>
      <c r="E14" s="37" t="s">
        <v>21</v>
      </c>
      <c r="F14" s="38" t="s">
        <v>22</v>
      </c>
      <c r="G14" s="39">
        <v>0.26250000000000001</v>
      </c>
      <c r="H14" s="36">
        <v>2023</v>
      </c>
      <c r="I14" s="56" t="s">
        <v>23</v>
      </c>
      <c r="J14" s="38" t="s">
        <v>24</v>
      </c>
      <c r="K14" s="40" t="s">
        <v>25</v>
      </c>
      <c r="L14" s="37" t="s">
        <v>27</v>
      </c>
      <c r="M14" s="37" t="s">
        <v>26</v>
      </c>
      <c r="N14" s="36">
        <v>22</v>
      </c>
      <c r="O14" s="36" t="s">
        <v>28</v>
      </c>
      <c r="P14" s="36" t="s">
        <v>29</v>
      </c>
      <c r="Q14" s="37" t="s">
        <v>1984</v>
      </c>
      <c r="R14" s="36" t="s">
        <v>106</v>
      </c>
      <c r="S14" s="37" t="s">
        <v>107</v>
      </c>
      <c r="T14" s="38" t="s">
        <v>108</v>
      </c>
      <c r="U14" s="38" t="s">
        <v>59</v>
      </c>
      <c r="V14" s="36" t="s">
        <v>109</v>
      </c>
      <c r="W14" s="37" t="s">
        <v>110</v>
      </c>
      <c r="X14" s="37" t="s">
        <v>111</v>
      </c>
      <c r="Y14" s="36" t="s">
        <v>36</v>
      </c>
      <c r="Z14" s="36">
        <v>0</v>
      </c>
      <c r="AA14" s="36" t="s">
        <v>2185</v>
      </c>
      <c r="AB14" s="36" t="s">
        <v>2251</v>
      </c>
      <c r="AC14" s="36" t="s">
        <v>2244</v>
      </c>
      <c r="AD14" s="36" t="s">
        <v>37</v>
      </c>
      <c r="AE14" s="36" t="s">
        <v>2250</v>
      </c>
      <c r="AF14" s="36" t="s">
        <v>2191</v>
      </c>
      <c r="AG14" s="52">
        <v>0</v>
      </c>
      <c r="AH14" s="53">
        <v>30</v>
      </c>
      <c r="AI14" s="54">
        <v>40</v>
      </c>
      <c r="AJ14" s="55">
        <v>30</v>
      </c>
      <c r="AK14" s="46">
        <v>0</v>
      </c>
      <c r="AL14" s="47">
        <v>500000000</v>
      </c>
      <c r="AM14" s="48">
        <v>600000000</v>
      </c>
      <c r="AN14" s="49">
        <v>500000000</v>
      </c>
      <c r="AO14" s="50">
        <v>1600000000</v>
      </c>
      <c r="AP14" s="37" t="s">
        <v>26</v>
      </c>
    </row>
    <row r="15" spans="1:42" customFormat="1" ht="51" customHeight="1" x14ac:dyDescent="0.25">
      <c r="A15" s="36">
        <v>14</v>
      </c>
      <c r="B15" s="37" t="s">
        <v>19</v>
      </c>
      <c r="C15" s="37" t="s">
        <v>20</v>
      </c>
      <c r="D15" s="38" t="s">
        <v>2383</v>
      </c>
      <c r="E15" s="37" t="s">
        <v>112</v>
      </c>
      <c r="F15" s="38" t="s">
        <v>113</v>
      </c>
      <c r="G15" s="57">
        <v>0.307</v>
      </c>
      <c r="H15" s="36">
        <v>2022</v>
      </c>
      <c r="I15" s="37" t="s">
        <v>114</v>
      </c>
      <c r="J15" s="38" t="s">
        <v>115</v>
      </c>
      <c r="K15" s="40" t="s">
        <v>25</v>
      </c>
      <c r="L15" s="37" t="s">
        <v>27</v>
      </c>
      <c r="M15" s="37" t="s">
        <v>26</v>
      </c>
      <c r="N15" s="36">
        <v>22</v>
      </c>
      <c r="O15" s="36" t="s">
        <v>28</v>
      </c>
      <c r="P15" s="36">
        <v>2202</v>
      </c>
      <c r="Q15" s="58" t="s">
        <v>122</v>
      </c>
      <c r="R15" s="36" t="s">
        <v>116</v>
      </c>
      <c r="S15" s="37" t="s">
        <v>117</v>
      </c>
      <c r="T15" s="38" t="s">
        <v>118</v>
      </c>
      <c r="U15" s="36" t="s">
        <v>119</v>
      </c>
      <c r="V15" s="36" t="s">
        <v>120</v>
      </c>
      <c r="W15" s="37" t="s">
        <v>121</v>
      </c>
      <c r="X15" s="41" t="s">
        <v>2480</v>
      </c>
      <c r="Y15" s="36" t="s">
        <v>36</v>
      </c>
      <c r="Z15" s="36">
        <v>0</v>
      </c>
      <c r="AA15" s="36" t="s">
        <v>2185</v>
      </c>
      <c r="AB15" s="36" t="s">
        <v>2252</v>
      </c>
      <c r="AC15" s="36" t="s">
        <v>2248</v>
      </c>
      <c r="AD15" s="36" t="s">
        <v>37</v>
      </c>
      <c r="AE15" s="36" t="s">
        <v>2187</v>
      </c>
      <c r="AF15" s="36" t="s">
        <v>2187</v>
      </c>
      <c r="AG15" s="52">
        <v>0</v>
      </c>
      <c r="AH15" s="53">
        <v>1700</v>
      </c>
      <c r="AI15" s="54">
        <v>1700</v>
      </c>
      <c r="AJ15" s="55">
        <v>1600</v>
      </c>
      <c r="AK15" s="46">
        <v>0</v>
      </c>
      <c r="AL15" s="47">
        <v>600000000</v>
      </c>
      <c r="AM15" s="48">
        <v>600000000</v>
      </c>
      <c r="AN15" s="49">
        <v>600000000</v>
      </c>
      <c r="AO15" s="50">
        <v>1800000000</v>
      </c>
      <c r="AP15" s="37" t="s">
        <v>26</v>
      </c>
    </row>
    <row r="16" spans="1:42" customFormat="1" ht="89.25" x14ac:dyDescent="0.25">
      <c r="A16" s="36">
        <v>15</v>
      </c>
      <c r="B16" s="37" t="s">
        <v>19</v>
      </c>
      <c r="C16" s="37" t="s">
        <v>20</v>
      </c>
      <c r="D16" s="38" t="s">
        <v>2383</v>
      </c>
      <c r="E16" s="37" t="s">
        <v>112</v>
      </c>
      <c r="F16" s="38" t="s">
        <v>113</v>
      </c>
      <c r="G16" s="57">
        <v>0.307</v>
      </c>
      <c r="H16" s="36">
        <v>2022</v>
      </c>
      <c r="I16" s="37" t="s">
        <v>114</v>
      </c>
      <c r="J16" s="38" t="s">
        <v>115</v>
      </c>
      <c r="K16" s="40" t="s">
        <v>25</v>
      </c>
      <c r="L16" s="37" t="s">
        <v>27</v>
      </c>
      <c r="M16" s="37" t="s">
        <v>26</v>
      </c>
      <c r="N16" s="36">
        <v>22</v>
      </c>
      <c r="O16" s="36" t="s">
        <v>28</v>
      </c>
      <c r="P16" s="36">
        <v>2202</v>
      </c>
      <c r="Q16" s="58" t="s">
        <v>122</v>
      </c>
      <c r="R16" s="51" t="s">
        <v>123</v>
      </c>
      <c r="S16" s="37" t="s">
        <v>124</v>
      </c>
      <c r="T16" s="59" t="s">
        <v>125</v>
      </c>
      <c r="U16" s="51" t="s">
        <v>119</v>
      </c>
      <c r="V16" s="51">
        <v>220206500</v>
      </c>
      <c r="W16" s="37" t="s">
        <v>126</v>
      </c>
      <c r="X16" s="37" t="s">
        <v>2481</v>
      </c>
      <c r="Y16" s="36" t="s">
        <v>36</v>
      </c>
      <c r="Z16" s="36">
        <v>0</v>
      </c>
      <c r="AA16" s="36" t="s">
        <v>2185</v>
      </c>
      <c r="AB16" s="36" t="s">
        <v>2249</v>
      </c>
      <c r="AC16" s="36" t="s">
        <v>2248</v>
      </c>
      <c r="AD16" s="36" t="s">
        <v>37</v>
      </c>
      <c r="AE16" s="36" t="s">
        <v>2250</v>
      </c>
      <c r="AF16" s="36" t="s">
        <v>2191</v>
      </c>
      <c r="AG16" s="52">
        <v>0</v>
      </c>
      <c r="AH16" s="53">
        <v>100</v>
      </c>
      <c r="AI16" s="54">
        <v>0</v>
      </c>
      <c r="AJ16" s="55">
        <v>0</v>
      </c>
      <c r="AK16" s="46">
        <v>0</v>
      </c>
      <c r="AL16" s="47">
        <v>1000000000</v>
      </c>
      <c r="AM16" s="48">
        <v>0</v>
      </c>
      <c r="AN16" s="49">
        <v>0</v>
      </c>
      <c r="AO16" s="50">
        <v>1000000000</v>
      </c>
      <c r="AP16" s="37" t="s">
        <v>26</v>
      </c>
    </row>
    <row r="17" spans="1:42" customFormat="1" ht="89.25" x14ac:dyDescent="0.25">
      <c r="A17" s="36">
        <v>16</v>
      </c>
      <c r="B17" s="37" t="s">
        <v>19</v>
      </c>
      <c r="C17" s="37" t="s">
        <v>20</v>
      </c>
      <c r="D17" s="38" t="s">
        <v>2383</v>
      </c>
      <c r="E17" s="37" t="s">
        <v>112</v>
      </c>
      <c r="F17" s="38" t="s">
        <v>113</v>
      </c>
      <c r="G17" s="57">
        <v>0.307</v>
      </c>
      <c r="H17" s="36">
        <v>2022</v>
      </c>
      <c r="I17" s="37" t="s">
        <v>114</v>
      </c>
      <c r="J17" s="38" t="s">
        <v>115</v>
      </c>
      <c r="K17" s="40" t="s">
        <v>25</v>
      </c>
      <c r="L17" s="37" t="s">
        <v>27</v>
      </c>
      <c r="M17" s="37" t="s">
        <v>26</v>
      </c>
      <c r="N17" s="36">
        <v>22</v>
      </c>
      <c r="O17" s="36" t="s">
        <v>28</v>
      </c>
      <c r="P17" s="51" t="s">
        <v>127</v>
      </c>
      <c r="Q17" s="58" t="s">
        <v>122</v>
      </c>
      <c r="R17" s="51" t="s">
        <v>128</v>
      </c>
      <c r="S17" s="58" t="s">
        <v>129</v>
      </c>
      <c r="T17" s="59" t="s">
        <v>130</v>
      </c>
      <c r="U17" s="58" t="s">
        <v>83</v>
      </c>
      <c r="V17" s="51" t="s">
        <v>131</v>
      </c>
      <c r="W17" s="58" t="s">
        <v>132</v>
      </c>
      <c r="X17" s="37" t="s">
        <v>133</v>
      </c>
      <c r="Y17" s="36" t="s">
        <v>36</v>
      </c>
      <c r="Z17" s="36">
        <v>1</v>
      </c>
      <c r="AA17" s="36" t="s">
        <v>2185</v>
      </c>
      <c r="AB17" s="36" t="s">
        <v>2357</v>
      </c>
      <c r="AC17" s="36" t="s">
        <v>2248</v>
      </c>
      <c r="AD17" s="36" t="s">
        <v>37</v>
      </c>
      <c r="AE17" s="36" t="s">
        <v>2250</v>
      </c>
      <c r="AF17" s="36" t="s">
        <v>2191</v>
      </c>
      <c r="AG17" s="52">
        <v>0</v>
      </c>
      <c r="AH17" s="53">
        <v>2</v>
      </c>
      <c r="AI17" s="54">
        <v>1</v>
      </c>
      <c r="AJ17" s="55">
        <v>0</v>
      </c>
      <c r="AK17" s="46">
        <v>0</v>
      </c>
      <c r="AL17" s="47">
        <v>2000000000</v>
      </c>
      <c r="AM17" s="48">
        <v>1189540250</v>
      </c>
      <c r="AN17" s="49">
        <v>0</v>
      </c>
      <c r="AO17" s="50">
        <v>3189540250</v>
      </c>
      <c r="AP17" s="37" t="s">
        <v>26</v>
      </c>
    </row>
    <row r="18" spans="1:42" customFormat="1" ht="89.25" x14ac:dyDescent="0.25">
      <c r="A18" s="36">
        <v>17</v>
      </c>
      <c r="B18" s="37" t="s">
        <v>19</v>
      </c>
      <c r="C18" s="37" t="s">
        <v>20</v>
      </c>
      <c r="D18" s="38" t="s">
        <v>2383</v>
      </c>
      <c r="E18" s="37" t="s">
        <v>134</v>
      </c>
      <c r="F18" s="38" t="s">
        <v>135</v>
      </c>
      <c r="G18" s="39">
        <v>0.58399999999999996</v>
      </c>
      <c r="H18" s="36">
        <v>2023</v>
      </c>
      <c r="I18" s="56" t="s">
        <v>136</v>
      </c>
      <c r="J18" s="60" t="s">
        <v>137</v>
      </c>
      <c r="K18" s="40" t="s">
        <v>25</v>
      </c>
      <c r="L18" s="37" t="s">
        <v>27</v>
      </c>
      <c r="M18" s="37" t="s">
        <v>26</v>
      </c>
      <c r="N18" s="36">
        <v>23</v>
      </c>
      <c r="O18" s="36" t="s">
        <v>97</v>
      </c>
      <c r="P18" s="36" t="s">
        <v>98</v>
      </c>
      <c r="Q18" s="37" t="s">
        <v>99</v>
      </c>
      <c r="R18" s="36" t="s">
        <v>138</v>
      </c>
      <c r="S18" s="37" t="s">
        <v>139</v>
      </c>
      <c r="T18" s="38" t="s">
        <v>140</v>
      </c>
      <c r="U18" s="38" t="s">
        <v>46</v>
      </c>
      <c r="V18" s="36" t="s">
        <v>141</v>
      </c>
      <c r="W18" s="37" t="s">
        <v>142</v>
      </c>
      <c r="X18" s="37" t="s">
        <v>143</v>
      </c>
      <c r="Y18" s="36" t="s">
        <v>36</v>
      </c>
      <c r="Z18" s="36">
        <v>14163</v>
      </c>
      <c r="AA18" s="36" t="s">
        <v>2185</v>
      </c>
      <c r="AB18" s="36" t="s">
        <v>2357</v>
      </c>
      <c r="AC18" s="36" t="s">
        <v>2253</v>
      </c>
      <c r="AD18" s="36" t="s">
        <v>37</v>
      </c>
      <c r="AE18" s="36" t="s">
        <v>2250</v>
      </c>
      <c r="AF18" s="36" t="s">
        <v>2191</v>
      </c>
      <c r="AG18" s="52">
        <v>0</v>
      </c>
      <c r="AH18" s="53">
        <v>15000</v>
      </c>
      <c r="AI18" s="54">
        <v>20000</v>
      </c>
      <c r="AJ18" s="55">
        <v>20000</v>
      </c>
      <c r="AK18" s="46">
        <v>0</v>
      </c>
      <c r="AL18" s="47">
        <v>1658679797</v>
      </c>
      <c r="AM18" s="48">
        <v>2394988603</v>
      </c>
      <c r="AN18" s="49">
        <v>3246012206</v>
      </c>
      <c r="AO18" s="50">
        <v>7299680606</v>
      </c>
      <c r="AP18" s="37" t="s">
        <v>26</v>
      </c>
    </row>
    <row r="19" spans="1:42" customFormat="1" ht="60.75" customHeight="1" x14ac:dyDescent="0.25">
      <c r="A19" s="36">
        <v>18</v>
      </c>
      <c r="B19" s="37" t="s">
        <v>19</v>
      </c>
      <c r="C19" s="37" t="s">
        <v>20</v>
      </c>
      <c r="D19" s="38" t="s">
        <v>2383</v>
      </c>
      <c r="E19" s="37" t="s">
        <v>134</v>
      </c>
      <c r="F19" s="38" t="s">
        <v>135</v>
      </c>
      <c r="G19" s="39">
        <v>0.58399999999999996</v>
      </c>
      <c r="H19" s="36">
        <v>2023</v>
      </c>
      <c r="I19" s="56" t="s">
        <v>136</v>
      </c>
      <c r="J19" s="60" t="s">
        <v>137</v>
      </c>
      <c r="K19" s="40" t="s">
        <v>25</v>
      </c>
      <c r="L19" s="37" t="s">
        <v>27</v>
      </c>
      <c r="M19" s="37" t="s">
        <v>26</v>
      </c>
      <c r="N19" s="36">
        <v>23</v>
      </c>
      <c r="O19" s="36" t="s">
        <v>97</v>
      </c>
      <c r="P19" s="36" t="s">
        <v>98</v>
      </c>
      <c r="Q19" s="37" t="s">
        <v>99</v>
      </c>
      <c r="R19" s="36" t="s">
        <v>138</v>
      </c>
      <c r="S19" s="37" t="s">
        <v>139</v>
      </c>
      <c r="T19" s="38" t="s">
        <v>140</v>
      </c>
      <c r="U19" s="38" t="s">
        <v>46</v>
      </c>
      <c r="V19" s="36" t="s">
        <v>141</v>
      </c>
      <c r="W19" s="37" t="s">
        <v>142</v>
      </c>
      <c r="X19" s="37" t="s">
        <v>144</v>
      </c>
      <c r="Y19" s="36" t="s">
        <v>36</v>
      </c>
      <c r="Z19" s="36">
        <v>347</v>
      </c>
      <c r="AA19" s="36" t="s">
        <v>2192</v>
      </c>
      <c r="AB19" s="36" t="s">
        <v>2254</v>
      </c>
      <c r="AC19" s="36" t="s">
        <v>2248</v>
      </c>
      <c r="AD19" s="36" t="s">
        <v>37</v>
      </c>
      <c r="AE19" s="36" t="s">
        <v>2250</v>
      </c>
      <c r="AF19" s="36" t="s">
        <v>2191</v>
      </c>
      <c r="AG19" s="42">
        <v>347</v>
      </c>
      <c r="AH19" s="43">
        <v>347</v>
      </c>
      <c r="AI19" s="44">
        <v>347</v>
      </c>
      <c r="AJ19" s="45">
        <v>347</v>
      </c>
      <c r="AK19" s="46">
        <v>2395000000</v>
      </c>
      <c r="AL19" s="47">
        <v>2466000000</v>
      </c>
      <c r="AM19" s="48">
        <v>2540000000</v>
      </c>
      <c r="AN19" s="49">
        <v>2617000000</v>
      </c>
      <c r="AO19" s="50">
        <v>10018000000</v>
      </c>
      <c r="AP19" s="37" t="s">
        <v>26</v>
      </c>
    </row>
    <row r="20" spans="1:42" customFormat="1" ht="51" customHeight="1" x14ac:dyDescent="0.25">
      <c r="A20" s="36">
        <v>19</v>
      </c>
      <c r="B20" s="37" t="s">
        <v>19</v>
      </c>
      <c r="C20" s="37" t="s">
        <v>20</v>
      </c>
      <c r="D20" s="38" t="s">
        <v>2383</v>
      </c>
      <c r="E20" s="37" t="s">
        <v>134</v>
      </c>
      <c r="F20" s="38" t="s">
        <v>135</v>
      </c>
      <c r="G20" s="39">
        <v>0.58399999999999996</v>
      </c>
      <c r="H20" s="36">
        <v>2023</v>
      </c>
      <c r="I20" s="56" t="s">
        <v>136</v>
      </c>
      <c r="J20" s="60" t="s">
        <v>137</v>
      </c>
      <c r="K20" s="40" t="s">
        <v>25</v>
      </c>
      <c r="L20" s="37" t="s">
        <v>27</v>
      </c>
      <c r="M20" s="37" t="s">
        <v>26</v>
      </c>
      <c r="N20" s="36">
        <v>22</v>
      </c>
      <c r="O20" s="36" t="s">
        <v>28</v>
      </c>
      <c r="P20" s="36" t="s">
        <v>29</v>
      </c>
      <c r="Q20" s="37" t="s">
        <v>1984</v>
      </c>
      <c r="R20" s="36" t="s">
        <v>145</v>
      </c>
      <c r="S20" s="37" t="s">
        <v>146</v>
      </c>
      <c r="T20" s="38" t="s">
        <v>147</v>
      </c>
      <c r="U20" s="38" t="s">
        <v>148</v>
      </c>
      <c r="V20" s="36" t="s">
        <v>149</v>
      </c>
      <c r="W20" s="37" t="s">
        <v>150</v>
      </c>
      <c r="X20" s="37" t="s">
        <v>151</v>
      </c>
      <c r="Y20" s="36" t="s">
        <v>36</v>
      </c>
      <c r="Z20" s="36">
        <v>41</v>
      </c>
      <c r="AA20" s="36" t="s">
        <v>2185</v>
      </c>
      <c r="AB20" s="36" t="s">
        <v>2255</v>
      </c>
      <c r="AC20" s="36" t="s">
        <v>2248</v>
      </c>
      <c r="AD20" s="36" t="s">
        <v>37</v>
      </c>
      <c r="AE20" s="36" t="s">
        <v>2250</v>
      </c>
      <c r="AF20" s="36" t="s">
        <v>2191</v>
      </c>
      <c r="AG20" s="52">
        <v>0</v>
      </c>
      <c r="AH20" s="53">
        <v>250</v>
      </c>
      <c r="AI20" s="54">
        <v>300</v>
      </c>
      <c r="AJ20" s="55">
        <v>250</v>
      </c>
      <c r="AK20" s="46">
        <v>0</v>
      </c>
      <c r="AL20" s="47">
        <v>1450000000</v>
      </c>
      <c r="AM20" s="48">
        <v>1000000000</v>
      </c>
      <c r="AN20" s="49">
        <v>1250000000</v>
      </c>
      <c r="AO20" s="50">
        <v>3700000000</v>
      </c>
      <c r="AP20" s="37" t="s">
        <v>26</v>
      </c>
    </row>
    <row r="21" spans="1:42" customFormat="1" ht="44.25" customHeight="1" x14ac:dyDescent="0.25">
      <c r="A21" s="36">
        <v>20</v>
      </c>
      <c r="B21" s="37" t="s">
        <v>19</v>
      </c>
      <c r="C21" s="37" t="s">
        <v>20</v>
      </c>
      <c r="D21" s="38" t="s">
        <v>2383</v>
      </c>
      <c r="E21" s="37" t="s">
        <v>134</v>
      </c>
      <c r="F21" s="38" t="s">
        <v>135</v>
      </c>
      <c r="G21" s="39">
        <v>0.58399999999999996</v>
      </c>
      <c r="H21" s="36">
        <v>2023</v>
      </c>
      <c r="I21" s="56" t="s">
        <v>152</v>
      </c>
      <c r="J21" s="60" t="s">
        <v>137</v>
      </c>
      <c r="K21" s="40" t="s">
        <v>25</v>
      </c>
      <c r="L21" s="37" t="s">
        <v>27</v>
      </c>
      <c r="M21" s="37" t="s">
        <v>26</v>
      </c>
      <c r="N21" s="36">
        <v>22</v>
      </c>
      <c r="O21" s="36" t="s">
        <v>28</v>
      </c>
      <c r="P21" s="36" t="s">
        <v>29</v>
      </c>
      <c r="Q21" s="37" t="s">
        <v>1984</v>
      </c>
      <c r="R21" s="36" t="s">
        <v>154</v>
      </c>
      <c r="S21" s="37" t="s">
        <v>153</v>
      </c>
      <c r="T21" s="38" t="s">
        <v>155</v>
      </c>
      <c r="U21" s="38" t="s">
        <v>156</v>
      </c>
      <c r="V21" s="36" t="s">
        <v>157</v>
      </c>
      <c r="W21" s="37" t="s">
        <v>158</v>
      </c>
      <c r="X21" s="37" t="s">
        <v>159</v>
      </c>
      <c r="Y21" s="36" t="s">
        <v>36</v>
      </c>
      <c r="Z21" s="36">
        <v>0</v>
      </c>
      <c r="AA21" s="36" t="s">
        <v>2185</v>
      </c>
      <c r="AB21" s="36" t="s">
        <v>2256</v>
      </c>
      <c r="AC21" s="36" t="s">
        <v>2187</v>
      </c>
      <c r="AD21" s="36" t="s">
        <v>37</v>
      </c>
      <c r="AE21" s="36" t="s">
        <v>2250</v>
      </c>
      <c r="AF21" s="36" t="s">
        <v>2191</v>
      </c>
      <c r="AG21" s="52">
        <v>0</v>
      </c>
      <c r="AH21" s="53">
        <v>0.5</v>
      </c>
      <c r="AI21" s="54">
        <v>0.5</v>
      </c>
      <c r="AJ21" s="55">
        <v>0</v>
      </c>
      <c r="AK21" s="46">
        <v>0</v>
      </c>
      <c r="AL21" s="47">
        <v>600000000</v>
      </c>
      <c r="AM21" s="48">
        <v>600000000</v>
      </c>
      <c r="AN21" s="49">
        <v>0</v>
      </c>
      <c r="AO21" s="50">
        <v>1200000000</v>
      </c>
      <c r="AP21" s="37" t="s">
        <v>26</v>
      </c>
    </row>
    <row r="22" spans="1:42" customFormat="1" ht="89.25" x14ac:dyDescent="0.25">
      <c r="A22" s="36">
        <v>21</v>
      </c>
      <c r="B22" s="37" t="s">
        <v>19</v>
      </c>
      <c r="C22" s="37" t="s">
        <v>20</v>
      </c>
      <c r="D22" s="38" t="s">
        <v>2383</v>
      </c>
      <c r="E22" s="37" t="s">
        <v>160</v>
      </c>
      <c r="F22" s="38" t="s">
        <v>161</v>
      </c>
      <c r="G22" s="40">
        <v>0.51160000000000005</v>
      </c>
      <c r="H22" s="36">
        <v>2023</v>
      </c>
      <c r="I22" s="37" t="s">
        <v>162</v>
      </c>
      <c r="J22" s="38" t="s">
        <v>163</v>
      </c>
      <c r="K22" s="61" t="s">
        <v>25</v>
      </c>
      <c r="L22" s="37" t="s">
        <v>27</v>
      </c>
      <c r="M22" s="37" t="s">
        <v>26</v>
      </c>
      <c r="N22" s="36">
        <v>22</v>
      </c>
      <c r="O22" s="36" t="s">
        <v>28</v>
      </c>
      <c r="P22" s="36">
        <v>2201</v>
      </c>
      <c r="Q22" s="37" t="s">
        <v>1984</v>
      </c>
      <c r="R22" s="36">
        <v>2201017</v>
      </c>
      <c r="S22" s="37" t="s">
        <v>164</v>
      </c>
      <c r="T22" s="38" t="s">
        <v>165</v>
      </c>
      <c r="U22" s="38" t="s">
        <v>166</v>
      </c>
      <c r="V22" s="36">
        <v>220101700</v>
      </c>
      <c r="W22" s="37" t="s">
        <v>167</v>
      </c>
      <c r="X22" s="37" t="s">
        <v>168</v>
      </c>
      <c r="Y22" s="36" t="s">
        <v>36</v>
      </c>
      <c r="Z22" s="36">
        <v>9531</v>
      </c>
      <c r="AA22" s="36" t="s">
        <v>2192</v>
      </c>
      <c r="AB22" s="36" t="s">
        <v>2257</v>
      </c>
      <c r="AC22" s="36" t="s">
        <v>2258</v>
      </c>
      <c r="AD22" s="38" t="s">
        <v>37</v>
      </c>
      <c r="AE22" s="38" t="s">
        <v>2250</v>
      </c>
      <c r="AF22" s="36" t="s">
        <v>2191</v>
      </c>
      <c r="AG22" s="42">
        <v>9531</v>
      </c>
      <c r="AH22" s="43">
        <v>9531</v>
      </c>
      <c r="AI22" s="44">
        <v>9531</v>
      </c>
      <c r="AJ22" s="45">
        <v>9531</v>
      </c>
      <c r="AK22" s="46">
        <v>72408214186</v>
      </c>
      <c r="AL22" s="47">
        <v>79540423283.330002</v>
      </c>
      <c r="AM22" s="48">
        <v>87375154976.729996</v>
      </c>
      <c r="AN22" s="49">
        <v>95981607741.940002</v>
      </c>
      <c r="AO22" s="50">
        <v>335305400188</v>
      </c>
      <c r="AP22" s="37" t="s">
        <v>26</v>
      </c>
    </row>
    <row r="23" spans="1:42" customFormat="1" ht="89.25" x14ac:dyDescent="0.25">
      <c r="A23" s="36">
        <v>22</v>
      </c>
      <c r="B23" s="37" t="s">
        <v>19</v>
      </c>
      <c r="C23" s="37" t="s">
        <v>20</v>
      </c>
      <c r="D23" s="38" t="s">
        <v>2383</v>
      </c>
      <c r="E23" s="37" t="s">
        <v>169</v>
      </c>
      <c r="F23" s="38" t="s">
        <v>2358</v>
      </c>
      <c r="G23" s="40">
        <v>0.76049999999999995</v>
      </c>
      <c r="H23" s="36">
        <v>2023</v>
      </c>
      <c r="I23" s="37" t="s">
        <v>162</v>
      </c>
      <c r="J23" s="38" t="s">
        <v>170</v>
      </c>
      <c r="K23" s="61" t="s">
        <v>25</v>
      </c>
      <c r="L23" s="37" t="s">
        <v>27</v>
      </c>
      <c r="M23" s="37" t="s">
        <v>26</v>
      </c>
      <c r="N23" s="36">
        <v>22</v>
      </c>
      <c r="O23" s="36" t="s">
        <v>28</v>
      </c>
      <c r="P23" s="36">
        <v>2201</v>
      </c>
      <c r="Q23" s="37" t="s">
        <v>1984</v>
      </c>
      <c r="R23" s="36">
        <v>2201017</v>
      </c>
      <c r="S23" s="37" t="s">
        <v>164</v>
      </c>
      <c r="T23" s="38" t="s">
        <v>165</v>
      </c>
      <c r="U23" s="38" t="s">
        <v>166</v>
      </c>
      <c r="V23" s="36">
        <v>220101700</v>
      </c>
      <c r="W23" s="37" t="s">
        <v>171</v>
      </c>
      <c r="X23" s="37" t="s">
        <v>172</v>
      </c>
      <c r="Y23" s="36" t="s">
        <v>36</v>
      </c>
      <c r="Z23" s="36">
        <v>73059</v>
      </c>
      <c r="AA23" s="36" t="s">
        <v>2192</v>
      </c>
      <c r="AB23" s="36" t="s">
        <v>2257</v>
      </c>
      <c r="AC23" s="36" t="s">
        <v>2258</v>
      </c>
      <c r="AD23" s="38" t="s">
        <v>37</v>
      </c>
      <c r="AE23" s="38" t="s">
        <v>2250</v>
      </c>
      <c r="AF23" s="36" t="s">
        <v>2191</v>
      </c>
      <c r="AG23" s="42">
        <v>73059</v>
      </c>
      <c r="AH23" s="43">
        <v>73059</v>
      </c>
      <c r="AI23" s="44">
        <v>73059</v>
      </c>
      <c r="AJ23" s="45">
        <v>73059</v>
      </c>
      <c r="AK23" s="46">
        <v>452931976849.44</v>
      </c>
      <c r="AL23" s="47">
        <v>495729359905.83002</v>
      </c>
      <c r="AM23" s="48">
        <v>538055274274.33002</v>
      </c>
      <c r="AN23" s="49">
        <v>584425271327.45996</v>
      </c>
      <c r="AO23" s="50">
        <v>2071141882357.0601</v>
      </c>
      <c r="AP23" s="37" t="s">
        <v>26</v>
      </c>
    </row>
    <row r="24" spans="1:42" customFormat="1" ht="89.25" x14ac:dyDescent="0.25">
      <c r="A24" s="36">
        <v>23</v>
      </c>
      <c r="B24" s="37" t="s">
        <v>19</v>
      </c>
      <c r="C24" s="37" t="s">
        <v>20</v>
      </c>
      <c r="D24" s="38" t="s">
        <v>2383</v>
      </c>
      <c r="E24" s="37" t="s">
        <v>173</v>
      </c>
      <c r="F24" s="38" t="s">
        <v>2349</v>
      </c>
      <c r="G24" s="40">
        <v>0.57620000000000005</v>
      </c>
      <c r="H24" s="36">
        <v>2023</v>
      </c>
      <c r="I24" s="37" t="s">
        <v>162</v>
      </c>
      <c r="J24" s="38" t="s">
        <v>174</v>
      </c>
      <c r="K24" s="61" t="s">
        <v>25</v>
      </c>
      <c r="L24" s="37" t="s">
        <v>27</v>
      </c>
      <c r="M24" s="37" t="s">
        <v>26</v>
      </c>
      <c r="N24" s="36">
        <v>22</v>
      </c>
      <c r="O24" s="36" t="s">
        <v>28</v>
      </c>
      <c r="P24" s="36">
        <v>2201</v>
      </c>
      <c r="Q24" s="37" t="s">
        <v>1984</v>
      </c>
      <c r="R24" s="36">
        <v>2201017</v>
      </c>
      <c r="S24" s="37" t="s">
        <v>164</v>
      </c>
      <c r="T24" s="38" t="s">
        <v>165</v>
      </c>
      <c r="U24" s="38" t="s">
        <v>166</v>
      </c>
      <c r="V24" s="36">
        <v>220101700</v>
      </c>
      <c r="W24" s="37" t="s">
        <v>167</v>
      </c>
      <c r="X24" s="37" t="s">
        <v>175</v>
      </c>
      <c r="Y24" s="36" t="s">
        <v>36</v>
      </c>
      <c r="Z24" s="36">
        <v>45228</v>
      </c>
      <c r="AA24" s="36" t="s">
        <v>2192</v>
      </c>
      <c r="AB24" s="36" t="s">
        <v>2257</v>
      </c>
      <c r="AC24" s="36" t="s">
        <v>2248</v>
      </c>
      <c r="AD24" s="38" t="s">
        <v>37</v>
      </c>
      <c r="AE24" s="38" t="s">
        <v>2250</v>
      </c>
      <c r="AF24" s="36" t="s">
        <v>2191</v>
      </c>
      <c r="AG24" s="42">
        <v>45228</v>
      </c>
      <c r="AH24" s="43">
        <v>45228</v>
      </c>
      <c r="AI24" s="44">
        <v>45228</v>
      </c>
      <c r="AJ24" s="45">
        <v>45228</v>
      </c>
      <c r="AK24" s="46">
        <v>373449370738.37</v>
      </c>
      <c r="AL24" s="47">
        <v>409813042088.63</v>
      </c>
      <c r="AM24" s="48">
        <v>450179626734.35999</v>
      </c>
      <c r="AN24" s="49">
        <v>494522319967.69</v>
      </c>
      <c r="AO24" s="50">
        <v>1727964359529.05</v>
      </c>
      <c r="AP24" s="37" t="s">
        <v>26</v>
      </c>
    </row>
    <row r="25" spans="1:42" customFormat="1" ht="89.25" x14ac:dyDescent="0.25">
      <c r="A25" s="36">
        <v>24</v>
      </c>
      <c r="B25" s="37" t="s">
        <v>19</v>
      </c>
      <c r="C25" s="37" t="s">
        <v>20</v>
      </c>
      <c r="D25" s="38" t="s">
        <v>2383</v>
      </c>
      <c r="E25" s="37" t="s">
        <v>176</v>
      </c>
      <c r="F25" s="38" t="s">
        <v>2350</v>
      </c>
      <c r="G25" s="40">
        <v>0.29330000000000001</v>
      </c>
      <c r="H25" s="36">
        <v>2023</v>
      </c>
      <c r="I25" s="37" t="s">
        <v>162</v>
      </c>
      <c r="J25" s="38" t="s">
        <v>177</v>
      </c>
      <c r="K25" s="61" t="s">
        <v>25</v>
      </c>
      <c r="L25" s="37" t="s">
        <v>27</v>
      </c>
      <c r="M25" s="37" t="s">
        <v>26</v>
      </c>
      <c r="N25" s="36">
        <v>22</v>
      </c>
      <c r="O25" s="36" t="s">
        <v>28</v>
      </c>
      <c r="P25" s="36">
        <v>2201</v>
      </c>
      <c r="Q25" s="37" t="s">
        <v>1984</v>
      </c>
      <c r="R25" s="36">
        <v>2201017</v>
      </c>
      <c r="S25" s="37" t="s">
        <v>164</v>
      </c>
      <c r="T25" s="38" t="s">
        <v>165</v>
      </c>
      <c r="U25" s="38" t="s">
        <v>166</v>
      </c>
      <c r="V25" s="36">
        <v>220101700</v>
      </c>
      <c r="W25" s="37" t="s">
        <v>171</v>
      </c>
      <c r="X25" s="37" t="s">
        <v>178</v>
      </c>
      <c r="Y25" s="36" t="s">
        <v>36</v>
      </c>
      <c r="Z25" s="36">
        <v>11554</v>
      </c>
      <c r="AA25" s="36" t="s">
        <v>2192</v>
      </c>
      <c r="AB25" s="36" t="s">
        <v>2257</v>
      </c>
      <c r="AC25" s="36" t="s">
        <v>2248</v>
      </c>
      <c r="AD25" s="38" t="s">
        <v>37</v>
      </c>
      <c r="AE25" s="38" t="s">
        <v>2250</v>
      </c>
      <c r="AF25" s="36" t="s">
        <v>2191</v>
      </c>
      <c r="AG25" s="42">
        <v>11554</v>
      </c>
      <c r="AH25" s="43">
        <v>11554</v>
      </c>
      <c r="AI25" s="44">
        <v>11554</v>
      </c>
      <c r="AJ25" s="45">
        <v>11554</v>
      </c>
      <c r="AK25" s="46">
        <v>89428499198.979996</v>
      </c>
      <c r="AL25" s="47">
        <v>98237206370.080002</v>
      </c>
      <c r="AM25" s="48">
        <v>107913571197.53999</v>
      </c>
      <c r="AN25" s="49">
        <v>118543057960.49001</v>
      </c>
      <c r="AO25" s="50">
        <v>414122334727.09003</v>
      </c>
      <c r="AP25" s="37" t="s">
        <v>26</v>
      </c>
    </row>
    <row r="26" spans="1:42" customFormat="1" ht="89.25" x14ac:dyDescent="0.25">
      <c r="A26" s="36">
        <v>25</v>
      </c>
      <c r="B26" s="37" t="s">
        <v>19</v>
      </c>
      <c r="C26" s="37" t="s">
        <v>20</v>
      </c>
      <c r="D26" s="38" t="s">
        <v>2383</v>
      </c>
      <c r="E26" s="37" t="s">
        <v>179</v>
      </c>
      <c r="F26" s="38" t="s">
        <v>180</v>
      </c>
      <c r="G26" s="40">
        <v>0.90739999999999998</v>
      </c>
      <c r="H26" s="36">
        <v>2023</v>
      </c>
      <c r="I26" s="37" t="s">
        <v>162</v>
      </c>
      <c r="J26" s="38" t="s">
        <v>181</v>
      </c>
      <c r="K26" s="61" t="s">
        <v>25</v>
      </c>
      <c r="L26" s="37" t="s">
        <v>27</v>
      </c>
      <c r="M26" s="37" t="s">
        <v>26</v>
      </c>
      <c r="N26" s="36">
        <v>22</v>
      </c>
      <c r="O26" s="36" t="s">
        <v>28</v>
      </c>
      <c r="P26" s="36">
        <v>2201</v>
      </c>
      <c r="Q26" s="37" t="s">
        <v>1984</v>
      </c>
      <c r="R26" s="36">
        <v>2201017</v>
      </c>
      <c r="S26" s="37" t="s">
        <v>164</v>
      </c>
      <c r="T26" s="38" t="s">
        <v>165</v>
      </c>
      <c r="U26" s="38" t="s">
        <v>166</v>
      </c>
      <c r="V26" s="36">
        <v>220101700</v>
      </c>
      <c r="W26" s="37" t="s">
        <v>171</v>
      </c>
      <c r="X26" s="37" t="s">
        <v>182</v>
      </c>
      <c r="Y26" s="36" t="s">
        <v>36</v>
      </c>
      <c r="Z26" s="36">
        <v>61428</v>
      </c>
      <c r="AA26" s="36" t="s">
        <v>2192</v>
      </c>
      <c r="AB26" s="36" t="s">
        <v>2257</v>
      </c>
      <c r="AC26" s="36" t="s">
        <v>2238</v>
      </c>
      <c r="AD26" s="38" t="s">
        <v>37</v>
      </c>
      <c r="AE26" s="38" t="s">
        <v>2250</v>
      </c>
      <c r="AF26" s="36" t="s">
        <v>2191</v>
      </c>
      <c r="AG26" s="42">
        <v>61428</v>
      </c>
      <c r="AH26" s="43">
        <v>61428</v>
      </c>
      <c r="AI26" s="44">
        <v>61428</v>
      </c>
      <c r="AJ26" s="45">
        <v>61428</v>
      </c>
      <c r="AK26" s="46">
        <v>380886179454.07001</v>
      </c>
      <c r="AL26" s="47">
        <v>417982376462.82001</v>
      </c>
      <c r="AM26" s="48">
        <v>459153640544.40997</v>
      </c>
      <c r="AN26" s="49">
        <v>504380274138.03003</v>
      </c>
      <c r="AO26" s="50">
        <v>1762402470599.3301</v>
      </c>
      <c r="AP26" s="37" t="s">
        <v>26</v>
      </c>
    </row>
    <row r="27" spans="1:42" customFormat="1" ht="234" customHeight="1" x14ac:dyDescent="0.25">
      <c r="A27" s="36">
        <v>26</v>
      </c>
      <c r="B27" s="37" t="s">
        <v>19</v>
      </c>
      <c r="C27" s="37" t="s">
        <v>20</v>
      </c>
      <c r="D27" s="38" t="s">
        <v>2383</v>
      </c>
      <c r="E27" s="37" t="s">
        <v>179</v>
      </c>
      <c r="F27" s="38" t="s">
        <v>180</v>
      </c>
      <c r="G27" s="40">
        <v>0.90739999999999998</v>
      </c>
      <c r="H27" s="36">
        <v>2023</v>
      </c>
      <c r="I27" s="37" t="s">
        <v>162</v>
      </c>
      <c r="J27" s="38" t="s">
        <v>181</v>
      </c>
      <c r="K27" s="40" t="s">
        <v>25</v>
      </c>
      <c r="L27" s="37" t="s">
        <v>183</v>
      </c>
      <c r="M27" s="37" t="s">
        <v>26</v>
      </c>
      <c r="N27" s="36">
        <v>22</v>
      </c>
      <c r="O27" s="36" t="s">
        <v>28</v>
      </c>
      <c r="P27" s="36" t="s">
        <v>29</v>
      </c>
      <c r="Q27" s="37" t="s">
        <v>1984</v>
      </c>
      <c r="R27" s="36">
        <v>2201052</v>
      </c>
      <c r="S27" s="37" t="s">
        <v>184</v>
      </c>
      <c r="T27" s="38" t="s">
        <v>185</v>
      </c>
      <c r="U27" s="36" t="s">
        <v>83</v>
      </c>
      <c r="V27" s="36">
        <v>220105200</v>
      </c>
      <c r="W27" s="37" t="s">
        <v>186</v>
      </c>
      <c r="X27" s="37" t="s">
        <v>1985</v>
      </c>
      <c r="Y27" s="62" t="s">
        <v>36</v>
      </c>
      <c r="Z27" s="62">
        <v>125</v>
      </c>
      <c r="AA27" s="62" t="s">
        <v>2185</v>
      </c>
      <c r="AB27" s="62" t="s">
        <v>2259</v>
      </c>
      <c r="AC27" s="62" t="s">
        <v>2238</v>
      </c>
      <c r="AD27" s="36" t="s">
        <v>37</v>
      </c>
      <c r="AE27" s="36" t="s">
        <v>2250</v>
      </c>
      <c r="AF27" s="36" t="s">
        <v>2191</v>
      </c>
      <c r="AG27" s="42">
        <v>187</v>
      </c>
      <c r="AH27" s="43">
        <v>100</v>
      </c>
      <c r="AI27" s="44">
        <v>43</v>
      </c>
      <c r="AJ27" s="45">
        <v>20</v>
      </c>
      <c r="AK27" s="46">
        <v>7475627492.8000002</v>
      </c>
      <c r="AL27" s="47">
        <v>10308703770.33</v>
      </c>
      <c r="AM27" s="48">
        <v>3100000000</v>
      </c>
      <c r="AN27" s="49">
        <v>2500000000</v>
      </c>
      <c r="AO27" s="50">
        <v>23384331263.130001</v>
      </c>
      <c r="AP27" s="37" t="s">
        <v>26</v>
      </c>
    </row>
    <row r="28" spans="1:42" customFormat="1" ht="89.25" x14ac:dyDescent="0.25">
      <c r="A28" s="36">
        <v>27</v>
      </c>
      <c r="B28" s="37" t="s">
        <v>19</v>
      </c>
      <c r="C28" s="37" t="s">
        <v>20</v>
      </c>
      <c r="D28" s="38" t="s">
        <v>2383</v>
      </c>
      <c r="E28" s="37" t="s">
        <v>179</v>
      </c>
      <c r="F28" s="38" t="s">
        <v>180</v>
      </c>
      <c r="G28" s="40">
        <v>0.90739999999999998</v>
      </c>
      <c r="H28" s="36">
        <v>2023</v>
      </c>
      <c r="I28" s="37" t="s">
        <v>162</v>
      </c>
      <c r="J28" s="38" t="s">
        <v>181</v>
      </c>
      <c r="K28" s="61" t="s">
        <v>25</v>
      </c>
      <c r="L28" s="37" t="s">
        <v>183</v>
      </c>
      <c r="M28" s="37" t="s">
        <v>26</v>
      </c>
      <c r="N28" s="36">
        <v>22</v>
      </c>
      <c r="O28" s="36" t="s">
        <v>28</v>
      </c>
      <c r="P28" s="36" t="s">
        <v>29</v>
      </c>
      <c r="Q28" s="37" t="s">
        <v>1984</v>
      </c>
      <c r="R28" s="36" t="s">
        <v>2378</v>
      </c>
      <c r="S28" s="38" t="s">
        <v>2379</v>
      </c>
      <c r="T28" s="38" t="s">
        <v>2380</v>
      </c>
      <c r="U28" s="38" t="s">
        <v>1417</v>
      </c>
      <c r="V28" s="36" t="s">
        <v>2381</v>
      </c>
      <c r="W28" s="38" t="s">
        <v>2382</v>
      </c>
      <c r="X28" s="37" t="s">
        <v>2121</v>
      </c>
      <c r="Y28" s="62" t="s">
        <v>36</v>
      </c>
      <c r="Z28" s="62">
        <v>25</v>
      </c>
      <c r="AA28" s="62" t="s">
        <v>2185</v>
      </c>
      <c r="AB28" s="62" t="s">
        <v>2259</v>
      </c>
      <c r="AC28" s="62" t="s">
        <v>2238</v>
      </c>
      <c r="AD28" s="36" t="s">
        <v>37</v>
      </c>
      <c r="AE28" s="36" t="s">
        <v>2250</v>
      </c>
      <c r="AF28" s="36" t="s">
        <v>2191</v>
      </c>
      <c r="AG28" s="42">
        <v>30</v>
      </c>
      <c r="AH28" s="43">
        <v>20</v>
      </c>
      <c r="AI28" s="44">
        <v>15</v>
      </c>
      <c r="AJ28" s="45">
        <v>10</v>
      </c>
      <c r="AK28" s="46">
        <v>503342817</v>
      </c>
      <c r="AL28" s="47">
        <v>2158729900</v>
      </c>
      <c r="AM28" s="48">
        <v>1700000000</v>
      </c>
      <c r="AN28" s="49">
        <v>200000000</v>
      </c>
      <c r="AO28" s="50">
        <v>4562072717</v>
      </c>
      <c r="AP28" s="37" t="s">
        <v>26</v>
      </c>
    </row>
    <row r="29" spans="1:42" customFormat="1" ht="89.25" x14ac:dyDescent="0.25">
      <c r="A29" s="36">
        <v>28</v>
      </c>
      <c r="B29" s="37" t="s">
        <v>19</v>
      </c>
      <c r="C29" s="37" t="s">
        <v>20</v>
      </c>
      <c r="D29" s="38" t="s">
        <v>2383</v>
      </c>
      <c r="E29" s="37" t="s">
        <v>179</v>
      </c>
      <c r="F29" s="38" t="s">
        <v>180</v>
      </c>
      <c r="G29" s="40">
        <v>0.90739999999999998</v>
      </c>
      <c r="H29" s="36">
        <v>2023</v>
      </c>
      <c r="I29" s="37" t="s">
        <v>162</v>
      </c>
      <c r="J29" s="38" t="s">
        <v>181</v>
      </c>
      <c r="K29" s="61" t="s">
        <v>25</v>
      </c>
      <c r="L29" s="37" t="s">
        <v>27</v>
      </c>
      <c r="M29" s="37" t="s">
        <v>26</v>
      </c>
      <c r="N29" s="36">
        <v>22</v>
      </c>
      <c r="O29" s="36" t="s">
        <v>28</v>
      </c>
      <c r="P29" s="36" t="s">
        <v>29</v>
      </c>
      <c r="Q29" s="37" t="s">
        <v>1984</v>
      </c>
      <c r="R29" s="51">
        <v>2201002</v>
      </c>
      <c r="S29" s="37" t="s">
        <v>2273</v>
      </c>
      <c r="T29" s="38" t="s">
        <v>190</v>
      </c>
      <c r="U29" s="58" t="s">
        <v>191</v>
      </c>
      <c r="V29" s="51">
        <v>220100200</v>
      </c>
      <c r="W29" s="58" t="s">
        <v>192</v>
      </c>
      <c r="X29" s="37" t="s">
        <v>193</v>
      </c>
      <c r="Y29" s="62" t="s">
        <v>36</v>
      </c>
      <c r="Z29" s="62">
        <v>2</v>
      </c>
      <c r="AA29" s="62" t="s">
        <v>2185</v>
      </c>
      <c r="AB29" s="62" t="s">
        <v>2260</v>
      </c>
      <c r="AC29" s="62" t="s">
        <v>2238</v>
      </c>
      <c r="AD29" s="36" t="s">
        <v>37</v>
      </c>
      <c r="AE29" s="36" t="s">
        <v>2250</v>
      </c>
      <c r="AF29" s="36" t="s">
        <v>2191</v>
      </c>
      <c r="AG29" s="42">
        <v>6</v>
      </c>
      <c r="AH29" s="43">
        <v>6</v>
      </c>
      <c r="AI29" s="44">
        <v>6</v>
      </c>
      <c r="AJ29" s="45">
        <v>6</v>
      </c>
      <c r="AK29" s="46">
        <v>90000000</v>
      </c>
      <c r="AL29" s="47">
        <v>99000000</v>
      </c>
      <c r="AM29" s="48">
        <v>108900000</v>
      </c>
      <c r="AN29" s="49">
        <v>119790000</v>
      </c>
      <c r="AO29" s="50">
        <v>417690000</v>
      </c>
      <c r="AP29" s="37" t="s">
        <v>26</v>
      </c>
    </row>
    <row r="30" spans="1:42" customFormat="1" ht="71.25" customHeight="1" x14ac:dyDescent="0.25">
      <c r="A30" s="36">
        <v>29</v>
      </c>
      <c r="B30" s="37" t="s">
        <v>19</v>
      </c>
      <c r="C30" s="37" t="s">
        <v>20</v>
      </c>
      <c r="D30" s="38" t="s">
        <v>2383</v>
      </c>
      <c r="E30" s="37" t="s">
        <v>179</v>
      </c>
      <c r="F30" s="38" t="s">
        <v>180</v>
      </c>
      <c r="G30" s="40">
        <v>0.90739999999999998</v>
      </c>
      <c r="H30" s="36">
        <v>2023</v>
      </c>
      <c r="I30" s="37" t="s">
        <v>162</v>
      </c>
      <c r="J30" s="38" t="s">
        <v>181</v>
      </c>
      <c r="K30" s="61" t="s">
        <v>25</v>
      </c>
      <c r="L30" s="37" t="s">
        <v>27</v>
      </c>
      <c r="M30" s="37" t="s">
        <v>26</v>
      </c>
      <c r="N30" s="36">
        <v>22</v>
      </c>
      <c r="O30" s="36" t="s">
        <v>28</v>
      </c>
      <c r="P30" s="36">
        <v>2201</v>
      </c>
      <c r="Q30" s="37" t="s">
        <v>1984</v>
      </c>
      <c r="R30" s="51" t="s">
        <v>194</v>
      </c>
      <c r="S30" s="58" t="s">
        <v>195</v>
      </c>
      <c r="T30" s="38" t="s">
        <v>196</v>
      </c>
      <c r="U30" s="38" t="s">
        <v>83</v>
      </c>
      <c r="V30" s="51" t="s">
        <v>197</v>
      </c>
      <c r="W30" s="58" t="s">
        <v>198</v>
      </c>
      <c r="X30" s="37" t="s">
        <v>199</v>
      </c>
      <c r="Y30" s="62" t="s">
        <v>36</v>
      </c>
      <c r="Z30" s="62">
        <v>136</v>
      </c>
      <c r="AA30" s="62" t="s">
        <v>2185</v>
      </c>
      <c r="AB30" s="62" t="s">
        <v>2249</v>
      </c>
      <c r="AC30" s="62" t="s">
        <v>2238</v>
      </c>
      <c r="AD30" s="38" t="s">
        <v>37</v>
      </c>
      <c r="AE30" s="38" t="s">
        <v>2250</v>
      </c>
      <c r="AF30" s="36" t="s">
        <v>2191</v>
      </c>
      <c r="AG30" s="42">
        <v>136</v>
      </c>
      <c r="AH30" s="43">
        <v>355</v>
      </c>
      <c r="AI30" s="44">
        <v>355</v>
      </c>
      <c r="AJ30" s="45">
        <v>354</v>
      </c>
      <c r="AK30" s="46">
        <v>3117117967</v>
      </c>
      <c r="AL30" s="47">
        <v>3300092791.6599998</v>
      </c>
      <c r="AM30" s="48">
        <v>3427146364.1399999</v>
      </c>
      <c r="AN30" s="49">
        <v>3559091499.1599998</v>
      </c>
      <c r="AO30" s="50">
        <v>13403448621.959999</v>
      </c>
      <c r="AP30" s="37" t="s">
        <v>26</v>
      </c>
    </row>
    <row r="31" spans="1:42" customFormat="1" ht="99.75" customHeight="1" x14ac:dyDescent="0.25">
      <c r="A31" s="36">
        <v>30</v>
      </c>
      <c r="B31" s="37" t="s">
        <v>19</v>
      </c>
      <c r="C31" s="37" t="s">
        <v>20</v>
      </c>
      <c r="D31" s="38" t="s">
        <v>2383</v>
      </c>
      <c r="E31" s="37" t="s">
        <v>179</v>
      </c>
      <c r="F31" s="38" t="s">
        <v>180</v>
      </c>
      <c r="G31" s="40">
        <v>0.90739999999999998</v>
      </c>
      <c r="H31" s="36">
        <v>2023</v>
      </c>
      <c r="I31" s="37" t="s">
        <v>162</v>
      </c>
      <c r="J31" s="38" t="s">
        <v>181</v>
      </c>
      <c r="K31" s="61" t="s">
        <v>25</v>
      </c>
      <c r="L31" s="37" t="s">
        <v>27</v>
      </c>
      <c r="M31" s="37" t="s">
        <v>26</v>
      </c>
      <c r="N31" s="36">
        <v>22</v>
      </c>
      <c r="O31" s="36" t="s">
        <v>28</v>
      </c>
      <c r="P31" s="36" t="s">
        <v>29</v>
      </c>
      <c r="Q31" s="37" t="s">
        <v>1984</v>
      </c>
      <c r="R31" s="36" t="s">
        <v>200</v>
      </c>
      <c r="S31" s="37" t="s">
        <v>201</v>
      </c>
      <c r="T31" s="38" t="s">
        <v>202</v>
      </c>
      <c r="U31" s="36" t="s">
        <v>203</v>
      </c>
      <c r="V31" s="51">
        <v>220104900</v>
      </c>
      <c r="W31" s="58" t="s">
        <v>204</v>
      </c>
      <c r="X31" s="37" t="s">
        <v>1994</v>
      </c>
      <c r="Y31" s="38" t="s">
        <v>36</v>
      </c>
      <c r="Z31" s="36">
        <v>9531</v>
      </c>
      <c r="AA31" s="36" t="s">
        <v>2185</v>
      </c>
      <c r="AB31" s="38" t="s">
        <v>2261</v>
      </c>
      <c r="AC31" s="36" t="s">
        <v>2187</v>
      </c>
      <c r="AD31" s="38" t="s">
        <v>37</v>
      </c>
      <c r="AE31" s="38" t="s">
        <v>2262</v>
      </c>
      <c r="AF31" s="36" t="s">
        <v>2191</v>
      </c>
      <c r="AG31" s="42">
        <v>1250</v>
      </c>
      <c r="AH31" s="43">
        <v>1250</v>
      </c>
      <c r="AI31" s="44">
        <v>1250</v>
      </c>
      <c r="AJ31" s="45">
        <v>1250</v>
      </c>
      <c r="AK31" s="46">
        <v>1277014736</v>
      </c>
      <c r="AL31" s="47">
        <v>1351975498</v>
      </c>
      <c r="AM31" s="48">
        <v>1404026555</v>
      </c>
      <c r="AN31" s="49">
        <v>1458081578</v>
      </c>
      <c r="AO31" s="50">
        <v>5491098367</v>
      </c>
      <c r="AP31" s="37" t="s">
        <v>26</v>
      </c>
    </row>
    <row r="32" spans="1:42" customFormat="1" ht="89.25" x14ac:dyDescent="0.25">
      <c r="A32" s="36">
        <v>31</v>
      </c>
      <c r="B32" s="37" t="s">
        <v>19</v>
      </c>
      <c r="C32" s="37" t="s">
        <v>20</v>
      </c>
      <c r="D32" s="38" t="s">
        <v>2383</v>
      </c>
      <c r="E32" s="37" t="s">
        <v>205</v>
      </c>
      <c r="F32" s="38" t="s">
        <v>206</v>
      </c>
      <c r="G32" s="40">
        <v>4.2200000000000001E-2</v>
      </c>
      <c r="H32" s="36">
        <v>2023</v>
      </c>
      <c r="I32" s="37" t="s">
        <v>207</v>
      </c>
      <c r="J32" s="38" t="s">
        <v>215</v>
      </c>
      <c r="K32" s="61" t="s">
        <v>25</v>
      </c>
      <c r="L32" s="37" t="s">
        <v>27</v>
      </c>
      <c r="M32" s="37" t="s">
        <v>26</v>
      </c>
      <c r="N32" s="36">
        <v>22</v>
      </c>
      <c r="O32" s="36" t="s">
        <v>28</v>
      </c>
      <c r="P32" s="36">
        <v>2201</v>
      </c>
      <c r="Q32" s="37" t="s">
        <v>1984</v>
      </c>
      <c r="R32" s="36">
        <v>2201017</v>
      </c>
      <c r="S32" s="37" t="s">
        <v>164</v>
      </c>
      <c r="T32" s="38" t="s">
        <v>165</v>
      </c>
      <c r="U32" s="38" t="s">
        <v>166</v>
      </c>
      <c r="V32" s="36">
        <v>220101700</v>
      </c>
      <c r="W32" s="37" t="s">
        <v>171</v>
      </c>
      <c r="X32" s="37" t="s">
        <v>208</v>
      </c>
      <c r="Y32" s="36" t="s">
        <v>36</v>
      </c>
      <c r="Z32" s="63">
        <v>13459</v>
      </c>
      <c r="AA32" s="36" t="s">
        <v>2185</v>
      </c>
      <c r="AB32" s="36" t="s">
        <v>2257</v>
      </c>
      <c r="AC32" s="36" t="s">
        <v>2238</v>
      </c>
      <c r="AD32" s="38" t="s">
        <v>37</v>
      </c>
      <c r="AE32" s="38" t="s">
        <v>2250</v>
      </c>
      <c r="AF32" s="36" t="s">
        <v>2191</v>
      </c>
      <c r="AG32" s="42">
        <v>150</v>
      </c>
      <c r="AH32" s="43">
        <v>150</v>
      </c>
      <c r="AI32" s="44">
        <v>150</v>
      </c>
      <c r="AJ32" s="45">
        <v>150</v>
      </c>
      <c r="AK32" s="46">
        <v>3495840000</v>
      </c>
      <c r="AL32" s="47">
        <v>3701045808</v>
      </c>
      <c r="AM32" s="48">
        <v>3808536072</v>
      </c>
      <c r="AN32" s="49">
        <v>4091512210</v>
      </c>
      <c r="AO32" s="50">
        <v>15096934090</v>
      </c>
      <c r="AP32" s="37" t="s">
        <v>26</v>
      </c>
    </row>
    <row r="33" spans="1:42" customFormat="1" ht="89.25" x14ac:dyDescent="0.25">
      <c r="A33" s="36">
        <v>32</v>
      </c>
      <c r="B33" s="37" t="s">
        <v>19</v>
      </c>
      <c r="C33" s="37" t="s">
        <v>20</v>
      </c>
      <c r="D33" s="38" t="s">
        <v>2383</v>
      </c>
      <c r="E33" s="37" t="s">
        <v>205</v>
      </c>
      <c r="F33" s="38" t="s">
        <v>206</v>
      </c>
      <c r="G33" s="40">
        <v>4.2200000000000001E-2</v>
      </c>
      <c r="H33" s="36">
        <v>2023</v>
      </c>
      <c r="I33" s="37" t="s">
        <v>209</v>
      </c>
      <c r="J33" s="38" t="s">
        <v>215</v>
      </c>
      <c r="K33" s="61" t="s">
        <v>25</v>
      </c>
      <c r="L33" s="37" t="s">
        <v>27</v>
      </c>
      <c r="M33" s="37" t="s">
        <v>26</v>
      </c>
      <c r="N33" s="36">
        <v>22</v>
      </c>
      <c r="O33" s="36" t="s">
        <v>28</v>
      </c>
      <c r="P33" s="36">
        <v>2201</v>
      </c>
      <c r="Q33" s="37" t="s">
        <v>1984</v>
      </c>
      <c r="R33" s="36">
        <v>2201082</v>
      </c>
      <c r="S33" s="37" t="s">
        <v>210</v>
      </c>
      <c r="T33" s="38" t="s">
        <v>211</v>
      </c>
      <c r="U33" s="38" t="s">
        <v>83</v>
      </c>
      <c r="V33" s="36">
        <v>220108200</v>
      </c>
      <c r="W33" s="37" t="s">
        <v>212</v>
      </c>
      <c r="X33" s="37" t="s">
        <v>213</v>
      </c>
      <c r="Y33" s="62" t="s">
        <v>36</v>
      </c>
      <c r="Z33" s="62">
        <v>22</v>
      </c>
      <c r="AA33" s="62" t="s">
        <v>2192</v>
      </c>
      <c r="AB33" s="62" t="s">
        <v>2257</v>
      </c>
      <c r="AC33" s="62" t="s">
        <v>2263</v>
      </c>
      <c r="AD33" s="38" t="s">
        <v>37</v>
      </c>
      <c r="AE33" s="38" t="s">
        <v>2250</v>
      </c>
      <c r="AF33" s="36" t="s">
        <v>2191</v>
      </c>
      <c r="AG33" s="42">
        <v>22</v>
      </c>
      <c r="AH33" s="43">
        <v>22</v>
      </c>
      <c r="AI33" s="44">
        <v>22</v>
      </c>
      <c r="AJ33" s="45">
        <v>22</v>
      </c>
      <c r="AK33" s="46">
        <v>916000000</v>
      </c>
      <c r="AL33" s="47">
        <v>969769200</v>
      </c>
      <c r="AM33" s="48">
        <v>1007105314</v>
      </c>
      <c r="AN33" s="49">
        <v>1045878868</v>
      </c>
      <c r="AO33" s="50">
        <v>3938753382</v>
      </c>
      <c r="AP33" s="37" t="s">
        <v>26</v>
      </c>
    </row>
    <row r="34" spans="1:42" customFormat="1" ht="89.25" x14ac:dyDescent="0.25">
      <c r="A34" s="36">
        <v>33</v>
      </c>
      <c r="B34" s="37" t="s">
        <v>19</v>
      </c>
      <c r="C34" s="37" t="s">
        <v>20</v>
      </c>
      <c r="D34" s="38" t="s">
        <v>2383</v>
      </c>
      <c r="E34" s="37" t="s">
        <v>205</v>
      </c>
      <c r="F34" s="38" t="s">
        <v>206</v>
      </c>
      <c r="G34" s="40">
        <v>4.2200000000000001E-2</v>
      </c>
      <c r="H34" s="36">
        <v>2023</v>
      </c>
      <c r="I34" s="37" t="s">
        <v>214</v>
      </c>
      <c r="J34" s="38" t="s">
        <v>215</v>
      </c>
      <c r="K34" s="61" t="s">
        <v>25</v>
      </c>
      <c r="L34" s="37" t="s">
        <v>27</v>
      </c>
      <c r="M34" s="37" t="s">
        <v>26</v>
      </c>
      <c r="N34" s="36">
        <v>22</v>
      </c>
      <c r="O34" s="36" t="s">
        <v>28</v>
      </c>
      <c r="P34" s="36">
        <v>2201</v>
      </c>
      <c r="Q34" s="37" t="s">
        <v>1984</v>
      </c>
      <c r="R34" s="64">
        <v>2201068</v>
      </c>
      <c r="S34" s="37" t="s">
        <v>216</v>
      </c>
      <c r="T34" s="38" t="s">
        <v>217</v>
      </c>
      <c r="U34" s="38" t="s">
        <v>218</v>
      </c>
      <c r="V34" s="64">
        <v>220106800</v>
      </c>
      <c r="W34" s="37" t="s">
        <v>219</v>
      </c>
      <c r="X34" s="37" t="s">
        <v>2475</v>
      </c>
      <c r="Y34" s="62" t="s">
        <v>36</v>
      </c>
      <c r="Z34" s="62">
        <v>554</v>
      </c>
      <c r="AA34" s="62" t="s">
        <v>2185</v>
      </c>
      <c r="AB34" s="62" t="s">
        <v>2257</v>
      </c>
      <c r="AC34" s="62" t="s">
        <v>2238</v>
      </c>
      <c r="AD34" s="38" t="s">
        <v>37</v>
      </c>
      <c r="AE34" s="38" t="s">
        <v>2250</v>
      </c>
      <c r="AF34" s="36" t="s">
        <v>2191</v>
      </c>
      <c r="AG34" s="42">
        <v>200</v>
      </c>
      <c r="AH34" s="43">
        <v>354</v>
      </c>
      <c r="AI34" s="44">
        <v>0</v>
      </c>
      <c r="AJ34" s="45">
        <v>0</v>
      </c>
      <c r="AK34" s="46">
        <v>875000000</v>
      </c>
      <c r="AL34" s="47">
        <v>400000000</v>
      </c>
      <c r="AM34" s="48">
        <v>0</v>
      </c>
      <c r="AN34" s="49">
        <v>0</v>
      </c>
      <c r="AO34" s="50">
        <v>1275000000</v>
      </c>
      <c r="AP34" s="37" t="s">
        <v>26</v>
      </c>
    </row>
    <row r="35" spans="1:42" customFormat="1" ht="77.25" customHeight="1" x14ac:dyDescent="0.25">
      <c r="A35" s="36">
        <v>34</v>
      </c>
      <c r="B35" s="37" t="s">
        <v>19</v>
      </c>
      <c r="C35" s="37" t="s">
        <v>20</v>
      </c>
      <c r="D35" s="38" t="s">
        <v>2383</v>
      </c>
      <c r="E35" s="37" t="s">
        <v>205</v>
      </c>
      <c r="F35" s="38" t="s">
        <v>206</v>
      </c>
      <c r="G35" s="40">
        <v>4.2200000000000001E-2</v>
      </c>
      <c r="H35" s="36">
        <v>2023</v>
      </c>
      <c r="I35" s="37" t="s">
        <v>214</v>
      </c>
      <c r="J35" s="38" t="s">
        <v>1982</v>
      </c>
      <c r="K35" s="61" t="s">
        <v>25</v>
      </c>
      <c r="L35" s="37" t="s">
        <v>27</v>
      </c>
      <c r="M35" s="37" t="s">
        <v>26</v>
      </c>
      <c r="N35" s="36">
        <v>22</v>
      </c>
      <c r="O35" s="36" t="s">
        <v>28</v>
      </c>
      <c r="P35" s="36">
        <v>2201</v>
      </c>
      <c r="Q35" s="37" t="s">
        <v>1984</v>
      </c>
      <c r="R35" s="36">
        <v>2201055</v>
      </c>
      <c r="S35" s="37" t="s">
        <v>220</v>
      </c>
      <c r="T35" s="38" t="s">
        <v>221</v>
      </c>
      <c r="U35" s="38" t="s">
        <v>222</v>
      </c>
      <c r="V35" s="36">
        <v>220105500</v>
      </c>
      <c r="W35" s="37" t="s">
        <v>223</v>
      </c>
      <c r="X35" s="37" t="s">
        <v>2476</v>
      </c>
      <c r="Y35" s="62" t="s">
        <v>36</v>
      </c>
      <c r="Z35" s="62">
        <v>20</v>
      </c>
      <c r="AA35" s="62" t="s">
        <v>2185</v>
      </c>
      <c r="AB35" s="62" t="s">
        <v>2264</v>
      </c>
      <c r="AC35" s="62" t="s">
        <v>2248</v>
      </c>
      <c r="AD35" s="38" t="s">
        <v>37</v>
      </c>
      <c r="AE35" s="38" t="s">
        <v>2250</v>
      </c>
      <c r="AF35" s="36" t="s">
        <v>2191</v>
      </c>
      <c r="AG35" s="42">
        <v>5</v>
      </c>
      <c r="AH35" s="43">
        <v>5</v>
      </c>
      <c r="AI35" s="44">
        <v>5</v>
      </c>
      <c r="AJ35" s="45">
        <v>5</v>
      </c>
      <c r="AK35" s="46">
        <v>9517703</v>
      </c>
      <c r="AL35" s="47">
        <v>10076392</v>
      </c>
      <c r="AM35" s="48">
        <v>10464333</v>
      </c>
      <c r="AN35" s="49">
        <v>10867210</v>
      </c>
      <c r="AO35" s="50">
        <v>40925638</v>
      </c>
      <c r="AP35" s="37" t="s">
        <v>26</v>
      </c>
    </row>
    <row r="36" spans="1:42" customFormat="1" ht="89.25" x14ac:dyDescent="0.25">
      <c r="A36" s="36">
        <v>35</v>
      </c>
      <c r="B36" s="37" t="s">
        <v>19</v>
      </c>
      <c r="C36" s="37" t="s">
        <v>20</v>
      </c>
      <c r="D36" s="38" t="s">
        <v>2383</v>
      </c>
      <c r="E36" s="37" t="s">
        <v>205</v>
      </c>
      <c r="F36" s="38" t="s">
        <v>206</v>
      </c>
      <c r="G36" s="40">
        <v>4.2200000000000001E-2</v>
      </c>
      <c r="H36" s="36">
        <v>2023</v>
      </c>
      <c r="I36" s="37" t="s">
        <v>214</v>
      </c>
      <c r="J36" s="38" t="s">
        <v>1982</v>
      </c>
      <c r="K36" s="61" t="s">
        <v>25</v>
      </c>
      <c r="L36" s="37" t="s">
        <v>27</v>
      </c>
      <c r="M36" s="37" t="s">
        <v>26</v>
      </c>
      <c r="N36" s="36">
        <v>22</v>
      </c>
      <c r="O36" s="36" t="s">
        <v>28</v>
      </c>
      <c r="P36" s="36">
        <v>2201</v>
      </c>
      <c r="Q36" s="37" t="s">
        <v>1984</v>
      </c>
      <c r="R36" s="36">
        <v>2201079</v>
      </c>
      <c r="S36" s="37" t="s">
        <v>225</v>
      </c>
      <c r="T36" s="38" t="s">
        <v>2377</v>
      </c>
      <c r="U36" s="38" t="s">
        <v>46</v>
      </c>
      <c r="V36" s="36">
        <v>220107900</v>
      </c>
      <c r="W36" s="37" t="s">
        <v>226</v>
      </c>
      <c r="X36" s="37" t="s">
        <v>227</v>
      </c>
      <c r="Y36" s="62" t="s">
        <v>36</v>
      </c>
      <c r="Z36" s="62">
        <v>169297</v>
      </c>
      <c r="AA36" s="62" t="s">
        <v>2192</v>
      </c>
      <c r="AB36" s="62" t="s">
        <v>2257</v>
      </c>
      <c r="AC36" s="62" t="s">
        <v>2238</v>
      </c>
      <c r="AD36" s="38" t="s">
        <v>37</v>
      </c>
      <c r="AE36" s="38" t="s">
        <v>2250</v>
      </c>
      <c r="AF36" s="36" t="s">
        <v>2191</v>
      </c>
      <c r="AG36" s="42">
        <v>162635</v>
      </c>
      <c r="AH36" s="43">
        <v>162635</v>
      </c>
      <c r="AI36" s="44">
        <v>162635</v>
      </c>
      <c r="AJ36" s="45">
        <v>162635</v>
      </c>
      <c r="AK36" s="46">
        <v>119297311742</v>
      </c>
      <c r="AL36" s="47">
        <v>144745888309.73999</v>
      </c>
      <c r="AM36" s="48">
        <v>153963870414.63</v>
      </c>
      <c r="AN36" s="49">
        <v>163963387271.04001</v>
      </c>
      <c r="AO36" s="50">
        <v>581970457737.41003</v>
      </c>
      <c r="AP36" s="37" t="s">
        <v>26</v>
      </c>
    </row>
    <row r="37" spans="1:42" customFormat="1" ht="89.25" x14ac:dyDescent="0.25">
      <c r="A37" s="36">
        <v>36</v>
      </c>
      <c r="B37" s="37" t="s">
        <v>19</v>
      </c>
      <c r="C37" s="37" t="s">
        <v>20</v>
      </c>
      <c r="D37" s="38" t="s">
        <v>2383</v>
      </c>
      <c r="E37" s="37" t="s">
        <v>228</v>
      </c>
      <c r="F37" s="38" t="s">
        <v>229</v>
      </c>
      <c r="G37" s="40">
        <v>6.6199999999999995E-2</v>
      </c>
      <c r="H37" s="36">
        <v>2023</v>
      </c>
      <c r="I37" s="37" t="s">
        <v>230</v>
      </c>
      <c r="J37" s="38" t="s">
        <v>231</v>
      </c>
      <c r="K37" s="61" t="s">
        <v>25</v>
      </c>
      <c r="L37" s="37" t="s">
        <v>27</v>
      </c>
      <c r="M37" s="37" t="s">
        <v>26</v>
      </c>
      <c r="N37" s="36">
        <v>22</v>
      </c>
      <c r="O37" s="36" t="s">
        <v>28</v>
      </c>
      <c r="P37" s="36">
        <v>2201</v>
      </c>
      <c r="Q37" s="37" t="s">
        <v>1984</v>
      </c>
      <c r="R37" s="36">
        <v>2201089</v>
      </c>
      <c r="S37" s="37" t="s">
        <v>232</v>
      </c>
      <c r="T37" s="38" t="s">
        <v>233</v>
      </c>
      <c r="U37" s="38" t="s">
        <v>234</v>
      </c>
      <c r="V37" s="51">
        <v>220108900</v>
      </c>
      <c r="W37" s="58" t="s">
        <v>235</v>
      </c>
      <c r="X37" s="37" t="s">
        <v>236</v>
      </c>
      <c r="Y37" s="36" t="s">
        <v>36</v>
      </c>
      <c r="Z37" s="36">
        <v>500</v>
      </c>
      <c r="AA37" s="36" t="s">
        <v>2192</v>
      </c>
      <c r="AB37" s="36" t="s">
        <v>2243</v>
      </c>
      <c r="AC37" s="36" t="s">
        <v>2238</v>
      </c>
      <c r="AD37" s="38" t="s">
        <v>37</v>
      </c>
      <c r="AE37" s="38" t="s">
        <v>2250</v>
      </c>
      <c r="AF37" s="36" t="s">
        <v>2191</v>
      </c>
      <c r="AG37" s="42">
        <v>500</v>
      </c>
      <c r="AH37" s="43">
        <v>500</v>
      </c>
      <c r="AI37" s="44">
        <v>500</v>
      </c>
      <c r="AJ37" s="45">
        <v>500</v>
      </c>
      <c r="AK37" s="46">
        <v>1150000000</v>
      </c>
      <c r="AL37" s="47">
        <v>1550263938</v>
      </c>
      <c r="AM37" s="48">
        <v>1609949099</v>
      </c>
      <c r="AN37" s="49">
        <v>1671932139</v>
      </c>
      <c r="AO37" s="50">
        <v>5982145176</v>
      </c>
      <c r="AP37" s="37" t="s">
        <v>26</v>
      </c>
    </row>
    <row r="38" spans="1:42" customFormat="1" ht="89.25" x14ac:dyDescent="0.25">
      <c r="A38" s="36">
        <v>37</v>
      </c>
      <c r="B38" s="37" t="s">
        <v>19</v>
      </c>
      <c r="C38" s="37" t="s">
        <v>20</v>
      </c>
      <c r="D38" s="38" t="s">
        <v>2383</v>
      </c>
      <c r="E38" s="37" t="s">
        <v>237</v>
      </c>
      <c r="F38" s="38" t="s">
        <v>238</v>
      </c>
      <c r="G38" s="40">
        <v>5.8099999999999999E-2</v>
      </c>
      <c r="H38" s="36">
        <v>2020</v>
      </c>
      <c r="I38" s="37" t="s">
        <v>239</v>
      </c>
      <c r="J38" s="38" t="s">
        <v>240</v>
      </c>
      <c r="K38" s="61" t="s">
        <v>25</v>
      </c>
      <c r="L38" s="37" t="s">
        <v>27</v>
      </c>
      <c r="M38" s="37" t="s">
        <v>26</v>
      </c>
      <c r="N38" s="36">
        <v>22</v>
      </c>
      <c r="O38" s="36" t="s">
        <v>28</v>
      </c>
      <c r="P38" s="36" t="s">
        <v>29</v>
      </c>
      <c r="Q38" s="37" t="s">
        <v>1984</v>
      </c>
      <c r="R38" s="36" t="s">
        <v>241</v>
      </c>
      <c r="S38" s="37" t="s">
        <v>242</v>
      </c>
      <c r="T38" s="38" t="s">
        <v>2359</v>
      </c>
      <c r="U38" s="36" t="s">
        <v>2274</v>
      </c>
      <c r="V38" s="51">
        <v>220103000</v>
      </c>
      <c r="W38" s="58" t="s">
        <v>249</v>
      </c>
      <c r="X38" s="37" t="s">
        <v>2477</v>
      </c>
      <c r="Y38" s="62" t="s">
        <v>36</v>
      </c>
      <c r="Z38" s="62">
        <v>600</v>
      </c>
      <c r="AA38" s="62" t="s">
        <v>2185</v>
      </c>
      <c r="AB38" s="62" t="s">
        <v>2265</v>
      </c>
      <c r="AC38" s="62" t="s">
        <v>2248</v>
      </c>
      <c r="AD38" s="38" t="s">
        <v>37</v>
      </c>
      <c r="AE38" s="38" t="s">
        <v>2250</v>
      </c>
      <c r="AF38" s="36" t="s">
        <v>2191</v>
      </c>
      <c r="AG38" s="42">
        <v>300</v>
      </c>
      <c r="AH38" s="43">
        <v>100</v>
      </c>
      <c r="AI38" s="44">
        <v>100</v>
      </c>
      <c r="AJ38" s="45">
        <v>100</v>
      </c>
      <c r="AK38" s="46">
        <v>3989509856</v>
      </c>
      <c r="AL38" s="47">
        <v>4270908016.6999998</v>
      </c>
      <c r="AM38" s="48">
        <v>4511122722</v>
      </c>
      <c r="AN38" s="49">
        <v>4768164168.4399996</v>
      </c>
      <c r="AO38" s="50">
        <v>17539704763.139999</v>
      </c>
      <c r="AP38" s="37" t="s">
        <v>26</v>
      </c>
    </row>
    <row r="39" spans="1:42" customFormat="1" ht="89.25" x14ac:dyDescent="0.25">
      <c r="A39" s="36">
        <v>38</v>
      </c>
      <c r="B39" s="37" t="s">
        <v>19</v>
      </c>
      <c r="C39" s="37" t="s">
        <v>20</v>
      </c>
      <c r="D39" s="38" t="s">
        <v>2383</v>
      </c>
      <c r="E39" s="37" t="s">
        <v>245</v>
      </c>
      <c r="F39" s="38" t="s">
        <v>2025</v>
      </c>
      <c r="G39" s="40">
        <v>8.2000000000000003E-2</v>
      </c>
      <c r="H39" s="36">
        <v>2022</v>
      </c>
      <c r="I39" s="37" t="s">
        <v>246</v>
      </c>
      <c r="J39" s="61" t="s">
        <v>2026</v>
      </c>
      <c r="K39" s="61" t="s">
        <v>36</v>
      </c>
      <c r="L39" s="37" t="s">
        <v>27</v>
      </c>
      <c r="M39" s="37" t="s">
        <v>26</v>
      </c>
      <c r="N39" s="36">
        <v>22</v>
      </c>
      <c r="O39" s="36" t="s">
        <v>28</v>
      </c>
      <c r="P39" s="36" t="s">
        <v>29</v>
      </c>
      <c r="Q39" s="37" t="s">
        <v>1984</v>
      </c>
      <c r="R39" s="51" t="s">
        <v>247</v>
      </c>
      <c r="S39" s="58" t="s">
        <v>248</v>
      </c>
      <c r="T39" s="59" t="s">
        <v>243</v>
      </c>
      <c r="U39" s="36" t="s">
        <v>119</v>
      </c>
      <c r="V39" s="36" t="s">
        <v>2275</v>
      </c>
      <c r="W39" s="37" t="s">
        <v>244</v>
      </c>
      <c r="X39" s="37" t="s">
        <v>2478</v>
      </c>
      <c r="Y39" s="62" t="s">
        <v>36</v>
      </c>
      <c r="Z39" s="62">
        <v>12800</v>
      </c>
      <c r="AA39" s="62" t="s">
        <v>2185</v>
      </c>
      <c r="AB39" s="62" t="s">
        <v>2265</v>
      </c>
      <c r="AC39" s="62" t="s">
        <v>2248</v>
      </c>
      <c r="AD39" s="38" t="s">
        <v>37</v>
      </c>
      <c r="AE39" s="38" t="s">
        <v>2250</v>
      </c>
      <c r="AF39" s="36" t="s">
        <v>2191</v>
      </c>
      <c r="AG39" s="42">
        <v>3200</v>
      </c>
      <c r="AH39" s="43">
        <v>3200</v>
      </c>
      <c r="AI39" s="44">
        <v>3200</v>
      </c>
      <c r="AJ39" s="45">
        <v>3200</v>
      </c>
      <c r="AK39" s="46">
        <v>61333153868.089996</v>
      </c>
      <c r="AL39" s="47">
        <v>68059437630</v>
      </c>
      <c r="AM39" s="48">
        <v>73422450412</v>
      </c>
      <c r="AN39" s="49">
        <v>79427154544</v>
      </c>
      <c r="AO39" s="50">
        <v>282242196454.09003</v>
      </c>
      <c r="AP39" s="37" t="s">
        <v>26</v>
      </c>
    </row>
    <row r="40" spans="1:42" customFormat="1" ht="89.25" x14ac:dyDescent="0.25">
      <c r="A40" s="36">
        <v>39</v>
      </c>
      <c r="B40" s="37" t="s">
        <v>19</v>
      </c>
      <c r="C40" s="37" t="s">
        <v>20</v>
      </c>
      <c r="D40" s="38" t="s">
        <v>2383</v>
      </c>
      <c r="E40" s="37" t="s">
        <v>250</v>
      </c>
      <c r="F40" s="38" t="s">
        <v>251</v>
      </c>
      <c r="G40" s="40">
        <v>0.2233</v>
      </c>
      <c r="H40" s="36">
        <v>2023</v>
      </c>
      <c r="I40" s="37" t="s">
        <v>2016</v>
      </c>
      <c r="J40" s="38" t="s">
        <v>2015</v>
      </c>
      <c r="K40" s="61" t="s">
        <v>25</v>
      </c>
      <c r="L40" s="37" t="s">
        <v>27</v>
      </c>
      <c r="M40" s="37" t="s">
        <v>26</v>
      </c>
      <c r="N40" s="36">
        <v>22</v>
      </c>
      <c r="O40" s="36" t="s">
        <v>28</v>
      </c>
      <c r="P40" s="36">
        <v>2201</v>
      </c>
      <c r="Q40" s="37" t="s">
        <v>1984</v>
      </c>
      <c r="R40" s="36">
        <v>2201017</v>
      </c>
      <c r="S40" s="37" t="s">
        <v>164</v>
      </c>
      <c r="T40" s="38" t="s">
        <v>165</v>
      </c>
      <c r="U40" s="38" t="s">
        <v>166</v>
      </c>
      <c r="V40" s="36">
        <v>220101700</v>
      </c>
      <c r="W40" s="37" t="s">
        <v>171</v>
      </c>
      <c r="X40" s="37" t="s">
        <v>2479</v>
      </c>
      <c r="Y40" s="36" t="s">
        <v>36</v>
      </c>
      <c r="Z40" s="36">
        <v>46899</v>
      </c>
      <c r="AA40" s="36" t="s">
        <v>2185</v>
      </c>
      <c r="AB40" s="36" t="s">
        <v>2265</v>
      </c>
      <c r="AC40" s="36" t="s">
        <v>2238</v>
      </c>
      <c r="AD40" s="38" t="s">
        <v>37</v>
      </c>
      <c r="AE40" s="38" t="s">
        <v>2250</v>
      </c>
      <c r="AF40" s="36" t="s">
        <v>2191</v>
      </c>
      <c r="AG40" s="42">
        <v>23450</v>
      </c>
      <c r="AH40" s="43">
        <v>23449</v>
      </c>
      <c r="AI40" s="44">
        <v>0</v>
      </c>
      <c r="AJ40" s="45">
        <v>0</v>
      </c>
      <c r="AK40" s="46">
        <v>175000000</v>
      </c>
      <c r="AL40" s="47">
        <v>400000000</v>
      </c>
      <c r="AM40" s="48">
        <v>0</v>
      </c>
      <c r="AN40" s="49">
        <v>0</v>
      </c>
      <c r="AO40" s="50">
        <v>575000000</v>
      </c>
      <c r="AP40" s="37" t="s">
        <v>26</v>
      </c>
    </row>
    <row r="41" spans="1:42" customFormat="1" ht="89.25" x14ac:dyDescent="0.25">
      <c r="A41" s="36">
        <v>40</v>
      </c>
      <c r="B41" s="37" t="s">
        <v>19</v>
      </c>
      <c r="C41" s="37" t="s">
        <v>20</v>
      </c>
      <c r="D41" s="38" t="s">
        <v>2383</v>
      </c>
      <c r="E41" s="37" t="s">
        <v>252</v>
      </c>
      <c r="F41" s="37" t="s">
        <v>253</v>
      </c>
      <c r="G41" s="65">
        <v>0.85</v>
      </c>
      <c r="H41" s="36">
        <v>2023</v>
      </c>
      <c r="I41" s="37" t="s">
        <v>254</v>
      </c>
      <c r="J41" s="38" t="s">
        <v>255</v>
      </c>
      <c r="K41" s="37" t="s">
        <v>256</v>
      </c>
      <c r="L41" s="37" t="s">
        <v>27</v>
      </c>
      <c r="M41" s="37" t="s">
        <v>26</v>
      </c>
      <c r="N41" s="36">
        <v>33</v>
      </c>
      <c r="O41" s="37" t="s">
        <v>257</v>
      </c>
      <c r="P41" s="36">
        <v>3301</v>
      </c>
      <c r="Q41" s="37" t="s">
        <v>258</v>
      </c>
      <c r="R41" s="36">
        <v>3301126</v>
      </c>
      <c r="S41" s="37" t="s">
        <v>259</v>
      </c>
      <c r="T41" s="38" t="s">
        <v>260</v>
      </c>
      <c r="U41" s="37" t="s">
        <v>261</v>
      </c>
      <c r="V41" s="36">
        <v>330112600</v>
      </c>
      <c r="W41" s="37" t="s">
        <v>262</v>
      </c>
      <c r="X41" s="37" t="s">
        <v>2137</v>
      </c>
      <c r="Y41" s="37" t="s">
        <v>36</v>
      </c>
      <c r="Z41" s="36">
        <v>0</v>
      </c>
      <c r="AA41" s="36" t="s">
        <v>2185</v>
      </c>
      <c r="AB41" s="37" t="s">
        <v>2266</v>
      </c>
      <c r="AC41" s="37" t="s">
        <v>2267</v>
      </c>
      <c r="AD41" s="37" t="s">
        <v>263</v>
      </c>
      <c r="AE41" s="37" t="s">
        <v>2250</v>
      </c>
      <c r="AF41" s="36" t="s">
        <v>2191</v>
      </c>
      <c r="AG41" s="42">
        <v>2</v>
      </c>
      <c r="AH41" s="43">
        <v>2</v>
      </c>
      <c r="AI41" s="44">
        <v>2</v>
      </c>
      <c r="AJ41" s="45">
        <v>1</v>
      </c>
      <c r="AK41" s="46">
        <v>292908500</v>
      </c>
      <c r="AL41" s="47">
        <v>838329355</v>
      </c>
      <c r="AM41" s="48">
        <v>349631100.60000002</v>
      </c>
      <c r="AN41" s="49">
        <v>324778991.70999998</v>
      </c>
      <c r="AO41" s="50">
        <v>1805647947.3099999</v>
      </c>
      <c r="AP41" s="37" t="s">
        <v>26</v>
      </c>
    </row>
    <row r="42" spans="1:42" customFormat="1" ht="89.25" x14ac:dyDescent="0.25">
      <c r="A42" s="36">
        <v>41</v>
      </c>
      <c r="B42" s="37" t="s">
        <v>19</v>
      </c>
      <c r="C42" s="37" t="s">
        <v>20</v>
      </c>
      <c r="D42" s="38" t="s">
        <v>2383</v>
      </c>
      <c r="E42" s="37" t="s">
        <v>252</v>
      </c>
      <c r="F42" s="37" t="s">
        <v>253</v>
      </c>
      <c r="G42" s="65">
        <v>0.85</v>
      </c>
      <c r="H42" s="36">
        <v>2023</v>
      </c>
      <c r="I42" s="37" t="s">
        <v>254</v>
      </c>
      <c r="J42" s="38" t="s">
        <v>255</v>
      </c>
      <c r="K42" s="37" t="s">
        <v>256</v>
      </c>
      <c r="L42" s="37" t="s">
        <v>27</v>
      </c>
      <c r="M42" s="37" t="s">
        <v>26</v>
      </c>
      <c r="N42" s="36">
        <v>33</v>
      </c>
      <c r="O42" s="37" t="s">
        <v>257</v>
      </c>
      <c r="P42" s="36">
        <v>3301</v>
      </c>
      <c r="Q42" s="37" t="s">
        <v>258</v>
      </c>
      <c r="R42" s="36">
        <v>3301074</v>
      </c>
      <c r="S42" s="37" t="s">
        <v>266</v>
      </c>
      <c r="T42" s="59" t="s">
        <v>267</v>
      </c>
      <c r="U42" s="58" t="s">
        <v>268</v>
      </c>
      <c r="V42" s="51" t="s">
        <v>269</v>
      </c>
      <c r="W42" s="58" t="s">
        <v>270</v>
      </c>
      <c r="X42" s="37" t="s">
        <v>271</v>
      </c>
      <c r="Y42" s="37" t="s">
        <v>36</v>
      </c>
      <c r="Z42" s="36">
        <v>43</v>
      </c>
      <c r="AA42" s="36" t="s">
        <v>2185</v>
      </c>
      <c r="AB42" s="37" t="s">
        <v>2266</v>
      </c>
      <c r="AC42" s="37" t="s">
        <v>2268</v>
      </c>
      <c r="AD42" s="37" t="s">
        <v>263</v>
      </c>
      <c r="AE42" s="37" t="s">
        <v>2250</v>
      </c>
      <c r="AF42" s="36" t="s">
        <v>2191</v>
      </c>
      <c r="AG42" s="42">
        <v>9</v>
      </c>
      <c r="AH42" s="43">
        <v>15</v>
      </c>
      <c r="AI42" s="44">
        <v>15</v>
      </c>
      <c r="AJ42" s="45">
        <v>10</v>
      </c>
      <c r="AK42" s="46">
        <v>11500000</v>
      </c>
      <c r="AL42" s="47">
        <v>22145000</v>
      </c>
      <c r="AM42" s="48">
        <v>22809350</v>
      </c>
      <c r="AN42" s="49">
        <v>14730000</v>
      </c>
      <c r="AO42" s="50">
        <v>71184350</v>
      </c>
      <c r="AP42" s="37" t="s">
        <v>26</v>
      </c>
    </row>
    <row r="43" spans="1:42" customFormat="1" ht="89.25" x14ac:dyDescent="0.25">
      <c r="A43" s="36">
        <v>42</v>
      </c>
      <c r="B43" s="37" t="s">
        <v>19</v>
      </c>
      <c r="C43" s="37" t="s">
        <v>20</v>
      </c>
      <c r="D43" s="38" t="s">
        <v>2383</v>
      </c>
      <c r="E43" s="37" t="s">
        <v>252</v>
      </c>
      <c r="F43" s="37" t="s">
        <v>253</v>
      </c>
      <c r="G43" s="65">
        <v>0.85</v>
      </c>
      <c r="H43" s="36">
        <v>2023</v>
      </c>
      <c r="I43" s="37" t="s">
        <v>254</v>
      </c>
      <c r="J43" s="38" t="s">
        <v>255</v>
      </c>
      <c r="K43" s="37" t="s">
        <v>256</v>
      </c>
      <c r="L43" s="37" t="s">
        <v>27</v>
      </c>
      <c r="M43" s="37" t="s">
        <v>26</v>
      </c>
      <c r="N43" s="36">
        <v>33</v>
      </c>
      <c r="O43" s="37" t="s">
        <v>257</v>
      </c>
      <c r="P43" s="36">
        <v>3301</v>
      </c>
      <c r="Q43" s="37" t="s">
        <v>258</v>
      </c>
      <c r="R43" s="36">
        <v>3301065</v>
      </c>
      <c r="S43" s="37" t="s">
        <v>272</v>
      </c>
      <c r="T43" s="59" t="s">
        <v>273</v>
      </c>
      <c r="U43" s="58" t="s">
        <v>203</v>
      </c>
      <c r="V43" s="51" t="s">
        <v>274</v>
      </c>
      <c r="W43" s="58" t="s">
        <v>275</v>
      </c>
      <c r="X43" s="37" t="s">
        <v>276</v>
      </c>
      <c r="Y43" s="37" t="s">
        <v>36</v>
      </c>
      <c r="Z43" s="36">
        <v>40</v>
      </c>
      <c r="AA43" s="36" t="s">
        <v>2185</v>
      </c>
      <c r="AB43" s="37" t="s">
        <v>2269</v>
      </c>
      <c r="AC43" s="37" t="s">
        <v>2267</v>
      </c>
      <c r="AD43" s="37" t="s">
        <v>263</v>
      </c>
      <c r="AE43" s="37" t="s">
        <v>2250</v>
      </c>
      <c r="AF43" s="36" t="s">
        <v>2191</v>
      </c>
      <c r="AG43" s="42">
        <v>14</v>
      </c>
      <c r="AH43" s="43">
        <v>8</v>
      </c>
      <c r="AI43" s="44">
        <v>8</v>
      </c>
      <c r="AJ43" s="45">
        <v>10</v>
      </c>
      <c r="AK43" s="46">
        <v>180000000</v>
      </c>
      <c r="AL43" s="47">
        <v>60037522.710000001</v>
      </c>
      <c r="AM43" s="48">
        <v>74445004.280000001</v>
      </c>
      <c r="AN43" s="49">
        <v>158991348.55000001</v>
      </c>
      <c r="AO43" s="50">
        <v>473473875.54000002</v>
      </c>
      <c r="AP43" s="37" t="s">
        <v>26</v>
      </c>
    </row>
    <row r="44" spans="1:42" customFormat="1" ht="83.25" customHeight="1" x14ac:dyDescent="0.25">
      <c r="A44" s="36">
        <v>43</v>
      </c>
      <c r="B44" s="37" t="s">
        <v>19</v>
      </c>
      <c r="C44" s="37" t="s">
        <v>20</v>
      </c>
      <c r="D44" s="38" t="s">
        <v>2383</v>
      </c>
      <c r="E44" s="37" t="s">
        <v>252</v>
      </c>
      <c r="F44" s="37" t="s">
        <v>253</v>
      </c>
      <c r="G44" s="65">
        <v>0.85</v>
      </c>
      <c r="H44" s="36">
        <v>2023</v>
      </c>
      <c r="I44" s="37" t="s">
        <v>254</v>
      </c>
      <c r="J44" s="38" t="s">
        <v>255</v>
      </c>
      <c r="K44" s="37" t="s">
        <v>256</v>
      </c>
      <c r="L44" s="37" t="s">
        <v>27</v>
      </c>
      <c r="M44" s="37" t="s">
        <v>26</v>
      </c>
      <c r="N44" s="36">
        <v>33</v>
      </c>
      <c r="O44" s="37" t="s">
        <v>257</v>
      </c>
      <c r="P44" s="36">
        <v>3301</v>
      </c>
      <c r="Q44" s="37" t="s">
        <v>258</v>
      </c>
      <c r="R44" s="36" t="s">
        <v>277</v>
      </c>
      <c r="S44" s="37" t="s">
        <v>278</v>
      </c>
      <c r="T44" s="38" t="s">
        <v>279</v>
      </c>
      <c r="U44" s="37" t="s">
        <v>280</v>
      </c>
      <c r="V44" s="36" t="s">
        <v>281</v>
      </c>
      <c r="W44" s="37" t="s">
        <v>282</v>
      </c>
      <c r="X44" s="37" t="s">
        <v>283</v>
      </c>
      <c r="Y44" s="37" t="s">
        <v>36</v>
      </c>
      <c r="Z44" s="36">
        <v>9</v>
      </c>
      <c r="AA44" s="36" t="s">
        <v>2185</v>
      </c>
      <c r="AB44" s="37" t="s">
        <v>2269</v>
      </c>
      <c r="AC44" s="37" t="s">
        <v>2268</v>
      </c>
      <c r="AD44" s="37" t="s">
        <v>263</v>
      </c>
      <c r="AE44" s="37" t="s">
        <v>2250</v>
      </c>
      <c r="AF44" s="36" t="s">
        <v>2191</v>
      </c>
      <c r="AG44" s="42">
        <v>3</v>
      </c>
      <c r="AH44" s="43">
        <v>2</v>
      </c>
      <c r="AI44" s="44">
        <v>2</v>
      </c>
      <c r="AJ44" s="45">
        <v>2</v>
      </c>
      <c r="AK44" s="46">
        <v>145000000</v>
      </c>
      <c r="AL44" s="47">
        <v>81500000</v>
      </c>
      <c r="AM44" s="48">
        <v>71241438</v>
      </c>
      <c r="AN44" s="49">
        <v>70830000</v>
      </c>
      <c r="AO44" s="50">
        <v>368571438</v>
      </c>
      <c r="AP44" s="37" t="s">
        <v>26</v>
      </c>
    </row>
    <row r="45" spans="1:42" customFormat="1" ht="89.25" x14ac:dyDescent="0.25">
      <c r="A45" s="36">
        <v>44</v>
      </c>
      <c r="B45" s="37" t="s">
        <v>19</v>
      </c>
      <c r="C45" s="37" t="s">
        <v>20</v>
      </c>
      <c r="D45" s="38" t="s">
        <v>2383</v>
      </c>
      <c r="E45" s="37" t="s">
        <v>252</v>
      </c>
      <c r="F45" s="37" t="s">
        <v>253</v>
      </c>
      <c r="G45" s="65">
        <v>0.85</v>
      </c>
      <c r="H45" s="36">
        <v>2023</v>
      </c>
      <c r="I45" s="37" t="s">
        <v>254</v>
      </c>
      <c r="J45" s="38" t="s">
        <v>255</v>
      </c>
      <c r="K45" s="37" t="s">
        <v>256</v>
      </c>
      <c r="L45" s="37" t="s">
        <v>27</v>
      </c>
      <c r="M45" s="37" t="s">
        <v>26</v>
      </c>
      <c r="N45" s="36">
        <v>33</v>
      </c>
      <c r="O45" s="37" t="s">
        <v>257</v>
      </c>
      <c r="P45" s="36">
        <v>3301</v>
      </c>
      <c r="Q45" s="37" t="s">
        <v>258</v>
      </c>
      <c r="R45" s="36" t="s">
        <v>284</v>
      </c>
      <c r="S45" s="37" t="s">
        <v>285</v>
      </c>
      <c r="T45" s="38" t="s">
        <v>286</v>
      </c>
      <c r="U45" s="37" t="s">
        <v>287</v>
      </c>
      <c r="V45" s="36" t="s">
        <v>288</v>
      </c>
      <c r="W45" s="37" t="s">
        <v>289</v>
      </c>
      <c r="X45" s="37" t="s">
        <v>290</v>
      </c>
      <c r="Y45" s="37" t="s">
        <v>36</v>
      </c>
      <c r="Z45" s="36">
        <v>32</v>
      </c>
      <c r="AA45" s="36" t="s">
        <v>2185</v>
      </c>
      <c r="AB45" s="37" t="s">
        <v>2269</v>
      </c>
      <c r="AC45" s="37" t="s">
        <v>2270</v>
      </c>
      <c r="AD45" s="37" t="s">
        <v>263</v>
      </c>
      <c r="AE45" s="37" t="s">
        <v>2250</v>
      </c>
      <c r="AF45" s="36" t="s">
        <v>2191</v>
      </c>
      <c r="AG45" s="42">
        <v>8</v>
      </c>
      <c r="AH45" s="43">
        <v>8</v>
      </c>
      <c r="AI45" s="44">
        <v>8</v>
      </c>
      <c r="AJ45" s="45">
        <v>8</v>
      </c>
      <c r="AK45" s="46">
        <v>1248166534</v>
      </c>
      <c r="AL45" s="47">
        <v>1286771069.7</v>
      </c>
      <c r="AM45" s="48">
        <v>1341235379.7</v>
      </c>
      <c r="AN45" s="49">
        <v>1423261786</v>
      </c>
      <c r="AO45" s="50">
        <v>5299434769.3999996</v>
      </c>
      <c r="AP45" s="37" t="s">
        <v>26</v>
      </c>
    </row>
    <row r="46" spans="1:42" customFormat="1" ht="128.25" customHeight="1" x14ac:dyDescent="0.25">
      <c r="A46" s="36">
        <v>45</v>
      </c>
      <c r="B46" s="37" t="s">
        <v>19</v>
      </c>
      <c r="C46" s="37" t="s">
        <v>20</v>
      </c>
      <c r="D46" s="38" t="s">
        <v>2383</v>
      </c>
      <c r="E46" s="37" t="s">
        <v>292</v>
      </c>
      <c r="F46" s="37" t="s">
        <v>2360</v>
      </c>
      <c r="G46" s="65">
        <v>0.85</v>
      </c>
      <c r="H46" s="36">
        <v>2023</v>
      </c>
      <c r="I46" s="37" t="s">
        <v>254</v>
      </c>
      <c r="J46" s="38" t="s">
        <v>2347</v>
      </c>
      <c r="K46" s="37" t="s">
        <v>256</v>
      </c>
      <c r="L46" s="37" t="s">
        <v>27</v>
      </c>
      <c r="M46" s="37" t="s">
        <v>26</v>
      </c>
      <c r="N46" s="36">
        <v>33</v>
      </c>
      <c r="O46" s="37" t="s">
        <v>257</v>
      </c>
      <c r="P46" s="36">
        <v>3301</v>
      </c>
      <c r="Q46" s="37" t="s">
        <v>258</v>
      </c>
      <c r="R46" s="36" t="s">
        <v>293</v>
      </c>
      <c r="S46" s="37" t="s">
        <v>294</v>
      </c>
      <c r="T46" s="38" t="s">
        <v>295</v>
      </c>
      <c r="U46" s="37" t="s">
        <v>203</v>
      </c>
      <c r="V46" s="36" t="s">
        <v>296</v>
      </c>
      <c r="W46" s="37" t="s">
        <v>297</v>
      </c>
      <c r="X46" s="37" t="s">
        <v>2352</v>
      </c>
      <c r="Y46" s="37" t="s">
        <v>36</v>
      </c>
      <c r="Z46" s="36">
        <v>1800</v>
      </c>
      <c r="AA46" s="36" t="s">
        <v>2185</v>
      </c>
      <c r="AB46" s="37" t="s">
        <v>2269</v>
      </c>
      <c r="AC46" s="37" t="s">
        <v>2270</v>
      </c>
      <c r="AD46" s="37" t="s">
        <v>263</v>
      </c>
      <c r="AE46" s="37" t="s">
        <v>2250</v>
      </c>
      <c r="AF46" s="36" t="s">
        <v>2191</v>
      </c>
      <c r="AG46" s="42">
        <v>300</v>
      </c>
      <c r="AH46" s="43">
        <v>600</v>
      </c>
      <c r="AI46" s="44">
        <v>600</v>
      </c>
      <c r="AJ46" s="45">
        <v>300</v>
      </c>
      <c r="AK46" s="46">
        <v>80000000</v>
      </c>
      <c r="AL46" s="47">
        <v>154770690.81</v>
      </c>
      <c r="AM46" s="48">
        <v>146228173</v>
      </c>
      <c r="AN46" s="49">
        <v>91343132</v>
      </c>
      <c r="AO46" s="50">
        <v>472341995.81</v>
      </c>
      <c r="AP46" s="37" t="s">
        <v>26</v>
      </c>
    </row>
    <row r="47" spans="1:42" customFormat="1" ht="89.25" x14ac:dyDescent="0.25">
      <c r="A47" s="36">
        <v>46</v>
      </c>
      <c r="B47" s="37" t="s">
        <v>19</v>
      </c>
      <c r="C47" s="37" t="s">
        <v>20</v>
      </c>
      <c r="D47" s="38" t="s">
        <v>2383</v>
      </c>
      <c r="E47" s="37" t="s">
        <v>252</v>
      </c>
      <c r="F47" s="37" t="s">
        <v>253</v>
      </c>
      <c r="G47" s="65">
        <v>0.85</v>
      </c>
      <c r="H47" s="36">
        <v>2023</v>
      </c>
      <c r="I47" s="37" t="s">
        <v>254</v>
      </c>
      <c r="J47" s="38" t="s">
        <v>255</v>
      </c>
      <c r="K47" s="37" t="s">
        <v>256</v>
      </c>
      <c r="L47" s="37" t="s">
        <v>27</v>
      </c>
      <c r="M47" s="37" t="s">
        <v>26</v>
      </c>
      <c r="N47" s="36">
        <v>33</v>
      </c>
      <c r="O47" s="37" t="s">
        <v>257</v>
      </c>
      <c r="P47" s="36">
        <v>3301</v>
      </c>
      <c r="Q47" s="37" t="s">
        <v>258</v>
      </c>
      <c r="R47" s="36" t="s">
        <v>298</v>
      </c>
      <c r="S47" s="37" t="s">
        <v>299</v>
      </c>
      <c r="T47" s="59" t="s">
        <v>300</v>
      </c>
      <c r="U47" s="37" t="s">
        <v>301</v>
      </c>
      <c r="V47" s="36">
        <v>330109900</v>
      </c>
      <c r="W47" s="37" t="s">
        <v>302</v>
      </c>
      <c r="X47" s="37" t="s">
        <v>303</v>
      </c>
      <c r="Y47" s="37" t="s">
        <v>36</v>
      </c>
      <c r="Z47" s="36">
        <v>1</v>
      </c>
      <c r="AA47" s="36" t="s">
        <v>2185</v>
      </c>
      <c r="AB47" s="37" t="s">
        <v>2269</v>
      </c>
      <c r="AC47" s="37"/>
      <c r="AD47" s="37" t="s">
        <v>263</v>
      </c>
      <c r="AE47" s="37" t="s">
        <v>2250</v>
      </c>
      <c r="AF47" s="36" t="s">
        <v>2191</v>
      </c>
      <c r="AG47" s="42">
        <v>1</v>
      </c>
      <c r="AH47" s="43">
        <v>0</v>
      </c>
      <c r="AI47" s="44">
        <v>0</v>
      </c>
      <c r="AJ47" s="45">
        <v>0</v>
      </c>
      <c r="AK47" s="46">
        <v>100000000</v>
      </c>
      <c r="AL47" s="47">
        <v>0</v>
      </c>
      <c r="AM47" s="48">
        <v>0</v>
      </c>
      <c r="AN47" s="49">
        <v>0</v>
      </c>
      <c r="AO47" s="50">
        <v>100000000</v>
      </c>
      <c r="AP47" s="37" t="s">
        <v>26</v>
      </c>
    </row>
    <row r="48" spans="1:42" customFormat="1" ht="63" customHeight="1" x14ac:dyDescent="0.25">
      <c r="A48" s="36">
        <v>47</v>
      </c>
      <c r="B48" s="66" t="s">
        <v>19</v>
      </c>
      <c r="C48" s="37" t="s">
        <v>20</v>
      </c>
      <c r="D48" s="38" t="s">
        <v>2383</v>
      </c>
      <c r="E48" s="37" t="s">
        <v>252</v>
      </c>
      <c r="F48" s="37" t="s">
        <v>253</v>
      </c>
      <c r="G48" s="65">
        <v>0.85</v>
      </c>
      <c r="H48" s="36">
        <v>2023</v>
      </c>
      <c r="I48" s="37" t="s">
        <v>254</v>
      </c>
      <c r="J48" s="38" t="s">
        <v>255</v>
      </c>
      <c r="K48" s="37" t="s">
        <v>256</v>
      </c>
      <c r="L48" s="37" t="s">
        <v>27</v>
      </c>
      <c r="M48" s="37" t="s">
        <v>26</v>
      </c>
      <c r="N48" s="36">
        <v>33</v>
      </c>
      <c r="O48" s="37" t="s">
        <v>257</v>
      </c>
      <c r="P48" s="36" t="s">
        <v>2390</v>
      </c>
      <c r="Q48" s="38" t="s">
        <v>2391</v>
      </c>
      <c r="R48" s="36" t="s">
        <v>2392</v>
      </c>
      <c r="S48" s="38" t="s">
        <v>768</v>
      </c>
      <c r="T48" s="38" t="s">
        <v>1913</v>
      </c>
      <c r="U48" s="38" t="s">
        <v>500</v>
      </c>
      <c r="V48" s="36" t="s">
        <v>2393</v>
      </c>
      <c r="W48" s="38" t="s">
        <v>1915</v>
      </c>
      <c r="X48" s="38" t="s">
        <v>2138</v>
      </c>
      <c r="Y48" s="37" t="s">
        <v>36</v>
      </c>
      <c r="Z48" s="36" t="s">
        <v>2271</v>
      </c>
      <c r="AA48" s="36" t="s">
        <v>2185</v>
      </c>
      <c r="AB48" s="37" t="s">
        <v>2269</v>
      </c>
      <c r="AC48" s="37" t="s">
        <v>2270</v>
      </c>
      <c r="AD48" s="37" t="s">
        <v>263</v>
      </c>
      <c r="AE48" s="37" t="s">
        <v>2250</v>
      </c>
      <c r="AF48" s="36" t="s">
        <v>2191</v>
      </c>
      <c r="AG48" s="52">
        <v>0</v>
      </c>
      <c r="AH48" s="53">
        <v>0.33</v>
      </c>
      <c r="AI48" s="54">
        <v>0.33</v>
      </c>
      <c r="AJ48" s="55">
        <v>0.34</v>
      </c>
      <c r="AK48" s="46">
        <v>0</v>
      </c>
      <c r="AL48" s="47">
        <v>200000000</v>
      </c>
      <c r="AM48" s="48">
        <v>200000000</v>
      </c>
      <c r="AN48" s="49">
        <v>200000000</v>
      </c>
      <c r="AO48" s="50">
        <v>600000000</v>
      </c>
      <c r="AP48" s="37" t="s">
        <v>26</v>
      </c>
    </row>
    <row r="49" spans="1:42" customFormat="1" ht="77.25" customHeight="1" x14ac:dyDescent="0.25">
      <c r="A49" s="36">
        <v>48</v>
      </c>
      <c r="B49" s="37" t="s">
        <v>19</v>
      </c>
      <c r="C49" s="37" t="s">
        <v>20</v>
      </c>
      <c r="D49" s="38" t="s">
        <v>2383</v>
      </c>
      <c r="E49" s="37" t="s">
        <v>304</v>
      </c>
      <c r="F49" s="37" t="s">
        <v>2348</v>
      </c>
      <c r="G49" s="40">
        <v>0.91669999999999996</v>
      </c>
      <c r="H49" s="36">
        <v>2023</v>
      </c>
      <c r="I49" s="37" t="s">
        <v>305</v>
      </c>
      <c r="J49" s="38" t="s">
        <v>306</v>
      </c>
      <c r="K49" s="37" t="s">
        <v>256</v>
      </c>
      <c r="L49" s="37" t="s">
        <v>27</v>
      </c>
      <c r="M49" s="37" t="s">
        <v>26</v>
      </c>
      <c r="N49" s="36">
        <v>33</v>
      </c>
      <c r="O49" s="37" t="s">
        <v>257</v>
      </c>
      <c r="P49" s="36" t="s">
        <v>307</v>
      </c>
      <c r="Q49" s="37" t="s">
        <v>308</v>
      </c>
      <c r="R49" s="36" t="s">
        <v>309</v>
      </c>
      <c r="S49" s="37" t="s">
        <v>310</v>
      </c>
      <c r="T49" s="38" t="s">
        <v>311</v>
      </c>
      <c r="U49" s="37" t="s">
        <v>312</v>
      </c>
      <c r="V49" s="36">
        <v>330204900</v>
      </c>
      <c r="W49" s="37" t="s">
        <v>313</v>
      </c>
      <c r="X49" s="37" t="s">
        <v>2154</v>
      </c>
      <c r="Y49" s="37" t="s">
        <v>36</v>
      </c>
      <c r="Z49" s="36">
        <v>6</v>
      </c>
      <c r="AA49" s="36" t="s">
        <v>2185</v>
      </c>
      <c r="AB49" s="37" t="s">
        <v>2361</v>
      </c>
      <c r="AC49" s="37" t="s">
        <v>2272</v>
      </c>
      <c r="AD49" s="37" t="s">
        <v>263</v>
      </c>
      <c r="AE49" s="37" t="s">
        <v>2250</v>
      </c>
      <c r="AF49" s="36" t="s">
        <v>2191</v>
      </c>
      <c r="AG49" s="42">
        <v>6</v>
      </c>
      <c r="AH49" s="43">
        <v>3</v>
      </c>
      <c r="AI49" s="44">
        <v>3</v>
      </c>
      <c r="AJ49" s="45">
        <v>3</v>
      </c>
      <c r="AK49" s="46">
        <v>320753824</v>
      </c>
      <c r="AL49" s="47">
        <v>339036791.97000003</v>
      </c>
      <c r="AM49" s="48">
        <v>349207895.73000002</v>
      </c>
      <c r="AN49" s="49">
        <v>359684132.60000002</v>
      </c>
      <c r="AO49" s="50">
        <v>1368682644.3</v>
      </c>
      <c r="AP49" s="37" t="s">
        <v>26</v>
      </c>
    </row>
    <row r="50" spans="1:42" customFormat="1" ht="63.75" customHeight="1" x14ac:dyDescent="0.25">
      <c r="A50" s="36">
        <v>49</v>
      </c>
      <c r="B50" s="66" t="s">
        <v>630</v>
      </c>
      <c r="C50" s="66" t="s">
        <v>314</v>
      </c>
      <c r="D50" s="38" t="s">
        <v>2385</v>
      </c>
      <c r="E50" s="66" t="s">
        <v>315</v>
      </c>
      <c r="F50" s="66" t="s">
        <v>316</v>
      </c>
      <c r="G50" s="67"/>
      <c r="H50" s="67">
        <v>2023</v>
      </c>
      <c r="I50" s="66" t="s">
        <v>317</v>
      </c>
      <c r="J50" s="68" t="s">
        <v>1014</v>
      </c>
      <c r="K50" s="66" t="s">
        <v>25</v>
      </c>
      <c r="L50" s="37"/>
      <c r="M50" s="69" t="s">
        <v>318</v>
      </c>
      <c r="N50" s="67">
        <v>35</v>
      </c>
      <c r="O50" s="66" t="s">
        <v>319</v>
      </c>
      <c r="P50" s="36">
        <v>3502</v>
      </c>
      <c r="Q50" s="37" t="s">
        <v>320</v>
      </c>
      <c r="R50" s="36" t="s">
        <v>321</v>
      </c>
      <c r="S50" s="37" t="s">
        <v>322</v>
      </c>
      <c r="T50" s="38" t="s">
        <v>323</v>
      </c>
      <c r="U50" s="37" t="s">
        <v>324</v>
      </c>
      <c r="V50" s="36" t="s">
        <v>325</v>
      </c>
      <c r="W50" s="37" t="s">
        <v>326</v>
      </c>
      <c r="X50" s="37" t="s">
        <v>327</v>
      </c>
      <c r="Y50" s="37" t="s">
        <v>36</v>
      </c>
      <c r="Z50" s="36">
        <v>1</v>
      </c>
      <c r="AA50" s="36" t="s">
        <v>2185</v>
      </c>
      <c r="AB50" s="37" t="s">
        <v>2269</v>
      </c>
      <c r="AC50" s="37" t="s">
        <v>2268</v>
      </c>
      <c r="AD50" s="37" t="s">
        <v>263</v>
      </c>
      <c r="AE50" s="37" t="s">
        <v>2250</v>
      </c>
      <c r="AF50" s="36" t="s">
        <v>2191</v>
      </c>
      <c r="AG50" s="42">
        <v>1</v>
      </c>
      <c r="AH50" s="43">
        <v>1</v>
      </c>
      <c r="AI50" s="44">
        <v>1</v>
      </c>
      <c r="AJ50" s="45">
        <v>1</v>
      </c>
      <c r="AK50" s="46">
        <v>15000000</v>
      </c>
      <c r="AL50" s="47">
        <v>15450000</v>
      </c>
      <c r="AM50" s="48">
        <v>16350000</v>
      </c>
      <c r="AN50" s="49">
        <v>17713500</v>
      </c>
      <c r="AO50" s="50">
        <v>64513500</v>
      </c>
      <c r="AP50" s="37" t="s">
        <v>26</v>
      </c>
    </row>
    <row r="51" spans="1:42" customFormat="1" ht="71.25" customHeight="1" x14ac:dyDescent="0.25">
      <c r="A51" s="36">
        <v>50</v>
      </c>
      <c r="B51" s="66" t="s">
        <v>630</v>
      </c>
      <c r="C51" s="66" t="s">
        <v>314</v>
      </c>
      <c r="D51" s="38" t="s">
        <v>2385</v>
      </c>
      <c r="E51" s="66" t="s">
        <v>315</v>
      </c>
      <c r="F51" s="66" t="s">
        <v>316</v>
      </c>
      <c r="G51" s="67"/>
      <c r="H51" s="67">
        <v>2023</v>
      </c>
      <c r="I51" s="66" t="s">
        <v>317</v>
      </c>
      <c r="J51" s="68" t="s">
        <v>1014</v>
      </c>
      <c r="K51" s="66" t="s">
        <v>25</v>
      </c>
      <c r="L51" s="37"/>
      <c r="M51" s="69" t="s">
        <v>318</v>
      </c>
      <c r="N51" s="67">
        <v>35</v>
      </c>
      <c r="O51" s="66" t="s">
        <v>319</v>
      </c>
      <c r="P51" s="36">
        <v>3502</v>
      </c>
      <c r="Q51" s="37" t="s">
        <v>320</v>
      </c>
      <c r="R51" s="36">
        <v>3502019</v>
      </c>
      <c r="S51" s="58" t="s">
        <v>329</v>
      </c>
      <c r="T51" s="59" t="s">
        <v>330</v>
      </c>
      <c r="U51" s="37" t="s">
        <v>203</v>
      </c>
      <c r="V51" s="36">
        <v>350201900</v>
      </c>
      <c r="W51" s="37" t="s">
        <v>331</v>
      </c>
      <c r="X51" s="37" t="s">
        <v>332</v>
      </c>
      <c r="Y51" s="37" t="s">
        <v>36</v>
      </c>
      <c r="Z51" s="36">
        <v>320</v>
      </c>
      <c r="AA51" s="36" t="s">
        <v>2185</v>
      </c>
      <c r="AB51" s="37" t="s">
        <v>2361</v>
      </c>
      <c r="AC51" s="37" t="s">
        <v>2268</v>
      </c>
      <c r="AD51" s="37" t="s">
        <v>263</v>
      </c>
      <c r="AE51" s="37" t="s">
        <v>2250</v>
      </c>
      <c r="AF51" s="36" t="s">
        <v>2191</v>
      </c>
      <c r="AG51" s="42">
        <v>60</v>
      </c>
      <c r="AH51" s="43">
        <v>100</v>
      </c>
      <c r="AI51" s="44">
        <v>90</v>
      </c>
      <c r="AJ51" s="45">
        <v>70</v>
      </c>
      <c r="AK51" s="46">
        <v>42000000</v>
      </c>
      <c r="AL51" s="47">
        <v>64890000</v>
      </c>
      <c r="AM51" s="48">
        <v>68670000</v>
      </c>
      <c r="AN51" s="49">
        <v>57680000</v>
      </c>
      <c r="AO51" s="50">
        <v>233240000</v>
      </c>
      <c r="AP51" s="37" t="s">
        <v>26</v>
      </c>
    </row>
    <row r="52" spans="1:42" customFormat="1" ht="67.5" customHeight="1" x14ac:dyDescent="0.25">
      <c r="A52" s="36">
        <v>51</v>
      </c>
      <c r="B52" s="37" t="s">
        <v>19</v>
      </c>
      <c r="C52" s="37" t="s">
        <v>20</v>
      </c>
      <c r="D52" s="38" t="s">
        <v>2385</v>
      </c>
      <c r="E52" s="70" t="s">
        <v>333</v>
      </c>
      <c r="F52" s="37" t="s">
        <v>334</v>
      </c>
      <c r="G52" s="65" t="s">
        <v>335</v>
      </c>
      <c r="H52" s="62">
        <v>2023</v>
      </c>
      <c r="I52" s="37" t="s">
        <v>336</v>
      </c>
      <c r="J52" s="38" t="s">
        <v>337</v>
      </c>
      <c r="K52" s="37" t="s">
        <v>25</v>
      </c>
      <c r="L52" s="37"/>
      <c r="M52" s="37" t="s">
        <v>338</v>
      </c>
      <c r="N52" s="36">
        <v>19</v>
      </c>
      <c r="O52" s="37" t="s">
        <v>339</v>
      </c>
      <c r="P52" s="36" t="s">
        <v>340</v>
      </c>
      <c r="Q52" s="37" t="s">
        <v>341</v>
      </c>
      <c r="R52" s="36" t="s">
        <v>342</v>
      </c>
      <c r="S52" s="37" t="s">
        <v>343</v>
      </c>
      <c r="T52" s="38" t="s">
        <v>344</v>
      </c>
      <c r="U52" s="37" t="s">
        <v>203</v>
      </c>
      <c r="V52" s="36" t="s">
        <v>345</v>
      </c>
      <c r="W52" s="37" t="s">
        <v>346</v>
      </c>
      <c r="X52" s="37" t="s">
        <v>347</v>
      </c>
      <c r="Y52" s="37" t="s">
        <v>36</v>
      </c>
      <c r="Z52" s="36">
        <v>6100</v>
      </c>
      <c r="AA52" s="36" t="s">
        <v>2185</v>
      </c>
      <c r="AB52" s="37"/>
      <c r="AC52" s="37"/>
      <c r="AD52" s="37" t="s">
        <v>348</v>
      </c>
      <c r="AE52" s="37" t="s">
        <v>2188</v>
      </c>
      <c r="AF52" s="38" t="s">
        <v>2187</v>
      </c>
      <c r="AG52" s="42">
        <v>2275</v>
      </c>
      <c r="AH52" s="43">
        <v>2275</v>
      </c>
      <c r="AI52" s="44">
        <v>2275</v>
      </c>
      <c r="AJ52" s="45">
        <v>2275</v>
      </c>
      <c r="AK52" s="46">
        <v>260400000</v>
      </c>
      <c r="AL52" s="47">
        <v>275633400</v>
      </c>
      <c r="AM52" s="48">
        <v>291757953.89999998</v>
      </c>
      <c r="AN52" s="49">
        <v>308825794.19999999</v>
      </c>
      <c r="AO52" s="50">
        <v>1136617148.0999999</v>
      </c>
      <c r="AP52" s="37" t="s">
        <v>338</v>
      </c>
    </row>
    <row r="53" spans="1:42" customFormat="1" ht="140.25" x14ac:dyDescent="0.25">
      <c r="A53" s="36">
        <v>52</v>
      </c>
      <c r="B53" s="37" t="s">
        <v>19</v>
      </c>
      <c r="C53" s="37" t="s">
        <v>20</v>
      </c>
      <c r="D53" s="38" t="s">
        <v>2385</v>
      </c>
      <c r="E53" s="37" t="s">
        <v>349</v>
      </c>
      <c r="F53" s="37" t="s">
        <v>350</v>
      </c>
      <c r="G53" s="36" t="s">
        <v>351</v>
      </c>
      <c r="H53" s="36">
        <v>2023</v>
      </c>
      <c r="I53" s="37" t="s">
        <v>336</v>
      </c>
      <c r="J53" s="38" t="s">
        <v>352</v>
      </c>
      <c r="K53" s="37" t="s">
        <v>25</v>
      </c>
      <c r="L53" s="37" t="s">
        <v>27</v>
      </c>
      <c r="M53" s="37" t="s">
        <v>338</v>
      </c>
      <c r="N53" s="36">
        <v>19</v>
      </c>
      <c r="O53" s="37" t="s">
        <v>339</v>
      </c>
      <c r="P53" s="36" t="s">
        <v>353</v>
      </c>
      <c r="Q53" s="37" t="s">
        <v>354</v>
      </c>
      <c r="R53" s="36" t="s">
        <v>355</v>
      </c>
      <c r="S53" s="37" t="s">
        <v>356</v>
      </c>
      <c r="T53" s="38" t="s">
        <v>357</v>
      </c>
      <c r="U53" s="37" t="s">
        <v>358</v>
      </c>
      <c r="V53" s="36" t="s">
        <v>359</v>
      </c>
      <c r="W53" s="37" t="s">
        <v>360</v>
      </c>
      <c r="X53" s="37" t="s">
        <v>361</v>
      </c>
      <c r="Y53" s="37" t="s">
        <v>36</v>
      </c>
      <c r="Z53" s="36">
        <v>16</v>
      </c>
      <c r="AA53" s="36" t="s">
        <v>2192</v>
      </c>
      <c r="AB53" s="37" t="s">
        <v>2220</v>
      </c>
      <c r="AC53" s="37" t="s">
        <v>2221</v>
      </c>
      <c r="AD53" s="37" t="s">
        <v>348</v>
      </c>
      <c r="AE53" s="37" t="s">
        <v>2188</v>
      </c>
      <c r="AF53" s="38" t="s">
        <v>2187</v>
      </c>
      <c r="AG53" s="42">
        <v>16</v>
      </c>
      <c r="AH53" s="43">
        <v>16</v>
      </c>
      <c r="AI53" s="44">
        <v>16</v>
      </c>
      <c r="AJ53" s="45">
        <v>16</v>
      </c>
      <c r="AK53" s="46">
        <v>813206282</v>
      </c>
      <c r="AL53" s="47">
        <v>860778849.5</v>
      </c>
      <c r="AM53" s="48">
        <v>911134412.19000006</v>
      </c>
      <c r="AN53" s="49">
        <v>964435775.30999994</v>
      </c>
      <c r="AO53" s="50">
        <v>3549555319</v>
      </c>
      <c r="AP53" s="37" t="s">
        <v>338</v>
      </c>
    </row>
    <row r="54" spans="1:42" customFormat="1" ht="94.5" customHeight="1" x14ac:dyDescent="0.25">
      <c r="A54" s="36">
        <v>53</v>
      </c>
      <c r="B54" s="37" t="s">
        <v>19</v>
      </c>
      <c r="C54" s="37" t="s">
        <v>20</v>
      </c>
      <c r="D54" s="38" t="s">
        <v>2385</v>
      </c>
      <c r="E54" s="37" t="s">
        <v>362</v>
      </c>
      <c r="F54" s="37" t="s">
        <v>363</v>
      </c>
      <c r="G54" s="36">
        <v>54.6</v>
      </c>
      <c r="H54" s="36">
        <v>2022</v>
      </c>
      <c r="I54" s="37" t="s">
        <v>336</v>
      </c>
      <c r="J54" s="38" t="s">
        <v>364</v>
      </c>
      <c r="K54" s="37" t="s">
        <v>365</v>
      </c>
      <c r="L54" s="37" t="s">
        <v>27</v>
      </c>
      <c r="M54" s="37" t="s">
        <v>338</v>
      </c>
      <c r="N54" s="36">
        <v>19</v>
      </c>
      <c r="O54" s="37" t="s">
        <v>339</v>
      </c>
      <c r="P54" s="36" t="s">
        <v>353</v>
      </c>
      <c r="Q54" s="37" t="s">
        <v>354</v>
      </c>
      <c r="R54" s="36" t="s">
        <v>366</v>
      </c>
      <c r="S54" s="37" t="s">
        <v>367</v>
      </c>
      <c r="T54" s="38" t="s">
        <v>368</v>
      </c>
      <c r="U54" s="37" t="s">
        <v>369</v>
      </c>
      <c r="V54" s="36">
        <v>190505403</v>
      </c>
      <c r="W54" s="37" t="s">
        <v>2017</v>
      </c>
      <c r="X54" s="37" t="s">
        <v>370</v>
      </c>
      <c r="Y54" s="37" t="s">
        <v>36</v>
      </c>
      <c r="Z54" s="36">
        <v>1</v>
      </c>
      <c r="AA54" s="36" t="s">
        <v>2185</v>
      </c>
      <c r="AB54" s="37" t="s">
        <v>2220</v>
      </c>
      <c r="AC54" s="37" t="s">
        <v>2222</v>
      </c>
      <c r="AD54" s="37" t="s">
        <v>348</v>
      </c>
      <c r="AE54" s="37" t="s">
        <v>2188</v>
      </c>
      <c r="AF54" s="38" t="s">
        <v>2187</v>
      </c>
      <c r="AG54" s="71">
        <v>0.25</v>
      </c>
      <c r="AH54" s="53">
        <v>0.25</v>
      </c>
      <c r="AI54" s="54">
        <v>0.25</v>
      </c>
      <c r="AJ54" s="55">
        <v>0.25</v>
      </c>
      <c r="AK54" s="46">
        <v>1379840409</v>
      </c>
      <c r="AL54" s="47">
        <v>1460561072.9300001</v>
      </c>
      <c r="AM54" s="48">
        <v>1546003895.6900001</v>
      </c>
      <c r="AN54" s="49">
        <v>1636445123.5899999</v>
      </c>
      <c r="AO54" s="50">
        <v>6022850501.21</v>
      </c>
      <c r="AP54" s="37" t="s">
        <v>338</v>
      </c>
    </row>
    <row r="55" spans="1:42" customFormat="1" ht="97.5" customHeight="1" x14ac:dyDescent="0.25">
      <c r="A55" s="36">
        <v>54</v>
      </c>
      <c r="B55" s="37" t="s">
        <v>19</v>
      </c>
      <c r="C55" s="37" t="s">
        <v>20</v>
      </c>
      <c r="D55" s="38" t="s">
        <v>2385</v>
      </c>
      <c r="E55" s="37" t="s">
        <v>371</v>
      </c>
      <c r="F55" s="37" t="s">
        <v>372</v>
      </c>
      <c r="G55" s="64">
        <v>13.65</v>
      </c>
      <c r="H55" s="36">
        <v>2021</v>
      </c>
      <c r="I55" s="56" t="s">
        <v>373</v>
      </c>
      <c r="J55" s="38" t="s">
        <v>374</v>
      </c>
      <c r="K55" s="37" t="s">
        <v>365</v>
      </c>
      <c r="L55" s="37" t="s">
        <v>27</v>
      </c>
      <c r="M55" s="37" t="s">
        <v>338</v>
      </c>
      <c r="N55" s="36">
        <v>19</v>
      </c>
      <c r="O55" s="37" t="s">
        <v>339</v>
      </c>
      <c r="P55" s="36" t="s">
        <v>353</v>
      </c>
      <c r="Q55" s="37" t="s">
        <v>354</v>
      </c>
      <c r="R55" s="36" t="s">
        <v>366</v>
      </c>
      <c r="S55" s="37" t="s">
        <v>367</v>
      </c>
      <c r="T55" s="38" t="s">
        <v>368</v>
      </c>
      <c r="U55" s="37" t="s">
        <v>369</v>
      </c>
      <c r="V55" s="36" t="s">
        <v>375</v>
      </c>
      <c r="W55" s="37" t="s">
        <v>376</v>
      </c>
      <c r="X55" s="37" t="s">
        <v>2018</v>
      </c>
      <c r="Y55" s="37" t="s">
        <v>36</v>
      </c>
      <c r="Z55" s="36">
        <v>42</v>
      </c>
      <c r="AA55" s="36" t="s">
        <v>2185</v>
      </c>
      <c r="AB55" s="37" t="s">
        <v>2220</v>
      </c>
      <c r="AC55" s="37" t="s">
        <v>2221</v>
      </c>
      <c r="AD55" s="37" t="s">
        <v>348</v>
      </c>
      <c r="AE55" s="37" t="s">
        <v>2188</v>
      </c>
      <c r="AF55" s="38" t="s">
        <v>2187</v>
      </c>
      <c r="AG55" s="42">
        <v>6</v>
      </c>
      <c r="AH55" s="43">
        <v>12</v>
      </c>
      <c r="AI55" s="44">
        <v>12</v>
      </c>
      <c r="AJ55" s="45">
        <v>12</v>
      </c>
      <c r="AK55" s="46">
        <v>216825635</v>
      </c>
      <c r="AL55" s="47">
        <v>229509934.65000001</v>
      </c>
      <c r="AM55" s="48">
        <v>242936265.81999999</v>
      </c>
      <c r="AN55" s="49">
        <v>257148037.38</v>
      </c>
      <c r="AO55" s="50">
        <v>946419872.85000002</v>
      </c>
      <c r="AP55" s="37" t="s">
        <v>338</v>
      </c>
    </row>
    <row r="56" spans="1:42" customFormat="1" ht="89.25" x14ac:dyDescent="0.25">
      <c r="A56" s="36">
        <v>55</v>
      </c>
      <c r="B56" s="37" t="s">
        <v>19</v>
      </c>
      <c r="C56" s="37" t="s">
        <v>20</v>
      </c>
      <c r="D56" s="38" t="s">
        <v>2385</v>
      </c>
      <c r="E56" s="37" t="s">
        <v>371</v>
      </c>
      <c r="F56" s="37" t="s">
        <v>372</v>
      </c>
      <c r="G56" s="64">
        <v>13.65</v>
      </c>
      <c r="H56" s="36">
        <v>2021</v>
      </c>
      <c r="I56" s="56" t="s">
        <v>373</v>
      </c>
      <c r="J56" s="38" t="s">
        <v>374</v>
      </c>
      <c r="K56" s="37" t="s">
        <v>365</v>
      </c>
      <c r="L56" s="37" t="s">
        <v>27</v>
      </c>
      <c r="M56" s="37" t="s">
        <v>338</v>
      </c>
      <c r="N56" s="36">
        <v>19</v>
      </c>
      <c r="O56" s="37" t="s">
        <v>339</v>
      </c>
      <c r="P56" s="36" t="s">
        <v>353</v>
      </c>
      <c r="Q56" s="37" t="s">
        <v>354</v>
      </c>
      <c r="R56" s="36" t="s">
        <v>377</v>
      </c>
      <c r="S56" s="37" t="s">
        <v>232</v>
      </c>
      <c r="T56" s="38" t="s">
        <v>378</v>
      </c>
      <c r="U56" s="37" t="s">
        <v>234</v>
      </c>
      <c r="V56" s="36" t="s">
        <v>379</v>
      </c>
      <c r="W56" s="37" t="s">
        <v>380</v>
      </c>
      <c r="X56" s="37" t="s">
        <v>381</v>
      </c>
      <c r="Y56" s="37" t="s">
        <v>36</v>
      </c>
      <c r="Z56" s="36">
        <v>42</v>
      </c>
      <c r="AA56" s="36" t="s">
        <v>2185</v>
      </c>
      <c r="AB56" s="37" t="s">
        <v>2220</v>
      </c>
      <c r="AC56" s="37" t="s">
        <v>2223</v>
      </c>
      <c r="AD56" s="37" t="s">
        <v>348</v>
      </c>
      <c r="AE56" s="37" t="s">
        <v>2188</v>
      </c>
      <c r="AF56" s="38" t="s">
        <v>2187</v>
      </c>
      <c r="AG56" s="42">
        <v>6</v>
      </c>
      <c r="AH56" s="43">
        <v>12</v>
      </c>
      <c r="AI56" s="44">
        <v>12</v>
      </c>
      <c r="AJ56" s="45">
        <v>12</v>
      </c>
      <c r="AK56" s="46">
        <v>191878173</v>
      </c>
      <c r="AL56" s="47">
        <v>203103046.12</v>
      </c>
      <c r="AM56" s="48">
        <v>214984574.31999999</v>
      </c>
      <c r="AN56" s="49">
        <v>227561171.91999999</v>
      </c>
      <c r="AO56" s="50">
        <v>837526965.36000001</v>
      </c>
      <c r="AP56" s="37" t="s">
        <v>338</v>
      </c>
    </row>
    <row r="57" spans="1:42" customFormat="1" ht="88.5" customHeight="1" x14ac:dyDescent="0.25">
      <c r="A57" s="36">
        <v>56</v>
      </c>
      <c r="B57" s="37" t="s">
        <v>19</v>
      </c>
      <c r="C57" s="37" t="s">
        <v>20</v>
      </c>
      <c r="D57" s="38" t="s">
        <v>2385</v>
      </c>
      <c r="E57" s="37" t="s">
        <v>382</v>
      </c>
      <c r="F57" s="37" t="s">
        <v>2493</v>
      </c>
      <c r="G57" s="64">
        <v>0</v>
      </c>
      <c r="H57" s="64">
        <v>2023</v>
      </c>
      <c r="I57" s="56" t="s">
        <v>383</v>
      </c>
      <c r="J57" s="38" t="s">
        <v>384</v>
      </c>
      <c r="K57" s="37" t="s">
        <v>25</v>
      </c>
      <c r="L57" s="37" t="s">
        <v>27</v>
      </c>
      <c r="M57" s="37" t="s">
        <v>338</v>
      </c>
      <c r="N57" s="36">
        <v>19</v>
      </c>
      <c r="O57" s="37" t="s">
        <v>339</v>
      </c>
      <c r="P57" s="36" t="s">
        <v>353</v>
      </c>
      <c r="Q57" s="37" t="s">
        <v>354</v>
      </c>
      <c r="R57" s="36" t="s">
        <v>366</v>
      </c>
      <c r="S57" s="37" t="s">
        <v>367</v>
      </c>
      <c r="T57" s="38" t="s">
        <v>368</v>
      </c>
      <c r="U57" s="37" t="s">
        <v>369</v>
      </c>
      <c r="V57" s="36" t="s">
        <v>375</v>
      </c>
      <c r="W57" s="38" t="s">
        <v>376</v>
      </c>
      <c r="X57" s="37" t="s">
        <v>2019</v>
      </c>
      <c r="Y57" s="37" t="s">
        <v>36</v>
      </c>
      <c r="Z57" s="64">
        <v>1</v>
      </c>
      <c r="AA57" s="36" t="s">
        <v>2185</v>
      </c>
      <c r="AB57" s="37" t="s">
        <v>2220</v>
      </c>
      <c r="AC57" s="56" t="s">
        <v>2224</v>
      </c>
      <c r="AD57" s="37" t="s">
        <v>348</v>
      </c>
      <c r="AE57" s="37" t="s">
        <v>2188</v>
      </c>
      <c r="AF57" s="38" t="s">
        <v>2187</v>
      </c>
      <c r="AG57" s="71">
        <v>0.25</v>
      </c>
      <c r="AH57" s="53">
        <v>0.25</v>
      </c>
      <c r="AI57" s="54">
        <v>0.25</v>
      </c>
      <c r="AJ57" s="55">
        <v>0.25</v>
      </c>
      <c r="AK57" s="46">
        <v>1042650200</v>
      </c>
      <c r="AL57" s="47">
        <v>1103645236.7</v>
      </c>
      <c r="AM57" s="48">
        <v>1168208483.05</v>
      </c>
      <c r="AN57" s="49">
        <v>1236548679.3099999</v>
      </c>
      <c r="AO57" s="50">
        <v>4551052599.0600004</v>
      </c>
      <c r="AP57" s="37" t="s">
        <v>338</v>
      </c>
    </row>
    <row r="58" spans="1:42" customFormat="1" ht="84.95" customHeight="1" x14ac:dyDescent="0.25">
      <c r="A58" s="36">
        <v>57</v>
      </c>
      <c r="B58" s="37" t="s">
        <v>19</v>
      </c>
      <c r="C58" s="37" t="s">
        <v>20</v>
      </c>
      <c r="D58" s="38" t="s">
        <v>2385</v>
      </c>
      <c r="E58" s="37" t="s">
        <v>386</v>
      </c>
      <c r="F58" s="72" t="s">
        <v>387</v>
      </c>
      <c r="G58" s="64">
        <v>6.4</v>
      </c>
      <c r="H58" s="64">
        <v>2021</v>
      </c>
      <c r="I58" s="56" t="s">
        <v>388</v>
      </c>
      <c r="J58" s="38" t="s">
        <v>389</v>
      </c>
      <c r="K58" s="37" t="s">
        <v>365</v>
      </c>
      <c r="L58" s="37" t="s">
        <v>27</v>
      </c>
      <c r="M58" s="37" t="s">
        <v>338</v>
      </c>
      <c r="N58" s="36">
        <v>19</v>
      </c>
      <c r="O58" s="37" t="s">
        <v>339</v>
      </c>
      <c r="P58" s="36" t="s">
        <v>353</v>
      </c>
      <c r="Q58" s="37" t="s">
        <v>354</v>
      </c>
      <c r="R58" s="36" t="s">
        <v>366</v>
      </c>
      <c r="S58" s="37" t="s">
        <v>367</v>
      </c>
      <c r="T58" s="38" t="s">
        <v>368</v>
      </c>
      <c r="U58" s="37" t="s">
        <v>369</v>
      </c>
      <c r="V58" s="36" t="s">
        <v>385</v>
      </c>
      <c r="W58" s="37" t="s">
        <v>390</v>
      </c>
      <c r="X58" s="37" t="s">
        <v>2162</v>
      </c>
      <c r="Y58" s="37" t="s">
        <v>36</v>
      </c>
      <c r="Z58" s="64">
        <v>1</v>
      </c>
      <c r="AA58" s="36" t="s">
        <v>2185</v>
      </c>
      <c r="AB58" s="37" t="s">
        <v>2220</v>
      </c>
      <c r="AC58" s="56" t="s">
        <v>2225</v>
      </c>
      <c r="AD58" s="37" t="s">
        <v>348</v>
      </c>
      <c r="AE58" s="37" t="s">
        <v>2188</v>
      </c>
      <c r="AF58" s="38" t="s">
        <v>2187</v>
      </c>
      <c r="AG58" s="71">
        <v>0.25</v>
      </c>
      <c r="AH58" s="53">
        <v>0.25</v>
      </c>
      <c r="AI58" s="54">
        <v>0.25</v>
      </c>
      <c r="AJ58" s="55">
        <v>0.25</v>
      </c>
      <c r="AK58" s="46">
        <v>1094480840</v>
      </c>
      <c r="AL58" s="47">
        <v>1158507969.1400001</v>
      </c>
      <c r="AM58" s="48">
        <v>1226280685.3299999</v>
      </c>
      <c r="AN58" s="49">
        <v>1298018105.4300001</v>
      </c>
      <c r="AO58" s="50">
        <v>4777287599.8999996</v>
      </c>
      <c r="AP58" s="37" t="s">
        <v>338</v>
      </c>
    </row>
    <row r="59" spans="1:42" customFormat="1" ht="84.95" customHeight="1" x14ac:dyDescent="0.25">
      <c r="A59" s="36">
        <v>58</v>
      </c>
      <c r="B59" s="37" t="s">
        <v>19</v>
      </c>
      <c r="C59" s="37" t="s">
        <v>20</v>
      </c>
      <c r="D59" s="38" t="s">
        <v>2385</v>
      </c>
      <c r="E59" s="37" t="s">
        <v>386</v>
      </c>
      <c r="F59" s="72" t="s">
        <v>387</v>
      </c>
      <c r="G59" s="64">
        <v>6.4</v>
      </c>
      <c r="H59" s="64">
        <v>2021</v>
      </c>
      <c r="I59" s="56" t="s">
        <v>388</v>
      </c>
      <c r="J59" s="38" t="s">
        <v>389</v>
      </c>
      <c r="K59" s="37" t="s">
        <v>365</v>
      </c>
      <c r="L59" s="37" t="s">
        <v>27</v>
      </c>
      <c r="M59" s="37" t="s">
        <v>338</v>
      </c>
      <c r="N59" s="36">
        <v>19</v>
      </c>
      <c r="O59" s="37" t="s">
        <v>339</v>
      </c>
      <c r="P59" s="36" t="s">
        <v>353</v>
      </c>
      <c r="Q59" s="37" t="s">
        <v>354</v>
      </c>
      <c r="R59" s="36" t="s">
        <v>366</v>
      </c>
      <c r="S59" s="37" t="s">
        <v>367</v>
      </c>
      <c r="T59" s="38" t="s">
        <v>368</v>
      </c>
      <c r="U59" s="37" t="s">
        <v>369</v>
      </c>
      <c r="V59" s="36" t="s">
        <v>385</v>
      </c>
      <c r="W59" s="37" t="s">
        <v>390</v>
      </c>
      <c r="X59" s="37" t="s">
        <v>391</v>
      </c>
      <c r="Y59" s="37" t="s">
        <v>36</v>
      </c>
      <c r="Z59" s="64">
        <v>1</v>
      </c>
      <c r="AA59" s="36" t="s">
        <v>2185</v>
      </c>
      <c r="AB59" s="37" t="s">
        <v>2220</v>
      </c>
      <c r="AC59" s="56" t="s">
        <v>2225</v>
      </c>
      <c r="AD59" s="37" t="s">
        <v>348</v>
      </c>
      <c r="AE59" s="37" t="s">
        <v>2188</v>
      </c>
      <c r="AF59" s="38" t="s">
        <v>2187</v>
      </c>
      <c r="AG59" s="71">
        <v>0.25</v>
      </c>
      <c r="AH59" s="53">
        <v>0.25</v>
      </c>
      <c r="AI59" s="54">
        <v>0.25</v>
      </c>
      <c r="AJ59" s="55">
        <v>0.25</v>
      </c>
      <c r="AK59" s="46">
        <v>82000000</v>
      </c>
      <c r="AL59" s="47">
        <v>86797000</v>
      </c>
      <c r="AM59" s="48">
        <v>91874624.5</v>
      </c>
      <c r="AN59" s="49">
        <v>97249290.030000001</v>
      </c>
      <c r="AO59" s="50">
        <v>357920914.52999997</v>
      </c>
      <c r="AP59" s="37" t="s">
        <v>338</v>
      </c>
    </row>
    <row r="60" spans="1:42" customFormat="1" ht="84.95" customHeight="1" x14ac:dyDescent="0.25">
      <c r="A60" s="36">
        <v>59</v>
      </c>
      <c r="B60" s="37" t="s">
        <v>19</v>
      </c>
      <c r="C60" s="37" t="s">
        <v>20</v>
      </c>
      <c r="D60" s="38" t="s">
        <v>2385</v>
      </c>
      <c r="E60" s="37" t="s">
        <v>392</v>
      </c>
      <c r="F60" s="37" t="s">
        <v>393</v>
      </c>
      <c r="G60" s="36">
        <v>654</v>
      </c>
      <c r="H60" s="36">
        <v>2022</v>
      </c>
      <c r="I60" s="56" t="s">
        <v>394</v>
      </c>
      <c r="J60" s="38" t="s">
        <v>395</v>
      </c>
      <c r="K60" s="37" t="s">
        <v>365</v>
      </c>
      <c r="L60" s="37" t="s">
        <v>27</v>
      </c>
      <c r="M60" s="37" t="s">
        <v>338</v>
      </c>
      <c r="N60" s="36">
        <v>19</v>
      </c>
      <c r="O60" s="37" t="s">
        <v>339</v>
      </c>
      <c r="P60" s="36" t="s">
        <v>353</v>
      </c>
      <c r="Q60" s="37" t="s">
        <v>354</v>
      </c>
      <c r="R60" s="36" t="s">
        <v>366</v>
      </c>
      <c r="S60" s="37" t="s">
        <v>367</v>
      </c>
      <c r="T60" s="38" t="s">
        <v>368</v>
      </c>
      <c r="U60" s="37" t="s">
        <v>369</v>
      </c>
      <c r="V60" s="36" t="s">
        <v>396</v>
      </c>
      <c r="W60" s="37" t="s">
        <v>397</v>
      </c>
      <c r="X60" s="37" t="s">
        <v>2027</v>
      </c>
      <c r="Y60" s="56" t="s">
        <v>36</v>
      </c>
      <c r="Z60" s="64">
        <v>1</v>
      </c>
      <c r="AA60" s="36" t="s">
        <v>2185</v>
      </c>
      <c r="AB60" s="37" t="s">
        <v>2220</v>
      </c>
      <c r="AC60" s="56" t="s">
        <v>2226</v>
      </c>
      <c r="AD60" s="37" t="s">
        <v>348</v>
      </c>
      <c r="AE60" s="37" t="s">
        <v>2188</v>
      </c>
      <c r="AF60" s="38" t="s">
        <v>2187</v>
      </c>
      <c r="AG60" s="71">
        <v>0.25</v>
      </c>
      <c r="AH60" s="53">
        <v>0.25</v>
      </c>
      <c r="AI60" s="54">
        <v>0.25</v>
      </c>
      <c r="AJ60" s="55">
        <v>0.25</v>
      </c>
      <c r="AK60" s="46">
        <v>1008048935</v>
      </c>
      <c r="AL60" s="47">
        <v>1067019797.7</v>
      </c>
      <c r="AM60" s="48">
        <v>1129440455.8599999</v>
      </c>
      <c r="AN60" s="49">
        <v>1195512722.53</v>
      </c>
      <c r="AO60" s="50">
        <v>4400021911.0900002</v>
      </c>
      <c r="AP60" s="37" t="s">
        <v>338</v>
      </c>
    </row>
    <row r="61" spans="1:42" customFormat="1" ht="84.95" customHeight="1" x14ac:dyDescent="0.25">
      <c r="A61" s="36">
        <v>60</v>
      </c>
      <c r="B61" s="37" t="s">
        <v>19</v>
      </c>
      <c r="C61" s="37" t="s">
        <v>20</v>
      </c>
      <c r="D61" s="38" t="s">
        <v>2385</v>
      </c>
      <c r="E61" s="37" t="s">
        <v>392</v>
      </c>
      <c r="F61" s="37" t="s">
        <v>393</v>
      </c>
      <c r="G61" s="36">
        <v>654</v>
      </c>
      <c r="H61" s="36">
        <v>2022</v>
      </c>
      <c r="I61" s="56" t="s">
        <v>394</v>
      </c>
      <c r="J61" s="38" t="s">
        <v>395</v>
      </c>
      <c r="K61" s="37" t="s">
        <v>36</v>
      </c>
      <c r="L61" s="37" t="s">
        <v>27</v>
      </c>
      <c r="M61" s="37" t="s">
        <v>338</v>
      </c>
      <c r="N61" s="36">
        <v>19</v>
      </c>
      <c r="O61" s="37" t="s">
        <v>339</v>
      </c>
      <c r="P61" s="36">
        <v>1905</v>
      </c>
      <c r="Q61" s="37" t="s">
        <v>354</v>
      </c>
      <c r="R61" s="36" t="s">
        <v>366</v>
      </c>
      <c r="S61" s="37" t="s">
        <v>367</v>
      </c>
      <c r="T61" s="38" t="s">
        <v>368</v>
      </c>
      <c r="U61" s="37" t="s">
        <v>369</v>
      </c>
      <c r="V61" s="36" t="s">
        <v>375</v>
      </c>
      <c r="W61" s="37" t="s">
        <v>376</v>
      </c>
      <c r="X61" s="37" t="s">
        <v>2020</v>
      </c>
      <c r="Y61" s="56" t="s">
        <v>36</v>
      </c>
      <c r="Z61" s="64">
        <v>1</v>
      </c>
      <c r="AA61" s="36" t="s">
        <v>2185</v>
      </c>
      <c r="AB61" s="37" t="s">
        <v>2220</v>
      </c>
      <c r="AC61" s="56" t="s">
        <v>2227</v>
      </c>
      <c r="AD61" s="37" t="s">
        <v>348</v>
      </c>
      <c r="AE61" s="37" t="s">
        <v>2188</v>
      </c>
      <c r="AF61" s="38" t="s">
        <v>2187</v>
      </c>
      <c r="AG61" s="71">
        <v>0.25</v>
      </c>
      <c r="AH61" s="53">
        <v>0.25</v>
      </c>
      <c r="AI61" s="54">
        <v>0.25</v>
      </c>
      <c r="AJ61" s="55">
        <v>0.25</v>
      </c>
      <c r="AK61" s="46">
        <v>193760240</v>
      </c>
      <c r="AL61" s="47">
        <v>205095214.03999999</v>
      </c>
      <c r="AM61" s="48">
        <v>217093284.06</v>
      </c>
      <c r="AN61" s="49">
        <v>229793241.18000001</v>
      </c>
      <c r="AO61" s="50">
        <v>845741979.27999997</v>
      </c>
      <c r="AP61" s="37" t="s">
        <v>338</v>
      </c>
    </row>
    <row r="62" spans="1:42" customFormat="1" ht="84.95" customHeight="1" x14ac:dyDescent="0.25">
      <c r="A62" s="36">
        <v>61</v>
      </c>
      <c r="B62" s="37" t="s">
        <v>19</v>
      </c>
      <c r="C62" s="37" t="s">
        <v>20</v>
      </c>
      <c r="D62" s="38" t="s">
        <v>2385</v>
      </c>
      <c r="E62" s="37" t="s">
        <v>392</v>
      </c>
      <c r="F62" s="37" t="s">
        <v>393</v>
      </c>
      <c r="G62" s="36">
        <v>654</v>
      </c>
      <c r="H62" s="36">
        <v>2022</v>
      </c>
      <c r="I62" s="56" t="s">
        <v>394</v>
      </c>
      <c r="J62" s="38" t="s">
        <v>395</v>
      </c>
      <c r="K62" s="37" t="s">
        <v>36</v>
      </c>
      <c r="L62" s="37" t="s">
        <v>27</v>
      </c>
      <c r="M62" s="37" t="s">
        <v>338</v>
      </c>
      <c r="N62" s="36">
        <v>19</v>
      </c>
      <c r="O62" s="37" t="s">
        <v>339</v>
      </c>
      <c r="P62" s="36">
        <v>1905</v>
      </c>
      <c r="Q62" s="37" t="s">
        <v>354</v>
      </c>
      <c r="R62" s="36" t="s">
        <v>366</v>
      </c>
      <c r="S62" s="37" t="s">
        <v>367</v>
      </c>
      <c r="T62" s="38" t="s">
        <v>368</v>
      </c>
      <c r="U62" s="37" t="s">
        <v>369</v>
      </c>
      <c r="V62" s="36" t="s">
        <v>375</v>
      </c>
      <c r="W62" s="37" t="s">
        <v>376</v>
      </c>
      <c r="X62" s="37" t="s">
        <v>2353</v>
      </c>
      <c r="Y62" s="56" t="s">
        <v>36</v>
      </c>
      <c r="Z62" s="64">
        <v>1</v>
      </c>
      <c r="AA62" s="36" t="s">
        <v>2185</v>
      </c>
      <c r="AB62" s="37" t="s">
        <v>2220</v>
      </c>
      <c r="AC62" s="56" t="s">
        <v>2228</v>
      </c>
      <c r="AD62" s="37" t="s">
        <v>348</v>
      </c>
      <c r="AE62" s="37" t="s">
        <v>2188</v>
      </c>
      <c r="AF62" s="38" t="s">
        <v>2187</v>
      </c>
      <c r="AG62" s="71">
        <v>0.25</v>
      </c>
      <c r="AH62" s="53">
        <v>0.25</v>
      </c>
      <c r="AI62" s="54">
        <v>0.25</v>
      </c>
      <c r="AJ62" s="55">
        <v>0.25</v>
      </c>
      <c r="AK62" s="46">
        <v>424040000</v>
      </c>
      <c r="AL62" s="47">
        <v>448846340</v>
      </c>
      <c r="AM62" s="48">
        <v>475103850.88999999</v>
      </c>
      <c r="AN62" s="49">
        <v>502897426.17000002</v>
      </c>
      <c r="AO62" s="50">
        <v>1850887617.0599999</v>
      </c>
      <c r="AP62" s="37" t="s">
        <v>338</v>
      </c>
    </row>
    <row r="63" spans="1:42" customFormat="1" ht="84.95" customHeight="1" x14ac:dyDescent="0.25">
      <c r="A63" s="36">
        <v>62</v>
      </c>
      <c r="B63" s="37" t="s">
        <v>19</v>
      </c>
      <c r="C63" s="37" t="s">
        <v>20</v>
      </c>
      <c r="D63" s="38" t="s">
        <v>2385</v>
      </c>
      <c r="E63" s="37" t="s">
        <v>392</v>
      </c>
      <c r="F63" s="37" t="s">
        <v>393</v>
      </c>
      <c r="G63" s="36">
        <v>654</v>
      </c>
      <c r="H63" s="36">
        <v>2022</v>
      </c>
      <c r="I63" s="56" t="s">
        <v>394</v>
      </c>
      <c r="J63" s="38" t="s">
        <v>395</v>
      </c>
      <c r="K63" s="37" t="s">
        <v>36</v>
      </c>
      <c r="L63" s="37" t="s">
        <v>27</v>
      </c>
      <c r="M63" s="37" t="s">
        <v>338</v>
      </c>
      <c r="N63" s="36">
        <v>19</v>
      </c>
      <c r="O63" s="37" t="s">
        <v>339</v>
      </c>
      <c r="P63" s="36">
        <v>1905</v>
      </c>
      <c r="Q63" s="37" t="s">
        <v>354</v>
      </c>
      <c r="R63" s="36" t="s">
        <v>366</v>
      </c>
      <c r="S63" s="37" t="s">
        <v>367</v>
      </c>
      <c r="T63" s="38" t="s">
        <v>368</v>
      </c>
      <c r="U63" s="37" t="s">
        <v>369</v>
      </c>
      <c r="V63" s="36" t="s">
        <v>398</v>
      </c>
      <c r="W63" s="37" t="s">
        <v>399</v>
      </c>
      <c r="X63" s="37" t="s">
        <v>2354</v>
      </c>
      <c r="Y63" s="56" t="s">
        <v>36</v>
      </c>
      <c r="Z63" s="64">
        <v>1</v>
      </c>
      <c r="AA63" s="36" t="s">
        <v>2185</v>
      </c>
      <c r="AB63" s="37" t="s">
        <v>2220</v>
      </c>
      <c r="AC63" s="56" t="s">
        <v>2229</v>
      </c>
      <c r="AD63" s="37" t="s">
        <v>348</v>
      </c>
      <c r="AE63" s="37" t="s">
        <v>2188</v>
      </c>
      <c r="AF63" s="38" t="s">
        <v>2187</v>
      </c>
      <c r="AG63" s="71">
        <v>0.25</v>
      </c>
      <c r="AH63" s="53">
        <v>0.25</v>
      </c>
      <c r="AI63" s="54">
        <v>0.25</v>
      </c>
      <c r="AJ63" s="55">
        <v>0.25</v>
      </c>
      <c r="AK63" s="46">
        <v>356710000</v>
      </c>
      <c r="AL63" s="47">
        <v>377577535</v>
      </c>
      <c r="AM63" s="48">
        <v>399665820.80000001</v>
      </c>
      <c r="AN63" s="49">
        <v>423046271.31</v>
      </c>
      <c r="AO63" s="50">
        <v>1556999627.1099999</v>
      </c>
      <c r="AP63" s="37" t="s">
        <v>338</v>
      </c>
    </row>
    <row r="64" spans="1:42" customFormat="1" ht="89.25" x14ac:dyDescent="0.25">
      <c r="A64" s="36">
        <v>63</v>
      </c>
      <c r="B64" s="37" t="s">
        <v>19</v>
      </c>
      <c r="C64" s="37" t="s">
        <v>20</v>
      </c>
      <c r="D64" s="38" t="s">
        <v>2385</v>
      </c>
      <c r="E64" s="70" t="s">
        <v>400</v>
      </c>
      <c r="F64" s="70" t="s">
        <v>401</v>
      </c>
      <c r="G64" s="65">
        <v>0.42</v>
      </c>
      <c r="H64" s="36">
        <v>2023</v>
      </c>
      <c r="I64" s="56" t="s">
        <v>402</v>
      </c>
      <c r="J64" s="38" t="s">
        <v>403</v>
      </c>
      <c r="K64" s="37" t="s">
        <v>36</v>
      </c>
      <c r="L64" s="37" t="s">
        <v>27</v>
      </c>
      <c r="M64" s="37" t="s">
        <v>338</v>
      </c>
      <c r="N64" s="36">
        <v>19</v>
      </c>
      <c r="O64" s="37" t="s">
        <v>339</v>
      </c>
      <c r="P64" s="36" t="s">
        <v>404</v>
      </c>
      <c r="Q64" s="37" t="s">
        <v>405</v>
      </c>
      <c r="R64" s="36" t="s">
        <v>2397</v>
      </c>
      <c r="S64" s="38" t="s">
        <v>2398</v>
      </c>
      <c r="T64" s="38" t="s">
        <v>2399</v>
      </c>
      <c r="U64" s="38" t="s">
        <v>2400</v>
      </c>
      <c r="V64" s="36" t="s">
        <v>2401</v>
      </c>
      <c r="W64" s="38" t="s">
        <v>2402</v>
      </c>
      <c r="X64" s="37" t="s">
        <v>406</v>
      </c>
      <c r="Y64" s="37" t="s">
        <v>36</v>
      </c>
      <c r="Z64" s="36">
        <v>41</v>
      </c>
      <c r="AA64" s="36" t="s">
        <v>2192</v>
      </c>
      <c r="AB64" s="37" t="s">
        <v>2230</v>
      </c>
      <c r="AC64" s="37" t="s">
        <v>2187</v>
      </c>
      <c r="AD64" s="37" t="s">
        <v>348</v>
      </c>
      <c r="AE64" s="37" t="s">
        <v>2188</v>
      </c>
      <c r="AF64" s="38" t="s">
        <v>2187</v>
      </c>
      <c r="AG64" s="42">
        <v>41</v>
      </c>
      <c r="AH64" s="43">
        <v>41</v>
      </c>
      <c r="AI64" s="44">
        <v>41</v>
      </c>
      <c r="AJ64" s="45">
        <v>41</v>
      </c>
      <c r="AK64" s="46">
        <v>210760000</v>
      </c>
      <c r="AL64" s="47">
        <v>222984080</v>
      </c>
      <c r="AM64" s="48">
        <v>231568967.08000001</v>
      </c>
      <c r="AN64" s="49">
        <v>240484372.31</v>
      </c>
      <c r="AO64" s="50">
        <v>905797419.38999999</v>
      </c>
      <c r="AP64" s="37" t="s">
        <v>338</v>
      </c>
    </row>
    <row r="65" spans="1:42" customFormat="1" ht="75" customHeight="1" x14ac:dyDescent="0.25">
      <c r="A65" s="36">
        <v>64</v>
      </c>
      <c r="B65" s="37" t="s">
        <v>19</v>
      </c>
      <c r="C65" s="37" t="s">
        <v>20</v>
      </c>
      <c r="D65" s="38" t="s">
        <v>2385</v>
      </c>
      <c r="E65" s="70" t="s">
        <v>400</v>
      </c>
      <c r="F65" s="70" t="s">
        <v>401</v>
      </c>
      <c r="G65" s="65">
        <v>0.42</v>
      </c>
      <c r="H65" s="36">
        <v>2023</v>
      </c>
      <c r="I65" s="56" t="s">
        <v>402</v>
      </c>
      <c r="J65" s="38" t="s">
        <v>403</v>
      </c>
      <c r="K65" s="37" t="s">
        <v>36</v>
      </c>
      <c r="L65" s="37" t="s">
        <v>27</v>
      </c>
      <c r="M65" s="37" t="s">
        <v>338</v>
      </c>
      <c r="N65" s="36">
        <v>19</v>
      </c>
      <c r="O65" s="37" t="s">
        <v>339</v>
      </c>
      <c r="P65" s="36" t="s">
        <v>404</v>
      </c>
      <c r="Q65" s="37" t="s">
        <v>405</v>
      </c>
      <c r="R65" s="36">
        <v>1903047</v>
      </c>
      <c r="S65" s="37" t="s">
        <v>2117</v>
      </c>
      <c r="T65" s="38" t="s">
        <v>2362</v>
      </c>
      <c r="U65" s="37" t="s">
        <v>2118</v>
      </c>
      <c r="V65" s="36">
        <v>190304700</v>
      </c>
      <c r="W65" s="37" t="s">
        <v>2119</v>
      </c>
      <c r="X65" s="37" t="s">
        <v>2120</v>
      </c>
      <c r="Y65" s="37" t="s">
        <v>36</v>
      </c>
      <c r="Z65" s="36">
        <v>0</v>
      </c>
      <c r="AA65" s="36" t="s">
        <v>2185</v>
      </c>
      <c r="AB65" s="37" t="s">
        <v>2230</v>
      </c>
      <c r="AC65" s="37" t="s">
        <v>2187</v>
      </c>
      <c r="AD65" s="37" t="s">
        <v>348</v>
      </c>
      <c r="AE65" s="37" t="s">
        <v>2188</v>
      </c>
      <c r="AF65" s="38" t="s">
        <v>2187</v>
      </c>
      <c r="AG65" s="73">
        <v>0.1</v>
      </c>
      <c r="AH65" s="74">
        <v>0.25</v>
      </c>
      <c r="AI65" s="75">
        <v>0.25</v>
      </c>
      <c r="AJ65" s="76">
        <v>0.4</v>
      </c>
      <c r="AK65" s="46">
        <v>400000000</v>
      </c>
      <c r="AL65" s="47">
        <v>1700000000</v>
      </c>
      <c r="AM65" s="48">
        <v>1700000000</v>
      </c>
      <c r="AN65" s="49">
        <v>1700000000</v>
      </c>
      <c r="AO65" s="50">
        <v>5500000000</v>
      </c>
      <c r="AP65" s="37" t="s">
        <v>338</v>
      </c>
    </row>
    <row r="66" spans="1:42" customFormat="1" ht="89.25" x14ac:dyDescent="0.25">
      <c r="A66" s="36">
        <v>65</v>
      </c>
      <c r="B66" s="37" t="s">
        <v>19</v>
      </c>
      <c r="C66" s="37" t="s">
        <v>20</v>
      </c>
      <c r="D66" s="38" t="s">
        <v>2385</v>
      </c>
      <c r="E66" s="70" t="s">
        <v>400</v>
      </c>
      <c r="F66" s="70" t="s">
        <v>401</v>
      </c>
      <c r="G66" s="36">
        <v>0</v>
      </c>
      <c r="H66" s="36">
        <v>2023</v>
      </c>
      <c r="I66" s="56" t="s">
        <v>402</v>
      </c>
      <c r="J66" s="38" t="s">
        <v>403</v>
      </c>
      <c r="K66" s="37" t="s">
        <v>36</v>
      </c>
      <c r="L66" s="37" t="s">
        <v>27</v>
      </c>
      <c r="M66" s="37" t="s">
        <v>338</v>
      </c>
      <c r="N66" s="36">
        <v>19</v>
      </c>
      <c r="O66" s="37" t="s">
        <v>339</v>
      </c>
      <c r="P66" s="36" t="s">
        <v>404</v>
      </c>
      <c r="Q66" s="37" t="s">
        <v>405</v>
      </c>
      <c r="R66" s="36" t="s">
        <v>2397</v>
      </c>
      <c r="S66" s="38" t="s">
        <v>2398</v>
      </c>
      <c r="T66" s="38" t="s">
        <v>2399</v>
      </c>
      <c r="U66" s="38" t="s">
        <v>2400</v>
      </c>
      <c r="V66" s="36" t="s">
        <v>2401</v>
      </c>
      <c r="W66" s="38" t="s">
        <v>2402</v>
      </c>
      <c r="X66" s="37" t="s">
        <v>2021</v>
      </c>
      <c r="Y66" s="37" t="s">
        <v>36</v>
      </c>
      <c r="Z66" s="36">
        <v>41</v>
      </c>
      <c r="AA66" s="36" t="s">
        <v>2185</v>
      </c>
      <c r="AB66" s="37" t="s">
        <v>2230</v>
      </c>
      <c r="AC66" s="37" t="s">
        <v>2187</v>
      </c>
      <c r="AD66" s="37" t="s">
        <v>348</v>
      </c>
      <c r="AE66" s="37" t="s">
        <v>2188</v>
      </c>
      <c r="AF66" s="38" t="s">
        <v>2187</v>
      </c>
      <c r="AG66" s="42">
        <v>8</v>
      </c>
      <c r="AH66" s="43">
        <v>12</v>
      </c>
      <c r="AI66" s="44">
        <v>12</v>
      </c>
      <c r="AJ66" s="45">
        <v>9</v>
      </c>
      <c r="AK66" s="46">
        <v>179640000</v>
      </c>
      <c r="AL66" s="47">
        <v>190059120</v>
      </c>
      <c r="AM66" s="48">
        <v>197376396.12</v>
      </c>
      <c r="AN66" s="49">
        <v>204975387.37</v>
      </c>
      <c r="AO66" s="50">
        <v>772050903.49000001</v>
      </c>
      <c r="AP66" s="37" t="s">
        <v>338</v>
      </c>
    </row>
    <row r="67" spans="1:42" customFormat="1" ht="89.25" x14ac:dyDescent="0.25">
      <c r="A67" s="36">
        <v>66</v>
      </c>
      <c r="B67" s="37" t="s">
        <v>19</v>
      </c>
      <c r="C67" s="37" t="s">
        <v>20</v>
      </c>
      <c r="D67" s="38" t="s">
        <v>2385</v>
      </c>
      <c r="E67" s="70" t="s">
        <v>400</v>
      </c>
      <c r="F67" s="70" t="s">
        <v>401</v>
      </c>
      <c r="G67" s="36">
        <v>0</v>
      </c>
      <c r="H67" s="36">
        <v>2023</v>
      </c>
      <c r="I67" s="56" t="s">
        <v>402</v>
      </c>
      <c r="J67" s="38" t="s">
        <v>403</v>
      </c>
      <c r="K67" s="37" t="s">
        <v>36</v>
      </c>
      <c r="L67" s="37" t="s">
        <v>27</v>
      </c>
      <c r="M67" s="37" t="s">
        <v>338</v>
      </c>
      <c r="N67" s="36">
        <v>19</v>
      </c>
      <c r="O67" s="37" t="s">
        <v>339</v>
      </c>
      <c r="P67" s="36" t="s">
        <v>404</v>
      </c>
      <c r="Q67" s="37" t="s">
        <v>405</v>
      </c>
      <c r="R67" s="36" t="s">
        <v>2397</v>
      </c>
      <c r="S67" s="38" t="s">
        <v>2398</v>
      </c>
      <c r="T67" s="38" t="s">
        <v>2399</v>
      </c>
      <c r="U67" s="38" t="s">
        <v>2400</v>
      </c>
      <c r="V67" s="36" t="s">
        <v>2401</v>
      </c>
      <c r="W67" s="38" t="s">
        <v>2402</v>
      </c>
      <c r="X67" s="37" t="s">
        <v>409</v>
      </c>
      <c r="Y67" s="37" t="s">
        <v>36</v>
      </c>
      <c r="Z67" s="36">
        <v>41</v>
      </c>
      <c r="AA67" s="36" t="s">
        <v>2192</v>
      </c>
      <c r="AB67" s="37" t="s">
        <v>2230</v>
      </c>
      <c r="AC67" s="37" t="s">
        <v>2187</v>
      </c>
      <c r="AD67" s="37" t="s">
        <v>348</v>
      </c>
      <c r="AE67" s="37" t="s">
        <v>2188</v>
      </c>
      <c r="AF67" s="38" t="s">
        <v>2187</v>
      </c>
      <c r="AG67" s="42">
        <v>41</v>
      </c>
      <c r="AH67" s="43">
        <v>41</v>
      </c>
      <c r="AI67" s="44">
        <v>41</v>
      </c>
      <c r="AJ67" s="45">
        <v>41</v>
      </c>
      <c r="AK67" s="46">
        <v>45800000</v>
      </c>
      <c r="AL67" s="47">
        <v>48456400</v>
      </c>
      <c r="AM67" s="48">
        <v>50321971.399999999</v>
      </c>
      <c r="AN67" s="49">
        <v>52259367.299999997</v>
      </c>
      <c r="AO67" s="50">
        <v>196837738.69999999</v>
      </c>
      <c r="AP67" s="37" t="s">
        <v>338</v>
      </c>
    </row>
    <row r="68" spans="1:42" customFormat="1" ht="88.5" customHeight="1" x14ac:dyDescent="0.25">
      <c r="A68" s="36">
        <v>67</v>
      </c>
      <c r="B68" s="37" t="s">
        <v>19</v>
      </c>
      <c r="C68" s="37" t="s">
        <v>20</v>
      </c>
      <c r="D68" s="38" t="s">
        <v>2385</v>
      </c>
      <c r="E68" s="37" t="s">
        <v>410</v>
      </c>
      <c r="F68" s="70" t="s">
        <v>411</v>
      </c>
      <c r="G68" s="36">
        <v>7.15</v>
      </c>
      <c r="H68" s="36">
        <v>2022</v>
      </c>
      <c r="I68" s="37" t="s">
        <v>412</v>
      </c>
      <c r="J68" s="38" t="s">
        <v>413</v>
      </c>
      <c r="K68" s="37" t="s">
        <v>365</v>
      </c>
      <c r="L68" s="37" t="s">
        <v>27</v>
      </c>
      <c r="M68" s="37" t="s">
        <v>338</v>
      </c>
      <c r="N68" s="168" t="s">
        <v>526</v>
      </c>
      <c r="O68" s="95" t="s">
        <v>339</v>
      </c>
      <c r="P68" s="169" t="s">
        <v>353</v>
      </c>
      <c r="Q68" s="95" t="s">
        <v>2486</v>
      </c>
      <c r="R68" s="169" t="s">
        <v>2487</v>
      </c>
      <c r="S68" s="95" t="s">
        <v>2488</v>
      </c>
      <c r="T68" s="95" t="s">
        <v>2489</v>
      </c>
      <c r="U68" s="95" t="s">
        <v>358</v>
      </c>
      <c r="V68" s="169" t="s">
        <v>2490</v>
      </c>
      <c r="W68" s="95" t="s">
        <v>2491</v>
      </c>
      <c r="X68" s="37" t="s">
        <v>2022</v>
      </c>
      <c r="Y68" s="37" t="s">
        <v>36</v>
      </c>
      <c r="Z68" s="36">
        <v>1</v>
      </c>
      <c r="AA68" s="36" t="s">
        <v>2185</v>
      </c>
      <c r="AB68" s="37" t="s">
        <v>2220</v>
      </c>
      <c r="AC68" s="37" t="s">
        <v>2231</v>
      </c>
      <c r="AD68" s="37" t="s">
        <v>348</v>
      </c>
      <c r="AE68" s="37" t="s">
        <v>2188</v>
      </c>
      <c r="AF68" s="38" t="s">
        <v>2187</v>
      </c>
      <c r="AG68" s="71">
        <v>0.25</v>
      </c>
      <c r="AH68" s="53">
        <v>0.25</v>
      </c>
      <c r="AI68" s="54">
        <v>0.25</v>
      </c>
      <c r="AJ68" s="55">
        <v>0.25</v>
      </c>
      <c r="AK68" s="46">
        <v>243760240</v>
      </c>
      <c r="AL68" s="47">
        <v>258020214.03999999</v>
      </c>
      <c r="AM68" s="48">
        <v>273114396.56</v>
      </c>
      <c r="AN68" s="49">
        <v>289091588.75999999</v>
      </c>
      <c r="AO68" s="50">
        <v>1063986439.36</v>
      </c>
      <c r="AP68" s="37" t="s">
        <v>338</v>
      </c>
    </row>
    <row r="69" spans="1:42" customFormat="1" ht="89.25" x14ac:dyDescent="0.25">
      <c r="A69" s="36">
        <v>68</v>
      </c>
      <c r="B69" s="37" t="s">
        <v>19</v>
      </c>
      <c r="C69" s="37" t="s">
        <v>20</v>
      </c>
      <c r="D69" s="38" t="s">
        <v>2385</v>
      </c>
      <c r="E69" s="70" t="s">
        <v>414</v>
      </c>
      <c r="F69" s="70" t="s">
        <v>415</v>
      </c>
      <c r="G69" s="64">
        <v>28.1</v>
      </c>
      <c r="H69" s="64">
        <v>2023</v>
      </c>
      <c r="I69" s="70" t="s">
        <v>416</v>
      </c>
      <c r="J69" s="38" t="s">
        <v>417</v>
      </c>
      <c r="K69" s="37" t="s">
        <v>365</v>
      </c>
      <c r="L69" s="37" t="s">
        <v>27</v>
      </c>
      <c r="M69" s="37" t="s">
        <v>338</v>
      </c>
      <c r="N69" s="36">
        <v>19</v>
      </c>
      <c r="O69" s="37" t="s">
        <v>339</v>
      </c>
      <c r="P69" s="82" t="s">
        <v>340</v>
      </c>
      <c r="Q69" s="37" t="s">
        <v>341</v>
      </c>
      <c r="R69" s="36" t="s">
        <v>418</v>
      </c>
      <c r="S69" s="37" t="s">
        <v>419</v>
      </c>
      <c r="T69" s="38" t="s">
        <v>420</v>
      </c>
      <c r="U69" s="37" t="s">
        <v>421</v>
      </c>
      <c r="V69" s="36" t="s">
        <v>422</v>
      </c>
      <c r="W69" s="37" t="s">
        <v>423</v>
      </c>
      <c r="X69" s="37" t="s">
        <v>424</v>
      </c>
      <c r="Y69" s="37" t="s">
        <v>36</v>
      </c>
      <c r="Z69" s="36">
        <v>42</v>
      </c>
      <c r="AA69" s="36" t="s">
        <v>2192</v>
      </c>
      <c r="AB69" s="37"/>
      <c r="AC69" s="37"/>
      <c r="AD69" s="37" t="s">
        <v>348</v>
      </c>
      <c r="AE69" s="37" t="s">
        <v>2188</v>
      </c>
      <c r="AF69" s="38" t="s">
        <v>2187</v>
      </c>
      <c r="AG69" s="42">
        <v>42</v>
      </c>
      <c r="AH69" s="43">
        <v>42</v>
      </c>
      <c r="AI69" s="44">
        <v>42</v>
      </c>
      <c r="AJ69" s="45">
        <v>42</v>
      </c>
      <c r="AK69" s="46">
        <v>116000000</v>
      </c>
      <c r="AL69" s="47">
        <v>122507600</v>
      </c>
      <c r="AM69" s="48">
        <v>129380276</v>
      </c>
      <c r="AN69" s="49">
        <v>136638509</v>
      </c>
      <c r="AO69" s="50">
        <v>504526385</v>
      </c>
      <c r="AP69" s="37" t="s">
        <v>338</v>
      </c>
    </row>
    <row r="70" spans="1:42" customFormat="1" ht="75" customHeight="1" x14ac:dyDescent="0.25">
      <c r="A70" s="36">
        <v>69</v>
      </c>
      <c r="B70" s="37" t="s">
        <v>19</v>
      </c>
      <c r="C70" s="37" t="s">
        <v>20</v>
      </c>
      <c r="D70" s="38" t="s">
        <v>2385</v>
      </c>
      <c r="E70" s="70" t="s">
        <v>414</v>
      </c>
      <c r="F70" s="70" t="s">
        <v>415</v>
      </c>
      <c r="G70" s="64">
        <v>28.1</v>
      </c>
      <c r="H70" s="64">
        <v>2023</v>
      </c>
      <c r="I70" s="70" t="s">
        <v>416</v>
      </c>
      <c r="J70" s="38" t="s">
        <v>417</v>
      </c>
      <c r="K70" s="37" t="s">
        <v>365</v>
      </c>
      <c r="L70" s="37" t="s">
        <v>27</v>
      </c>
      <c r="M70" s="37" t="s">
        <v>338</v>
      </c>
      <c r="N70" s="36">
        <v>19</v>
      </c>
      <c r="O70" s="37" t="s">
        <v>339</v>
      </c>
      <c r="P70" s="36">
        <v>1905</v>
      </c>
      <c r="Q70" s="37" t="s">
        <v>354</v>
      </c>
      <c r="R70" s="36" t="s">
        <v>425</v>
      </c>
      <c r="S70" s="37" t="s">
        <v>426</v>
      </c>
      <c r="T70" s="38" t="s">
        <v>427</v>
      </c>
      <c r="U70" s="37" t="s">
        <v>428</v>
      </c>
      <c r="V70" s="36" t="s">
        <v>429</v>
      </c>
      <c r="W70" s="37" t="s">
        <v>426</v>
      </c>
      <c r="X70" s="37" t="s">
        <v>430</v>
      </c>
      <c r="Y70" s="37" t="s">
        <v>36</v>
      </c>
      <c r="Z70" s="36">
        <v>0</v>
      </c>
      <c r="AA70" s="36" t="s">
        <v>2185</v>
      </c>
      <c r="AB70" s="37"/>
      <c r="AC70" s="37"/>
      <c r="AD70" s="37" t="s">
        <v>348</v>
      </c>
      <c r="AE70" s="37" t="s">
        <v>2188</v>
      </c>
      <c r="AF70" s="38" t="s">
        <v>2187</v>
      </c>
      <c r="AG70" s="42">
        <v>0</v>
      </c>
      <c r="AH70" s="43">
        <v>0</v>
      </c>
      <c r="AI70" s="139">
        <v>0.5</v>
      </c>
      <c r="AJ70" s="140">
        <v>0.5</v>
      </c>
      <c r="AK70" s="46">
        <v>0</v>
      </c>
      <c r="AL70" s="47">
        <v>0</v>
      </c>
      <c r="AM70" s="48">
        <v>1500000000</v>
      </c>
      <c r="AN70" s="49">
        <v>1500000000</v>
      </c>
      <c r="AO70" s="50">
        <v>3000000000</v>
      </c>
      <c r="AP70" s="37" t="s">
        <v>338</v>
      </c>
    </row>
    <row r="71" spans="1:42" customFormat="1" ht="89.25" x14ac:dyDescent="0.25">
      <c r="A71" s="36">
        <v>70</v>
      </c>
      <c r="B71" s="37" t="s">
        <v>19</v>
      </c>
      <c r="C71" s="37" t="s">
        <v>20</v>
      </c>
      <c r="D71" s="38" t="s">
        <v>2385</v>
      </c>
      <c r="E71" s="70" t="s">
        <v>414</v>
      </c>
      <c r="F71" s="70" t="s">
        <v>415</v>
      </c>
      <c r="G71" s="64">
        <v>28.1</v>
      </c>
      <c r="H71" s="64">
        <v>2023</v>
      </c>
      <c r="I71" s="70" t="s">
        <v>416</v>
      </c>
      <c r="J71" s="38" t="s">
        <v>417</v>
      </c>
      <c r="K71" s="37" t="s">
        <v>365</v>
      </c>
      <c r="L71" s="37" t="s">
        <v>27</v>
      </c>
      <c r="M71" s="37" t="s">
        <v>338</v>
      </c>
      <c r="N71" s="36">
        <v>19</v>
      </c>
      <c r="O71" s="37" t="s">
        <v>339</v>
      </c>
      <c r="P71" s="36">
        <v>1905</v>
      </c>
      <c r="Q71" s="37" t="s">
        <v>354</v>
      </c>
      <c r="R71" s="36" t="s">
        <v>431</v>
      </c>
      <c r="S71" s="37" t="s">
        <v>432</v>
      </c>
      <c r="T71" s="38" t="s">
        <v>433</v>
      </c>
      <c r="U71" s="37" t="s">
        <v>203</v>
      </c>
      <c r="V71" s="36" t="s">
        <v>434</v>
      </c>
      <c r="W71" s="37" t="s">
        <v>435</v>
      </c>
      <c r="X71" s="37" t="s">
        <v>436</v>
      </c>
      <c r="Y71" s="37" t="s">
        <v>36</v>
      </c>
      <c r="Z71" s="36">
        <v>336</v>
      </c>
      <c r="AA71" s="36" t="s">
        <v>2192</v>
      </c>
      <c r="AB71" s="37"/>
      <c r="AC71" s="37"/>
      <c r="AD71" s="37" t="s">
        <v>348</v>
      </c>
      <c r="AE71" s="37" t="s">
        <v>2188</v>
      </c>
      <c r="AF71" s="38" t="s">
        <v>2187</v>
      </c>
      <c r="AG71" s="42">
        <v>336</v>
      </c>
      <c r="AH71" s="43">
        <v>336</v>
      </c>
      <c r="AI71" s="44">
        <v>336</v>
      </c>
      <c r="AJ71" s="45">
        <v>336</v>
      </c>
      <c r="AK71" s="46">
        <v>116000000</v>
      </c>
      <c r="AL71" s="47">
        <v>122507600</v>
      </c>
      <c r="AM71" s="48">
        <v>129380276</v>
      </c>
      <c r="AN71" s="49">
        <v>136638509</v>
      </c>
      <c r="AO71" s="50">
        <v>504526385</v>
      </c>
      <c r="AP71" s="37" t="s">
        <v>338</v>
      </c>
    </row>
    <row r="72" spans="1:42" customFormat="1" ht="87" customHeight="1" x14ac:dyDescent="0.25">
      <c r="A72" s="36">
        <v>71</v>
      </c>
      <c r="B72" s="37" t="s">
        <v>19</v>
      </c>
      <c r="C72" s="37" t="s">
        <v>20</v>
      </c>
      <c r="D72" s="38" t="s">
        <v>2385</v>
      </c>
      <c r="E72" s="37" t="s">
        <v>437</v>
      </c>
      <c r="F72" s="37" t="s">
        <v>438</v>
      </c>
      <c r="G72" s="77">
        <v>0.7</v>
      </c>
      <c r="H72" s="36">
        <v>2022</v>
      </c>
      <c r="I72" s="56" t="s">
        <v>439</v>
      </c>
      <c r="J72" s="38" t="s">
        <v>440</v>
      </c>
      <c r="K72" s="37" t="s">
        <v>365</v>
      </c>
      <c r="L72" s="37" t="s">
        <v>27</v>
      </c>
      <c r="M72" s="37" t="s">
        <v>338</v>
      </c>
      <c r="N72" s="36">
        <v>19</v>
      </c>
      <c r="O72" s="37" t="s">
        <v>339</v>
      </c>
      <c r="P72" s="36" t="s">
        <v>353</v>
      </c>
      <c r="Q72" s="37" t="s">
        <v>354</v>
      </c>
      <c r="R72" s="36" t="s">
        <v>441</v>
      </c>
      <c r="S72" s="37" t="s">
        <v>442</v>
      </c>
      <c r="T72" s="38" t="s">
        <v>443</v>
      </c>
      <c r="U72" s="37" t="s">
        <v>358</v>
      </c>
      <c r="V72" s="36" t="s">
        <v>444</v>
      </c>
      <c r="W72" s="37" t="s">
        <v>445</v>
      </c>
      <c r="X72" s="37" t="s">
        <v>2023</v>
      </c>
      <c r="Y72" s="37" t="s">
        <v>36</v>
      </c>
      <c r="Z72" s="36">
        <v>1</v>
      </c>
      <c r="AA72" s="36" t="s">
        <v>2185</v>
      </c>
      <c r="AB72" s="37" t="s">
        <v>2220</v>
      </c>
      <c r="AC72" s="37" t="s">
        <v>2232</v>
      </c>
      <c r="AD72" s="37" t="s">
        <v>348</v>
      </c>
      <c r="AE72" s="37" t="s">
        <v>2188</v>
      </c>
      <c r="AF72" s="38" t="s">
        <v>2187</v>
      </c>
      <c r="AG72" s="71">
        <v>0.25</v>
      </c>
      <c r="AH72" s="53">
        <v>0.25</v>
      </c>
      <c r="AI72" s="54">
        <v>0.25</v>
      </c>
      <c r="AJ72" s="55">
        <v>0.25</v>
      </c>
      <c r="AK72" s="46">
        <v>932766429</v>
      </c>
      <c r="AL72" s="47">
        <v>987333265.10000002</v>
      </c>
      <c r="AM72" s="48">
        <v>1045092261.1</v>
      </c>
      <c r="AN72" s="49">
        <v>1106230158.3800001</v>
      </c>
      <c r="AO72" s="50">
        <v>4071422113.5799999</v>
      </c>
      <c r="AP72" s="37" t="s">
        <v>338</v>
      </c>
    </row>
    <row r="73" spans="1:42" customFormat="1" ht="90" customHeight="1" x14ac:dyDescent="0.25">
      <c r="A73" s="36">
        <v>72</v>
      </c>
      <c r="B73" s="37" t="s">
        <v>19</v>
      </c>
      <c r="C73" s="37" t="s">
        <v>20</v>
      </c>
      <c r="D73" s="38" t="s">
        <v>2385</v>
      </c>
      <c r="E73" s="37" t="s">
        <v>446</v>
      </c>
      <c r="F73" s="37" t="s">
        <v>447</v>
      </c>
      <c r="G73" s="78">
        <v>0.08</v>
      </c>
      <c r="H73" s="36">
        <v>2022</v>
      </c>
      <c r="I73" s="56" t="s">
        <v>448</v>
      </c>
      <c r="J73" s="38" t="s">
        <v>449</v>
      </c>
      <c r="K73" s="37" t="s">
        <v>365</v>
      </c>
      <c r="L73" s="37" t="s">
        <v>27</v>
      </c>
      <c r="M73" s="37" t="s">
        <v>338</v>
      </c>
      <c r="N73" s="36">
        <v>19</v>
      </c>
      <c r="O73" s="37" t="s">
        <v>339</v>
      </c>
      <c r="P73" s="36" t="s">
        <v>353</v>
      </c>
      <c r="Q73" s="37" t="s">
        <v>354</v>
      </c>
      <c r="R73" s="36" t="s">
        <v>441</v>
      </c>
      <c r="S73" s="37" t="s">
        <v>442</v>
      </c>
      <c r="T73" s="38" t="s">
        <v>443</v>
      </c>
      <c r="U73" s="37" t="s">
        <v>358</v>
      </c>
      <c r="V73" s="36" t="s">
        <v>444</v>
      </c>
      <c r="W73" s="37" t="s">
        <v>445</v>
      </c>
      <c r="X73" s="37" t="s">
        <v>2024</v>
      </c>
      <c r="Y73" s="37" t="s">
        <v>36</v>
      </c>
      <c r="Z73" s="36">
        <v>1</v>
      </c>
      <c r="AA73" s="36" t="s">
        <v>2185</v>
      </c>
      <c r="AB73" s="37" t="s">
        <v>2220</v>
      </c>
      <c r="AC73" s="37" t="s">
        <v>2233</v>
      </c>
      <c r="AD73" s="37" t="s">
        <v>348</v>
      </c>
      <c r="AE73" s="37" t="s">
        <v>2188</v>
      </c>
      <c r="AF73" s="38" t="s">
        <v>2187</v>
      </c>
      <c r="AG73" s="71">
        <v>0.25</v>
      </c>
      <c r="AH73" s="53">
        <v>0.25</v>
      </c>
      <c r="AI73" s="54">
        <v>0.25</v>
      </c>
      <c r="AJ73" s="55">
        <v>0.25</v>
      </c>
      <c r="AK73" s="46">
        <v>141100842</v>
      </c>
      <c r="AL73" s="47">
        <v>149355241.25999999</v>
      </c>
      <c r="AM73" s="48">
        <v>158092522.87</v>
      </c>
      <c r="AN73" s="49">
        <v>167340935.46000001</v>
      </c>
      <c r="AO73" s="50">
        <v>615889541.59000003</v>
      </c>
      <c r="AP73" s="37" t="s">
        <v>338</v>
      </c>
    </row>
    <row r="74" spans="1:42" customFormat="1" ht="92.25" customHeight="1" x14ac:dyDescent="0.25">
      <c r="A74" s="36">
        <v>73</v>
      </c>
      <c r="B74" s="37" t="s">
        <v>19</v>
      </c>
      <c r="C74" s="37" t="s">
        <v>20</v>
      </c>
      <c r="D74" s="38" t="s">
        <v>2385</v>
      </c>
      <c r="E74" s="70" t="s">
        <v>453</v>
      </c>
      <c r="F74" s="70" t="s">
        <v>450</v>
      </c>
      <c r="G74" s="79">
        <v>194.48</v>
      </c>
      <c r="H74" s="36">
        <v>2023</v>
      </c>
      <c r="I74" s="37" t="s">
        <v>451</v>
      </c>
      <c r="J74" s="38" t="s">
        <v>452</v>
      </c>
      <c r="K74" s="37" t="s">
        <v>365</v>
      </c>
      <c r="L74" s="37" t="s">
        <v>27</v>
      </c>
      <c r="M74" s="37" t="s">
        <v>338</v>
      </c>
      <c r="N74" s="36">
        <v>19</v>
      </c>
      <c r="O74" s="37" t="s">
        <v>339</v>
      </c>
      <c r="P74" s="36">
        <v>1905</v>
      </c>
      <c r="Q74" s="37" t="s">
        <v>354</v>
      </c>
      <c r="R74" s="36" t="s">
        <v>407</v>
      </c>
      <c r="S74" s="37" t="s">
        <v>408</v>
      </c>
      <c r="T74" s="38" t="s">
        <v>455</v>
      </c>
      <c r="U74" s="37" t="s">
        <v>358</v>
      </c>
      <c r="V74" s="36" t="s">
        <v>463</v>
      </c>
      <c r="W74" s="37" t="s">
        <v>2107</v>
      </c>
      <c r="X74" s="37" t="s">
        <v>2028</v>
      </c>
      <c r="Y74" s="37" t="s">
        <v>36</v>
      </c>
      <c r="Z74" s="36">
        <v>1</v>
      </c>
      <c r="AA74" s="36" t="s">
        <v>2192</v>
      </c>
      <c r="AB74" s="37" t="s">
        <v>2230</v>
      </c>
      <c r="AC74" s="37" t="s">
        <v>2187</v>
      </c>
      <c r="AD74" s="37" t="s">
        <v>348</v>
      </c>
      <c r="AE74" s="37" t="s">
        <v>2188</v>
      </c>
      <c r="AF74" s="38" t="s">
        <v>2187</v>
      </c>
      <c r="AG74" s="42">
        <v>1</v>
      </c>
      <c r="AH74" s="43">
        <v>1</v>
      </c>
      <c r="AI74" s="44">
        <v>1</v>
      </c>
      <c r="AJ74" s="45">
        <v>1</v>
      </c>
      <c r="AK74" s="46">
        <v>78000000</v>
      </c>
      <c r="AL74" s="47">
        <v>82524000</v>
      </c>
      <c r="AM74" s="48">
        <v>85701174</v>
      </c>
      <c r="AN74" s="49">
        <v>89000669.200000003</v>
      </c>
      <c r="AO74" s="50">
        <v>335225843.19999999</v>
      </c>
      <c r="AP74" s="37" t="s">
        <v>338</v>
      </c>
    </row>
    <row r="75" spans="1:42" customFormat="1" ht="44.25" customHeight="1" x14ac:dyDescent="0.25">
      <c r="A75" s="36">
        <v>74</v>
      </c>
      <c r="B75" s="37" t="s">
        <v>19</v>
      </c>
      <c r="C75" s="37" t="s">
        <v>20</v>
      </c>
      <c r="D75" s="38" t="s">
        <v>2385</v>
      </c>
      <c r="E75" s="70" t="s">
        <v>453</v>
      </c>
      <c r="F75" s="70" t="s">
        <v>450</v>
      </c>
      <c r="G75" s="79">
        <v>194.48</v>
      </c>
      <c r="H75" s="36">
        <v>2023</v>
      </c>
      <c r="I75" s="37" t="s">
        <v>451</v>
      </c>
      <c r="J75" s="38" t="s">
        <v>452</v>
      </c>
      <c r="K75" s="37" t="s">
        <v>365</v>
      </c>
      <c r="L75" s="37" t="s">
        <v>27</v>
      </c>
      <c r="M75" s="37" t="s">
        <v>338</v>
      </c>
      <c r="N75" s="36">
        <v>19</v>
      </c>
      <c r="O75" s="37" t="s">
        <v>339</v>
      </c>
      <c r="P75" s="36" t="s">
        <v>404</v>
      </c>
      <c r="Q75" s="37" t="s">
        <v>405</v>
      </c>
      <c r="R75" s="36" t="s">
        <v>2397</v>
      </c>
      <c r="S75" s="38" t="s">
        <v>2398</v>
      </c>
      <c r="T75" s="38" t="s">
        <v>2399</v>
      </c>
      <c r="U75" s="38" t="s">
        <v>2400</v>
      </c>
      <c r="V75" s="36" t="s">
        <v>2401</v>
      </c>
      <c r="W75" s="38" t="s">
        <v>2402</v>
      </c>
      <c r="X75" s="37" t="s">
        <v>2029</v>
      </c>
      <c r="Y75" s="37" t="s">
        <v>36</v>
      </c>
      <c r="Z75" s="36">
        <v>34</v>
      </c>
      <c r="AA75" s="36" t="s">
        <v>2192</v>
      </c>
      <c r="AB75" s="37" t="s">
        <v>2230</v>
      </c>
      <c r="AC75" s="37" t="s">
        <v>2187</v>
      </c>
      <c r="AD75" s="37" t="s">
        <v>348</v>
      </c>
      <c r="AE75" s="37" t="s">
        <v>2188</v>
      </c>
      <c r="AF75" s="38" t="s">
        <v>2187</v>
      </c>
      <c r="AG75" s="42">
        <v>34</v>
      </c>
      <c r="AH75" s="43">
        <v>34</v>
      </c>
      <c r="AI75" s="44">
        <v>34</v>
      </c>
      <c r="AJ75" s="45">
        <v>34</v>
      </c>
      <c r="AK75" s="46">
        <v>1268787954</v>
      </c>
      <c r="AL75" s="47">
        <v>1340637312</v>
      </c>
      <c r="AM75" s="48">
        <v>1366195087.8900001</v>
      </c>
      <c r="AN75" s="49">
        <v>1372595262.55</v>
      </c>
      <c r="AO75" s="50">
        <v>5348215616.4399996</v>
      </c>
      <c r="AP75" s="37" t="s">
        <v>338</v>
      </c>
    </row>
    <row r="76" spans="1:42" customFormat="1" ht="91.5" customHeight="1" x14ac:dyDescent="0.25">
      <c r="A76" s="36">
        <v>75</v>
      </c>
      <c r="B76" s="37" t="s">
        <v>19</v>
      </c>
      <c r="C76" s="37" t="s">
        <v>20</v>
      </c>
      <c r="D76" s="38" t="s">
        <v>2385</v>
      </c>
      <c r="E76" s="37" t="s">
        <v>453</v>
      </c>
      <c r="F76" s="70" t="s">
        <v>450</v>
      </c>
      <c r="G76" s="79">
        <v>194.48</v>
      </c>
      <c r="H76" s="36">
        <v>2023</v>
      </c>
      <c r="I76" s="37" t="s">
        <v>454</v>
      </c>
      <c r="J76" s="38" t="s">
        <v>452</v>
      </c>
      <c r="K76" s="37" t="s">
        <v>365</v>
      </c>
      <c r="L76" s="37" t="s">
        <v>27</v>
      </c>
      <c r="M76" s="37" t="s">
        <v>338</v>
      </c>
      <c r="N76" s="36">
        <v>19</v>
      </c>
      <c r="O76" s="37" t="s">
        <v>339</v>
      </c>
      <c r="P76" s="36">
        <v>1905</v>
      </c>
      <c r="Q76" s="37" t="s">
        <v>354</v>
      </c>
      <c r="R76" s="36">
        <v>1905043</v>
      </c>
      <c r="S76" s="37" t="s">
        <v>408</v>
      </c>
      <c r="T76" s="38" t="s">
        <v>455</v>
      </c>
      <c r="U76" s="37" t="s">
        <v>358</v>
      </c>
      <c r="V76" s="36">
        <v>190504300</v>
      </c>
      <c r="W76" s="37" t="s">
        <v>456</v>
      </c>
      <c r="X76" s="37" t="s">
        <v>2030</v>
      </c>
      <c r="Y76" s="37" t="s">
        <v>36</v>
      </c>
      <c r="Z76" s="36">
        <v>24</v>
      </c>
      <c r="AA76" s="36" t="s">
        <v>2192</v>
      </c>
      <c r="AB76" s="37" t="s">
        <v>2230</v>
      </c>
      <c r="AC76" s="37" t="s">
        <v>2187</v>
      </c>
      <c r="AD76" s="37" t="s">
        <v>348</v>
      </c>
      <c r="AE76" s="37" t="s">
        <v>2188</v>
      </c>
      <c r="AF76" s="38" t="s">
        <v>2187</v>
      </c>
      <c r="AG76" s="42">
        <v>24</v>
      </c>
      <c r="AH76" s="43">
        <v>24</v>
      </c>
      <c r="AI76" s="44">
        <v>24</v>
      </c>
      <c r="AJ76" s="45">
        <v>24</v>
      </c>
      <c r="AK76" s="46">
        <v>250400000</v>
      </c>
      <c r="AL76" s="47">
        <v>264923200</v>
      </c>
      <c r="AM76" s="48">
        <v>279011762.19999999</v>
      </c>
      <c r="AN76" s="49">
        <v>285714968.81</v>
      </c>
      <c r="AO76" s="50">
        <v>1080049931.01</v>
      </c>
      <c r="AP76" s="37" t="s">
        <v>338</v>
      </c>
    </row>
    <row r="77" spans="1:42" customFormat="1" ht="90.75" customHeight="1" x14ac:dyDescent="0.25">
      <c r="A77" s="36">
        <v>76</v>
      </c>
      <c r="B77" s="37" t="s">
        <v>19</v>
      </c>
      <c r="C77" s="37" t="s">
        <v>20</v>
      </c>
      <c r="D77" s="38" t="s">
        <v>2385</v>
      </c>
      <c r="E77" s="37" t="s">
        <v>457</v>
      </c>
      <c r="F77" s="70" t="s">
        <v>458</v>
      </c>
      <c r="G77" s="36">
        <v>240</v>
      </c>
      <c r="H77" s="36">
        <v>2023</v>
      </c>
      <c r="I77" s="37" t="s">
        <v>454</v>
      </c>
      <c r="J77" s="38" t="s">
        <v>459</v>
      </c>
      <c r="K77" s="37" t="s">
        <v>365</v>
      </c>
      <c r="L77" s="37" t="s">
        <v>27</v>
      </c>
      <c r="M77" s="37" t="s">
        <v>338</v>
      </c>
      <c r="N77" s="36">
        <v>19</v>
      </c>
      <c r="O77" s="37" t="s">
        <v>339</v>
      </c>
      <c r="P77" s="36">
        <v>1905</v>
      </c>
      <c r="Q77" s="37" t="s">
        <v>354</v>
      </c>
      <c r="R77" s="36" t="s">
        <v>366</v>
      </c>
      <c r="S77" s="37" t="s">
        <v>367</v>
      </c>
      <c r="T77" s="38" t="s">
        <v>368</v>
      </c>
      <c r="U77" s="37" t="s">
        <v>369</v>
      </c>
      <c r="V77" s="36" t="s">
        <v>460</v>
      </c>
      <c r="W77" s="37" t="s">
        <v>461</v>
      </c>
      <c r="X77" s="37" t="s">
        <v>2031</v>
      </c>
      <c r="Y77" s="37" t="s">
        <v>36</v>
      </c>
      <c r="Z77" s="36">
        <v>1</v>
      </c>
      <c r="AA77" s="36" t="s">
        <v>2192</v>
      </c>
      <c r="AB77" s="37" t="s">
        <v>2230</v>
      </c>
      <c r="AC77" s="37" t="s">
        <v>2187</v>
      </c>
      <c r="AD77" s="37" t="s">
        <v>348</v>
      </c>
      <c r="AE77" s="37" t="s">
        <v>2188</v>
      </c>
      <c r="AF77" s="38" t="s">
        <v>2187</v>
      </c>
      <c r="AG77" s="42">
        <v>1</v>
      </c>
      <c r="AH77" s="43">
        <v>1</v>
      </c>
      <c r="AI77" s="44">
        <v>1</v>
      </c>
      <c r="AJ77" s="45">
        <v>1</v>
      </c>
      <c r="AK77" s="46">
        <v>32500000</v>
      </c>
      <c r="AL77" s="47">
        <v>34385000</v>
      </c>
      <c r="AM77" s="48">
        <v>35708822.5</v>
      </c>
      <c r="AN77" s="49">
        <v>64251629.170000002</v>
      </c>
      <c r="AO77" s="50">
        <v>166845451.66999999</v>
      </c>
      <c r="AP77" s="37" t="s">
        <v>338</v>
      </c>
    </row>
    <row r="78" spans="1:42" customFormat="1" ht="87.75" customHeight="1" x14ac:dyDescent="0.25">
      <c r="A78" s="36">
        <v>77</v>
      </c>
      <c r="B78" s="37" t="s">
        <v>19</v>
      </c>
      <c r="C78" s="37" t="s">
        <v>20</v>
      </c>
      <c r="D78" s="38" t="s">
        <v>2385</v>
      </c>
      <c r="E78" s="37" t="s">
        <v>457</v>
      </c>
      <c r="F78" s="70" t="s">
        <v>458</v>
      </c>
      <c r="G78" s="36">
        <v>240</v>
      </c>
      <c r="H78" s="36">
        <v>2023</v>
      </c>
      <c r="I78" s="37" t="s">
        <v>454</v>
      </c>
      <c r="J78" s="38" t="s">
        <v>459</v>
      </c>
      <c r="K78" s="37" t="s">
        <v>365</v>
      </c>
      <c r="L78" s="37" t="s">
        <v>27</v>
      </c>
      <c r="M78" s="37" t="s">
        <v>338</v>
      </c>
      <c r="N78" s="36">
        <v>19</v>
      </c>
      <c r="O78" s="37" t="s">
        <v>339</v>
      </c>
      <c r="P78" s="36">
        <v>1905</v>
      </c>
      <c r="Q78" s="37" t="s">
        <v>354</v>
      </c>
      <c r="R78" s="36" t="s">
        <v>407</v>
      </c>
      <c r="S78" s="37" t="s">
        <v>462</v>
      </c>
      <c r="T78" s="38" t="s">
        <v>455</v>
      </c>
      <c r="U78" s="37" t="s">
        <v>358</v>
      </c>
      <c r="V78" s="36" t="s">
        <v>463</v>
      </c>
      <c r="W78" s="37" t="s">
        <v>464</v>
      </c>
      <c r="X78" s="37" t="s">
        <v>1986</v>
      </c>
      <c r="Y78" s="37" t="s">
        <v>36</v>
      </c>
      <c r="Z78" s="36">
        <v>31000</v>
      </c>
      <c r="AA78" s="36" t="s">
        <v>2185</v>
      </c>
      <c r="AB78" s="37" t="s">
        <v>2230</v>
      </c>
      <c r="AC78" s="37" t="s">
        <v>2187</v>
      </c>
      <c r="AD78" s="37" t="s">
        <v>348</v>
      </c>
      <c r="AE78" s="37" t="s">
        <v>2188</v>
      </c>
      <c r="AF78" s="38" t="s">
        <v>2187</v>
      </c>
      <c r="AG78" s="42">
        <v>1000</v>
      </c>
      <c r="AH78" s="43">
        <v>5000</v>
      </c>
      <c r="AI78" s="44">
        <v>5000</v>
      </c>
      <c r="AJ78" s="45">
        <v>4000</v>
      </c>
      <c r="AK78" s="46">
        <v>51200000</v>
      </c>
      <c r="AL78" s="47">
        <v>54169600</v>
      </c>
      <c r="AM78" s="48">
        <v>56255130.799999997</v>
      </c>
      <c r="AN78" s="49">
        <v>58420952.090000004</v>
      </c>
      <c r="AO78" s="50">
        <v>220045682.88999999</v>
      </c>
      <c r="AP78" s="37" t="s">
        <v>338</v>
      </c>
    </row>
    <row r="79" spans="1:42" customFormat="1" ht="50.25" customHeight="1" x14ac:dyDescent="0.25">
      <c r="A79" s="36">
        <v>78</v>
      </c>
      <c r="B79" s="37" t="s">
        <v>328</v>
      </c>
      <c r="C79" s="37" t="s">
        <v>465</v>
      </c>
      <c r="D79" s="38" t="s">
        <v>2384</v>
      </c>
      <c r="E79" s="80" t="s">
        <v>466</v>
      </c>
      <c r="F79" s="80" t="s">
        <v>467</v>
      </c>
      <c r="G79" s="36">
        <v>80</v>
      </c>
      <c r="H79" s="36">
        <v>2022</v>
      </c>
      <c r="I79" s="37" t="s">
        <v>468</v>
      </c>
      <c r="J79" s="38" t="s">
        <v>469</v>
      </c>
      <c r="K79" s="37" t="s">
        <v>36</v>
      </c>
      <c r="L79" s="37"/>
      <c r="M79" s="37" t="s">
        <v>470</v>
      </c>
      <c r="N79" s="36">
        <v>19</v>
      </c>
      <c r="O79" s="37" t="s">
        <v>339</v>
      </c>
      <c r="P79" s="36" t="s">
        <v>353</v>
      </c>
      <c r="Q79" s="37" t="s">
        <v>354</v>
      </c>
      <c r="R79" s="36" t="s">
        <v>471</v>
      </c>
      <c r="S79" s="37" t="s">
        <v>472</v>
      </c>
      <c r="T79" s="38" t="s">
        <v>473</v>
      </c>
      <c r="U79" s="37" t="s">
        <v>474</v>
      </c>
      <c r="V79" s="36">
        <v>190504600</v>
      </c>
      <c r="W79" s="37" t="s">
        <v>2032</v>
      </c>
      <c r="X79" s="37" t="s">
        <v>2033</v>
      </c>
      <c r="Y79" s="37" t="s">
        <v>36</v>
      </c>
      <c r="Z79" s="36">
        <v>0</v>
      </c>
      <c r="AA79" s="36" t="s">
        <v>2185</v>
      </c>
      <c r="AB79" s="37"/>
      <c r="AC79" s="37"/>
      <c r="AD79" s="37"/>
      <c r="AE79" s="37" t="s">
        <v>2188</v>
      </c>
      <c r="AF79" s="38" t="s">
        <v>2187</v>
      </c>
      <c r="AG79" s="42">
        <v>0</v>
      </c>
      <c r="AH79" s="138">
        <v>0.5</v>
      </c>
      <c r="AI79" s="44">
        <v>0</v>
      </c>
      <c r="AJ79" s="140">
        <v>0.5</v>
      </c>
      <c r="AK79" s="46">
        <v>0</v>
      </c>
      <c r="AL79" s="47">
        <v>15000000000</v>
      </c>
      <c r="AM79" s="48">
        <v>0</v>
      </c>
      <c r="AN79" s="49">
        <v>15000000000</v>
      </c>
      <c r="AO79" s="50">
        <v>30000000000</v>
      </c>
      <c r="AP79" s="37" t="s">
        <v>338</v>
      </c>
    </row>
    <row r="80" spans="1:42" customFormat="1" ht="48" customHeight="1" x14ac:dyDescent="0.25">
      <c r="A80" s="36">
        <v>79</v>
      </c>
      <c r="B80" s="37" t="s">
        <v>328</v>
      </c>
      <c r="C80" s="37" t="s">
        <v>465</v>
      </c>
      <c r="D80" s="38" t="s">
        <v>2384</v>
      </c>
      <c r="E80" s="80" t="s">
        <v>466</v>
      </c>
      <c r="F80" s="80" t="s">
        <v>467</v>
      </c>
      <c r="G80" s="36">
        <v>80</v>
      </c>
      <c r="H80" s="36">
        <v>2022</v>
      </c>
      <c r="I80" s="37" t="s">
        <v>468</v>
      </c>
      <c r="J80" s="38" t="s">
        <v>469</v>
      </c>
      <c r="K80" s="37" t="s">
        <v>36</v>
      </c>
      <c r="L80" s="37"/>
      <c r="M80" s="37" t="s">
        <v>470</v>
      </c>
      <c r="N80" s="36">
        <v>19</v>
      </c>
      <c r="O80" s="37" t="s">
        <v>339</v>
      </c>
      <c r="P80" s="36" t="s">
        <v>353</v>
      </c>
      <c r="Q80" s="37" t="s">
        <v>354</v>
      </c>
      <c r="R80" s="36" t="s">
        <v>471</v>
      </c>
      <c r="S80" s="37" t="s">
        <v>472</v>
      </c>
      <c r="T80" s="38" t="s">
        <v>473</v>
      </c>
      <c r="U80" s="37" t="s">
        <v>474</v>
      </c>
      <c r="V80" s="36">
        <v>190504601</v>
      </c>
      <c r="W80" s="37" t="s">
        <v>475</v>
      </c>
      <c r="X80" s="37" t="s">
        <v>476</v>
      </c>
      <c r="Y80" s="37" t="s">
        <v>36</v>
      </c>
      <c r="Z80" s="36">
        <v>1</v>
      </c>
      <c r="AA80" s="36" t="s">
        <v>2185</v>
      </c>
      <c r="AB80" s="37"/>
      <c r="AC80" s="37"/>
      <c r="AD80" s="37" t="s">
        <v>348</v>
      </c>
      <c r="AE80" s="37" t="s">
        <v>2188</v>
      </c>
      <c r="AF80" s="38" t="s">
        <v>2187</v>
      </c>
      <c r="AG80" s="42">
        <v>0</v>
      </c>
      <c r="AH80" s="43">
        <v>0</v>
      </c>
      <c r="AI80" s="44">
        <v>0</v>
      </c>
      <c r="AJ80" s="45">
        <v>1</v>
      </c>
      <c r="AK80" s="46">
        <v>0</v>
      </c>
      <c r="AL80" s="47">
        <v>0</v>
      </c>
      <c r="AM80" s="48">
        <v>0</v>
      </c>
      <c r="AN80" s="49">
        <v>10000000</v>
      </c>
      <c r="AO80" s="50">
        <v>10000000</v>
      </c>
      <c r="AP80" s="37" t="s">
        <v>338</v>
      </c>
    </row>
    <row r="81" spans="1:42" customFormat="1" ht="84" customHeight="1" x14ac:dyDescent="0.25">
      <c r="A81" s="36">
        <v>80</v>
      </c>
      <c r="B81" s="37" t="s">
        <v>328</v>
      </c>
      <c r="C81" s="37" t="s">
        <v>465</v>
      </c>
      <c r="D81" s="38" t="s">
        <v>2384</v>
      </c>
      <c r="E81" s="80" t="s">
        <v>466</v>
      </c>
      <c r="F81" s="80" t="s">
        <v>467</v>
      </c>
      <c r="G81" s="36">
        <v>80</v>
      </c>
      <c r="H81" s="36">
        <v>2022</v>
      </c>
      <c r="I81" s="37" t="s">
        <v>468</v>
      </c>
      <c r="J81" s="38" t="s">
        <v>469</v>
      </c>
      <c r="K81" s="37" t="s">
        <v>36</v>
      </c>
      <c r="L81" s="37"/>
      <c r="M81" s="37" t="s">
        <v>470</v>
      </c>
      <c r="N81" s="36">
        <v>19</v>
      </c>
      <c r="O81" s="37" t="s">
        <v>339</v>
      </c>
      <c r="P81" s="36" t="s">
        <v>353</v>
      </c>
      <c r="Q81" s="37" t="s">
        <v>354</v>
      </c>
      <c r="R81" s="36" t="s">
        <v>477</v>
      </c>
      <c r="S81" s="37" t="s">
        <v>478</v>
      </c>
      <c r="T81" s="38" t="s">
        <v>479</v>
      </c>
      <c r="U81" s="37" t="s">
        <v>474</v>
      </c>
      <c r="V81" s="36" t="s">
        <v>480</v>
      </c>
      <c r="W81" s="37" t="s">
        <v>481</v>
      </c>
      <c r="X81" s="37" t="s">
        <v>482</v>
      </c>
      <c r="Y81" s="37" t="s">
        <v>36</v>
      </c>
      <c r="Z81" s="36">
        <v>0</v>
      </c>
      <c r="AA81" s="36" t="s">
        <v>2185</v>
      </c>
      <c r="AB81" s="37"/>
      <c r="AC81" s="37"/>
      <c r="AD81" s="37" t="s">
        <v>348</v>
      </c>
      <c r="AE81" s="37" t="s">
        <v>2188</v>
      </c>
      <c r="AF81" s="38" t="s">
        <v>2187</v>
      </c>
      <c r="AG81" s="42">
        <v>1</v>
      </c>
      <c r="AH81" s="43">
        <v>0</v>
      </c>
      <c r="AI81" s="44">
        <v>0</v>
      </c>
      <c r="AJ81" s="45">
        <v>0</v>
      </c>
      <c r="AK81" s="46">
        <v>1000000000</v>
      </c>
      <c r="AL81" s="47">
        <v>0</v>
      </c>
      <c r="AM81" s="48">
        <v>0</v>
      </c>
      <c r="AN81" s="49">
        <v>0</v>
      </c>
      <c r="AO81" s="50">
        <v>1000000000</v>
      </c>
      <c r="AP81" s="37" t="s">
        <v>338</v>
      </c>
    </row>
    <row r="82" spans="1:42" customFormat="1" ht="63.75" x14ac:dyDescent="0.25">
      <c r="A82" s="36">
        <v>81</v>
      </c>
      <c r="B82" s="37" t="s">
        <v>328</v>
      </c>
      <c r="C82" s="37" t="s">
        <v>465</v>
      </c>
      <c r="D82" s="38" t="s">
        <v>2384</v>
      </c>
      <c r="E82" s="80" t="s">
        <v>466</v>
      </c>
      <c r="F82" s="80" t="s">
        <v>467</v>
      </c>
      <c r="G82" s="36">
        <v>80</v>
      </c>
      <c r="H82" s="36">
        <v>2022</v>
      </c>
      <c r="I82" s="37" t="s">
        <v>468</v>
      </c>
      <c r="J82" s="38" t="s">
        <v>469</v>
      </c>
      <c r="K82" s="37" t="s">
        <v>36</v>
      </c>
      <c r="L82" s="70"/>
      <c r="M82" s="37" t="s">
        <v>470</v>
      </c>
      <c r="N82" s="36">
        <v>19</v>
      </c>
      <c r="O82" s="37" t="s">
        <v>339</v>
      </c>
      <c r="P82" s="36" t="s">
        <v>404</v>
      </c>
      <c r="Q82" s="37" t="s">
        <v>405</v>
      </c>
      <c r="R82" s="36" t="s">
        <v>483</v>
      </c>
      <c r="S82" s="37" t="s">
        <v>484</v>
      </c>
      <c r="T82" s="38" t="s">
        <v>485</v>
      </c>
      <c r="U82" s="37" t="s">
        <v>486</v>
      </c>
      <c r="V82" s="36" t="s">
        <v>487</v>
      </c>
      <c r="W82" s="37" t="s">
        <v>488</v>
      </c>
      <c r="X82" s="37" t="s">
        <v>489</v>
      </c>
      <c r="Y82" s="37" t="s">
        <v>36</v>
      </c>
      <c r="Z82" s="36">
        <v>438</v>
      </c>
      <c r="AA82" s="36" t="s">
        <v>2185</v>
      </c>
      <c r="AB82" s="37"/>
      <c r="AC82" s="37"/>
      <c r="AD82" s="37" t="s">
        <v>348</v>
      </c>
      <c r="AE82" s="37" t="s">
        <v>2188</v>
      </c>
      <c r="AF82" s="38" t="s">
        <v>2187</v>
      </c>
      <c r="AG82" s="42">
        <v>100</v>
      </c>
      <c r="AH82" s="43">
        <v>600</v>
      </c>
      <c r="AI82" s="44">
        <v>600</v>
      </c>
      <c r="AJ82" s="45">
        <v>300</v>
      </c>
      <c r="AK82" s="46">
        <v>675000000</v>
      </c>
      <c r="AL82" s="47">
        <v>675000000</v>
      </c>
      <c r="AM82" s="48">
        <v>675000000</v>
      </c>
      <c r="AN82" s="49">
        <v>675000000</v>
      </c>
      <c r="AO82" s="50">
        <v>2700000000</v>
      </c>
      <c r="AP82" s="37" t="s">
        <v>338</v>
      </c>
    </row>
    <row r="83" spans="1:42" customFormat="1" ht="63.75" x14ac:dyDescent="0.25">
      <c r="A83" s="36">
        <v>82</v>
      </c>
      <c r="B83" s="37" t="s">
        <v>328</v>
      </c>
      <c r="C83" s="37" t="s">
        <v>465</v>
      </c>
      <c r="D83" s="38" t="s">
        <v>2384</v>
      </c>
      <c r="E83" s="80" t="s">
        <v>466</v>
      </c>
      <c r="F83" s="80" t="s">
        <v>467</v>
      </c>
      <c r="G83" s="36">
        <v>80</v>
      </c>
      <c r="H83" s="36">
        <v>2022</v>
      </c>
      <c r="I83" s="37" t="s">
        <v>468</v>
      </c>
      <c r="J83" s="38" t="s">
        <v>469</v>
      </c>
      <c r="K83" s="37" t="s">
        <v>36</v>
      </c>
      <c r="L83" s="70"/>
      <c r="M83" s="37" t="s">
        <v>470</v>
      </c>
      <c r="N83" s="36">
        <v>19</v>
      </c>
      <c r="O83" s="37" t="s">
        <v>339</v>
      </c>
      <c r="P83" s="36" t="s">
        <v>404</v>
      </c>
      <c r="Q83" s="37" t="s">
        <v>405</v>
      </c>
      <c r="R83" s="36" t="s">
        <v>490</v>
      </c>
      <c r="S83" s="37" t="s">
        <v>491</v>
      </c>
      <c r="T83" s="38" t="s">
        <v>492</v>
      </c>
      <c r="U83" s="37" t="s">
        <v>234</v>
      </c>
      <c r="V83" s="36" t="s">
        <v>493</v>
      </c>
      <c r="W83" s="37" t="s">
        <v>494</v>
      </c>
      <c r="X83" s="37" t="s">
        <v>495</v>
      </c>
      <c r="Y83" s="37" t="s">
        <v>36</v>
      </c>
      <c r="Z83" s="36">
        <v>612</v>
      </c>
      <c r="AA83" s="36" t="s">
        <v>2185</v>
      </c>
      <c r="AB83" s="37"/>
      <c r="AC83" s="37"/>
      <c r="AD83" s="37" t="s">
        <v>348</v>
      </c>
      <c r="AE83" s="37" t="s">
        <v>2188</v>
      </c>
      <c r="AF83" s="38" t="s">
        <v>2187</v>
      </c>
      <c r="AG83" s="42">
        <v>60</v>
      </c>
      <c r="AH83" s="43">
        <v>80</v>
      </c>
      <c r="AI83" s="44">
        <v>80</v>
      </c>
      <c r="AJ83" s="45">
        <v>80</v>
      </c>
      <c r="AK83" s="46">
        <v>600000000</v>
      </c>
      <c r="AL83" s="47">
        <v>600000000</v>
      </c>
      <c r="AM83" s="48">
        <v>600000000</v>
      </c>
      <c r="AN83" s="49">
        <v>600000000</v>
      </c>
      <c r="AO83" s="50">
        <v>2400000000</v>
      </c>
      <c r="AP83" s="37" t="s">
        <v>338</v>
      </c>
    </row>
    <row r="84" spans="1:42" customFormat="1" ht="39.950000000000003" customHeight="1" x14ac:dyDescent="0.25">
      <c r="A84" s="36">
        <v>83</v>
      </c>
      <c r="B84" s="37" t="s">
        <v>328</v>
      </c>
      <c r="C84" s="37" t="s">
        <v>465</v>
      </c>
      <c r="D84" s="38" t="s">
        <v>2384</v>
      </c>
      <c r="E84" s="80" t="s">
        <v>466</v>
      </c>
      <c r="F84" s="80" t="s">
        <v>467</v>
      </c>
      <c r="G84" s="36">
        <v>80</v>
      </c>
      <c r="H84" s="36">
        <v>2022</v>
      </c>
      <c r="I84" s="37" t="s">
        <v>468</v>
      </c>
      <c r="J84" s="38" t="s">
        <v>469</v>
      </c>
      <c r="K84" s="37" t="s">
        <v>36</v>
      </c>
      <c r="L84" s="70"/>
      <c r="M84" s="37" t="s">
        <v>470</v>
      </c>
      <c r="N84" s="36">
        <v>19</v>
      </c>
      <c r="O84" s="37" t="s">
        <v>339</v>
      </c>
      <c r="P84" s="36" t="s">
        <v>353</v>
      </c>
      <c r="Q84" s="37" t="s">
        <v>354</v>
      </c>
      <c r="R84" s="36" t="s">
        <v>377</v>
      </c>
      <c r="S84" s="37" t="s">
        <v>232</v>
      </c>
      <c r="T84" s="38" t="s">
        <v>378</v>
      </c>
      <c r="U84" s="37" t="s">
        <v>234</v>
      </c>
      <c r="V84" s="36" t="s">
        <v>379</v>
      </c>
      <c r="W84" s="37" t="s">
        <v>380</v>
      </c>
      <c r="X84" s="37" t="s">
        <v>496</v>
      </c>
      <c r="Y84" s="37" t="s">
        <v>36</v>
      </c>
      <c r="Z84" s="36">
        <v>441</v>
      </c>
      <c r="AA84" s="36" t="s">
        <v>2185</v>
      </c>
      <c r="AB84" s="37"/>
      <c r="AC84" s="37"/>
      <c r="AD84" s="37" t="s">
        <v>348</v>
      </c>
      <c r="AE84" s="37" t="s">
        <v>2188</v>
      </c>
      <c r="AF84" s="38" t="s">
        <v>2187</v>
      </c>
      <c r="AG84" s="42">
        <v>400</v>
      </c>
      <c r="AH84" s="43">
        <v>400</v>
      </c>
      <c r="AI84" s="44">
        <v>400</v>
      </c>
      <c r="AJ84" s="45">
        <v>400</v>
      </c>
      <c r="AK84" s="46">
        <v>750000000</v>
      </c>
      <c r="AL84" s="47">
        <v>750000000</v>
      </c>
      <c r="AM84" s="48">
        <v>750000000</v>
      </c>
      <c r="AN84" s="49">
        <v>750000000</v>
      </c>
      <c r="AO84" s="50">
        <v>3000000000</v>
      </c>
      <c r="AP84" s="37" t="s">
        <v>338</v>
      </c>
    </row>
    <row r="85" spans="1:42" customFormat="1" ht="39.950000000000003" customHeight="1" x14ac:dyDescent="0.25">
      <c r="A85" s="36">
        <v>84</v>
      </c>
      <c r="B85" s="37" t="s">
        <v>328</v>
      </c>
      <c r="C85" s="37" t="s">
        <v>465</v>
      </c>
      <c r="D85" s="38" t="s">
        <v>2384</v>
      </c>
      <c r="E85" s="80" t="s">
        <v>466</v>
      </c>
      <c r="F85" s="80" t="s">
        <v>467</v>
      </c>
      <c r="G85" s="36">
        <v>80</v>
      </c>
      <c r="H85" s="36">
        <v>2022</v>
      </c>
      <c r="I85" s="37" t="s">
        <v>468</v>
      </c>
      <c r="J85" s="38" t="s">
        <v>469</v>
      </c>
      <c r="K85" s="37" t="s">
        <v>36</v>
      </c>
      <c r="L85" s="70"/>
      <c r="M85" s="37" t="s">
        <v>470</v>
      </c>
      <c r="N85" s="36">
        <v>19</v>
      </c>
      <c r="O85" s="37" t="s">
        <v>339</v>
      </c>
      <c r="P85" s="36" t="s">
        <v>404</v>
      </c>
      <c r="Q85" s="37" t="s">
        <v>405</v>
      </c>
      <c r="R85" s="36" t="s">
        <v>497</v>
      </c>
      <c r="S85" s="37" t="s">
        <v>498</v>
      </c>
      <c r="T85" s="38" t="s">
        <v>499</v>
      </c>
      <c r="U85" s="37" t="s">
        <v>500</v>
      </c>
      <c r="V85" s="36" t="s">
        <v>501</v>
      </c>
      <c r="W85" s="37" t="s">
        <v>502</v>
      </c>
      <c r="X85" s="37" t="s">
        <v>503</v>
      </c>
      <c r="Y85" s="37" t="s">
        <v>36</v>
      </c>
      <c r="Z85" s="36">
        <v>48</v>
      </c>
      <c r="AA85" s="36" t="s">
        <v>2192</v>
      </c>
      <c r="AB85" s="37"/>
      <c r="AC85" s="37"/>
      <c r="AD85" s="37" t="s">
        <v>348</v>
      </c>
      <c r="AE85" s="37" t="s">
        <v>2188</v>
      </c>
      <c r="AF85" s="38" t="s">
        <v>2187</v>
      </c>
      <c r="AG85" s="42">
        <v>48</v>
      </c>
      <c r="AH85" s="43">
        <v>48</v>
      </c>
      <c r="AI85" s="44">
        <v>48</v>
      </c>
      <c r="AJ85" s="45">
        <v>48</v>
      </c>
      <c r="AK85" s="46">
        <v>150000000</v>
      </c>
      <c r="AL85" s="47">
        <v>150000000</v>
      </c>
      <c r="AM85" s="48">
        <v>150000000</v>
      </c>
      <c r="AN85" s="49">
        <v>150000000</v>
      </c>
      <c r="AO85" s="50">
        <v>600000000</v>
      </c>
      <c r="AP85" s="37" t="s">
        <v>338</v>
      </c>
    </row>
    <row r="86" spans="1:42" customFormat="1" ht="39.950000000000003" customHeight="1" x14ac:dyDescent="0.25">
      <c r="A86" s="36">
        <v>85</v>
      </c>
      <c r="B86" s="37" t="s">
        <v>328</v>
      </c>
      <c r="C86" s="37" t="s">
        <v>465</v>
      </c>
      <c r="D86" s="38" t="s">
        <v>2384</v>
      </c>
      <c r="E86" s="80" t="s">
        <v>466</v>
      </c>
      <c r="F86" s="80" t="s">
        <v>467</v>
      </c>
      <c r="G86" s="36">
        <v>80</v>
      </c>
      <c r="H86" s="36">
        <v>2022</v>
      </c>
      <c r="I86" s="37" t="s">
        <v>468</v>
      </c>
      <c r="J86" s="38" t="s">
        <v>469</v>
      </c>
      <c r="K86" s="37" t="s">
        <v>36</v>
      </c>
      <c r="L86" s="70"/>
      <c r="M86" s="37" t="s">
        <v>470</v>
      </c>
      <c r="N86" s="36">
        <v>19</v>
      </c>
      <c r="O86" s="37" t="s">
        <v>339</v>
      </c>
      <c r="P86" s="36" t="s">
        <v>353</v>
      </c>
      <c r="Q86" s="37" t="s">
        <v>354</v>
      </c>
      <c r="R86" s="36" t="s">
        <v>504</v>
      </c>
      <c r="S86" s="37" t="s">
        <v>498</v>
      </c>
      <c r="T86" s="38" t="s">
        <v>499</v>
      </c>
      <c r="U86" s="37" t="s">
        <v>500</v>
      </c>
      <c r="V86" s="36" t="s">
        <v>505</v>
      </c>
      <c r="W86" s="37" t="s">
        <v>502</v>
      </c>
      <c r="X86" s="81" t="s">
        <v>506</v>
      </c>
      <c r="Y86" s="37" t="s">
        <v>36</v>
      </c>
      <c r="Z86" s="36">
        <v>0</v>
      </c>
      <c r="AA86" s="36" t="s">
        <v>2185</v>
      </c>
      <c r="AB86" s="37"/>
      <c r="AC86" s="37"/>
      <c r="AD86" s="37" t="s">
        <v>348</v>
      </c>
      <c r="AE86" s="37" t="s">
        <v>2188</v>
      </c>
      <c r="AF86" s="38" t="s">
        <v>2187</v>
      </c>
      <c r="AG86" s="42">
        <v>2</v>
      </c>
      <c r="AH86" s="43">
        <v>2</v>
      </c>
      <c r="AI86" s="44">
        <v>2</v>
      </c>
      <c r="AJ86" s="45">
        <v>1</v>
      </c>
      <c r="AK86" s="46">
        <v>45000000</v>
      </c>
      <c r="AL86" s="47">
        <v>45000000</v>
      </c>
      <c r="AM86" s="48">
        <v>45000000</v>
      </c>
      <c r="AN86" s="49">
        <v>45000000</v>
      </c>
      <c r="AO86" s="50">
        <v>180000000</v>
      </c>
      <c r="AP86" s="37" t="s">
        <v>338</v>
      </c>
    </row>
    <row r="87" spans="1:42" customFormat="1" ht="39.950000000000003" customHeight="1" x14ac:dyDescent="0.25">
      <c r="A87" s="36">
        <v>86</v>
      </c>
      <c r="B87" s="37" t="s">
        <v>328</v>
      </c>
      <c r="C87" s="37" t="s">
        <v>465</v>
      </c>
      <c r="D87" s="38" t="s">
        <v>2384</v>
      </c>
      <c r="E87" s="80" t="s">
        <v>466</v>
      </c>
      <c r="F87" s="80" t="s">
        <v>467</v>
      </c>
      <c r="G87" s="36">
        <v>80</v>
      </c>
      <c r="H87" s="36">
        <v>2022</v>
      </c>
      <c r="I87" s="37" t="s">
        <v>468</v>
      </c>
      <c r="J87" s="38" t="s">
        <v>469</v>
      </c>
      <c r="K87" s="37" t="s">
        <v>36</v>
      </c>
      <c r="L87" s="70"/>
      <c r="M87" s="37" t="s">
        <v>470</v>
      </c>
      <c r="N87" s="36">
        <v>19</v>
      </c>
      <c r="O87" s="37" t="s">
        <v>339</v>
      </c>
      <c r="P87" s="36">
        <v>1905</v>
      </c>
      <c r="Q87" s="37" t="s">
        <v>354</v>
      </c>
      <c r="R87" s="36" t="s">
        <v>504</v>
      </c>
      <c r="S87" s="37" t="s">
        <v>498</v>
      </c>
      <c r="T87" s="38" t="s">
        <v>499</v>
      </c>
      <c r="U87" s="37" t="s">
        <v>500</v>
      </c>
      <c r="V87" s="36" t="s">
        <v>505</v>
      </c>
      <c r="W87" s="37" t="s">
        <v>502</v>
      </c>
      <c r="X87" s="81" t="s">
        <v>507</v>
      </c>
      <c r="Y87" s="37" t="s">
        <v>36</v>
      </c>
      <c r="Z87" s="36">
        <v>0</v>
      </c>
      <c r="AA87" s="36" t="s">
        <v>2185</v>
      </c>
      <c r="AB87" s="37"/>
      <c r="AC87" s="37"/>
      <c r="AD87" s="37" t="s">
        <v>348</v>
      </c>
      <c r="AE87" s="37" t="s">
        <v>2188</v>
      </c>
      <c r="AF87" s="38" t="s">
        <v>2187</v>
      </c>
      <c r="AG87" s="42">
        <v>2</v>
      </c>
      <c r="AH87" s="43">
        <v>2</v>
      </c>
      <c r="AI87" s="44">
        <v>2</v>
      </c>
      <c r="AJ87" s="45">
        <v>1</v>
      </c>
      <c r="AK87" s="46">
        <v>45000000</v>
      </c>
      <c r="AL87" s="47">
        <v>45000000</v>
      </c>
      <c r="AM87" s="48">
        <v>45000000</v>
      </c>
      <c r="AN87" s="49">
        <v>45000000</v>
      </c>
      <c r="AO87" s="50">
        <v>180000000</v>
      </c>
      <c r="AP87" s="37" t="s">
        <v>338</v>
      </c>
    </row>
    <row r="88" spans="1:42" customFormat="1" ht="39.950000000000003" customHeight="1" x14ac:dyDescent="0.25">
      <c r="A88" s="36">
        <v>87</v>
      </c>
      <c r="B88" s="37" t="s">
        <v>328</v>
      </c>
      <c r="C88" s="37" t="s">
        <v>465</v>
      </c>
      <c r="D88" s="38" t="s">
        <v>2384</v>
      </c>
      <c r="E88" s="80" t="s">
        <v>466</v>
      </c>
      <c r="F88" s="80" t="s">
        <v>467</v>
      </c>
      <c r="G88" s="36">
        <v>80</v>
      </c>
      <c r="H88" s="36">
        <v>2022</v>
      </c>
      <c r="I88" s="37" t="s">
        <v>468</v>
      </c>
      <c r="J88" s="38" t="s">
        <v>469</v>
      </c>
      <c r="K88" s="37" t="s">
        <v>36</v>
      </c>
      <c r="L88" s="70"/>
      <c r="M88" s="37" t="s">
        <v>470</v>
      </c>
      <c r="N88" s="36">
        <v>19</v>
      </c>
      <c r="O88" s="37" t="s">
        <v>339</v>
      </c>
      <c r="P88" s="36">
        <v>1905</v>
      </c>
      <c r="Q88" s="37" t="s">
        <v>354</v>
      </c>
      <c r="R88" s="36" t="s">
        <v>504</v>
      </c>
      <c r="S88" s="37" t="s">
        <v>498</v>
      </c>
      <c r="T88" s="38" t="s">
        <v>499</v>
      </c>
      <c r="U88" s="37" t="s">
        <v>500</v>
      </c>
      <c r="V88" s="36" t="s">
        <v>505</v>
      </c>
      <c r="W88" s="37" t="s">
        <v>502</v>
      </c>
      <c r="X88" s="81" t="s">
        <v>508</v>
      </c>
      <c r="Y88" s="37" t="s">
        <v>36</v>
      </c>
      <c r="Z88" s="36">
        <v>7</v>
      </c>
      <c r="AA88" s="36" t="s">
        <v>2185</v>
      </c>
      <c r="AB88" s="37"/>
      <c r="AC88" s="37"/>
      <c r="AD88" s="37" t="s">
        <v>348</v>
      </c>
      <c r="AE88" s="37" t="s">
        <v>2188</v>
      </c>
      <c r="AF88" s="38" t="s">
        <v>2187</v>
      </c>
      <c r="AG88" s="42">
        <v>2</v>
      </c>
      <c r="AH88" s="43">
        <v>2</v>
      </c>
      <c r="AI88" s="44">
        <v>2</v>
      </c>
      <c r="AJ88" s="45">
        <v>1</v>
      </c>
      <c r="AK88" s="46">
        <v>120000000</v>
      </c>
      <c r="AL88" s="47">
        <v>120000000</v>
      </c>
      <c r="AM88" s="48">
        <v>120000000</v>
      </c>
      <c r="AN88" s="49">
        <v>120000000</v>
      </c>
      <c r="AO88" s="50">
        <v>480000000</v>
      </c>
      <c r="AP88" s="37" t="s">
        <v>338</v>
      </c>
    </row>
    <row r="89" spans="1:42" customFormat="1" ht="39.950000000000003" customHeight="1" x14ac:dyDescent="0.25">
      <c r="A89" s="36">
        <v>88</v>
      </c>
      <c r="B89" s="37" t="s">
        <v>328</v>
      </c>
      <c r="C89" s="37" t="s">
        <v>465</v>
      </c>
      <c r="D89" s="38" t="s">
        <v>2384</v>
      </c>
      <c r="E89" s="80" t="s">
        <v>466</v>
      </c>
      <c r="F89" s="80" t="s">
        <v>467</v>
      </c>
      <c r="G89" s="36">
        <v>80</v>
      </c>
      <c r="H89" s="36">
        <v>2022</v>
      </c>
      <c r="I89" s="37" t="s">
        <v>468</v>
      </c>
      <c r="J89" s="38" t="s">
        <v>469</v>
      </c>
      <c r="K89" s="37" t="s">
        <v>36</v>
      </c>
      <c r="L89" s="37"/>
      <c r="M89" s="37" t="s">
        <v>470</v>
      </c>
      <c r="N89" s="36">
        <v>19</v>
      </c>
      <c r="O89" s="37" t="s">
        <v>339</v>
      </c>
      <c r="P89" s="36">
        <v>1905</v>
      </c>
      <c r="Q89" s="37" t="s">
        <v>354</v>
      </c>
      <c r="R89" s="36" t="s">
        <v>504</v>
      </c>
      <c r="S89" s="37" t="s">
        <v>498</v>
      </c>
      <c r="T89" s="38" t="s">
        <v>499</v>
      </c>
      <c r="U89" s="37" t="s">
        <v>500</v>
      </c>
      <c r="V89" s="36" t="s">
        <v>505</v>
      </c>
      <c r="W89" s="37" t="s">
        <v>502</v>
      </c>
      <c r="X89" s="81" t="s">
        <v>509</v>
      </c>
      <c r="Y89" s="37" t="s">
        <v>36</v>
      </c>
      <c r="Z89" s="36">
        <v>7</v>
      </c>
      <c r="AA89" s="36" t="s">
        <v>2185</v>
      </c>
      <c r="AB89" s="37"/>
      <c r="AC89" s="37"/>
      <c r="AD89" s="37" t="s">
        <v>348</v>
      </c>
      <c r="AE89" s="37" t="s">
        <v>2188</v>
      </c>
      <c r="AF89" s="38" t="s">
        <v>2187</v>
      </c>
      <c r="AG89" s="42">
        <v>2</v>
      </c>
      <c r="AH89" s="43">
        <v>2</v>
      </c>
      <c r="AI89" s="44">
        <v>2</v>
      </c>
      <c r="AJ89" s="45">
        <v>1</v>
      </c>
      <c r="AK89" s="46">
        <v>120000000</v>
      </c>
      <c r="AL89" s="47">
        <v>120000000</v>
      </c>
      <c r="AM89" s="48">
        <v>120000000</v>
      </c>
      <c r="AN89" s="49">
        <v>120000000</v>
      </c>
      <c r="AO89" s="50">
        <v>480000000</v>
      </c>
      <c r="AP89" s="37" t="s">
        <v>338</v>
      </c>
    </row>
    <row r="90" spans="1:42" customFormat="1" ht="39.950000000000003" customHeight="1" x14ac:dyDescent="0.25">
      <c r="A90" s="36">
        <v>89</v>
      </c>
      <c r="B90" s="37" t="s">
        <v>328</v>
      </c>
      <c r="C90" s="37" t="s">
        <v>465</v>
      </c>
      <c r="D90" s="38" t="s">
        <v>2384</v>
      </c>
      <c r="E90" s="80" t="s">
        <v>466</v>
      </c>
      <c r="F90" s="80" t="s">
        <v>467</v>
      </c>
      <c r="G90" s="36">
        <v>80</v>
      </c>
      <c r="H90" s="36">
        <v>2022</v>
      </c>
      <c r="I90" s="37" t="s">
        <v>468</v>
      </c>
      <c r="J90" s="38" t="s">
        <v>469</v>
      </c>
      <c r="K90" s="37" t="s">
        <v>36</v>
      </c>
      <c r="L90" s="37"/>
      <c r="M90" s="37" t="s">
        <v>470</v>
      </c>
      <c r="N90" s="36">
        <v>19</v>
      </c>
      <c r="O90" s="37" t="s">
        <v>339</v>
      </c>
      <c r="P90" s="82" t="s">
        <v>340</v>
      </c>
      <c r="Q90" s="37" t="s">
        <v>341</v>
      </c>
      <c r="R90" s="36" t="s">
        <v>418</v>
      </c>
      <c r="S90" s="37" t="s">
        <v>419</v>
      </c>
      <c r="T90" s="38" t="s">
        <v>420</v>
      </c>
      <c r="U90" s="37" t="s">
        <v>421</v>
      </c>
      <c r="V90" s="36" t="s">
        <v>422</v>
      </c>
      <c r="W90" s="37" t="s">
        <v>423</v>
      </c>
      <c r="X90" s="37" t="s">
        <v>510</v>
      </c>
      <c r="Y90" s="37" t="s">
        <v>36</v>
      </c>
      <c r="Z90" s="36">
        <v>30</v>
      </c>
      <c r="AA90" s="36" t="s">
        <v>2234</v>
      </c>
      <c r="AB90" s="37"/>
      <c r="AC90" s="37"/>
      <c r="AD90" s="37" t="s">
        <v>348</v>
      </c>
      <c r="AE90" s="37" t="s">
        <v>2188</v>
      </c>
      <c r="AF90" s="38" t="s">
        <v>2187</v>
      </c>
      <c r="AG90" s="42">
        <v>10</v>
      </c>
      <c r="AH90" s="43">
        <v>10</v>
      </c>
      <c r="AI90" s="44">
        <v>11</v>
      </c>
      <c r="AJ90" s="45">
        <v>11</v>
      </c>
      <c r="AK90" s="46">
        <v>715600000</v>
      </c>
      <c r="AL90" s="47">
        <v>755745160</v>
      </c>
      <c r="AM90" s="48">
        <v>798142463</v>
      </c>
      <c r="AN90" s="49">
        <v>842918255</v>
      </c>
      <c r="AO90" s="50">
        <v>3112405878</v>
      </c>
      <c r="AP90" s="37" t="s">
        <v>338</v>
      </c>
    </row>
    <row r="91" spans="1:42" customFormat="1" ht="39.950000000000003" customHeight="1" x14ac:dyDescent="0.25">
      <c r="A91" s="36">
        <v>90</v>
      </c>
      <c r="B91" s="37" t="s">
        <v>328</v>
      </c>
      <c r="C91" s="37" t="s">
        <v>465</v>
      </c>
      <c r="D91" s="38" t="s">
        <v>2384</v>
      </c>
      <c r="E91" s="80" t="s">
        <v>466</v>
      </c>
      <c r="F91" s="80" t="s">
        <v>467</v>
      </c>
      <c r="G91" s="36">
        <v>80</v>
      </c>
      <c r="H91" s="36">
        <v>2022</v>
      </c>
      <c r="I91" s="37" t="s">
        <v>468</v>
      </c>
      <c r="J91" s="38" t="s">
        <v>469</v>
      </c>
      <c r="K91" s="37" t="s">
        <v>36</v>
      </c>
      <c r="L91" s="37"/>
      <c r="M91" s="37" t="s">
        <v>470</v>
      </c>
      <c r="N91" s="36">
        <v>19</v>
      </c>
      <c r="O91" s="37" t="s">
        <v>339</v>
      </c>
      <c r="P91" s="82" t="s">
        <v>404</v>
      </c>
      <c r="Q91" s="70" t="s">
        <v>405</v>
      </c>
      <c r="R91" s="36" t="s">
        <v>511</v>
      </c>
      <c r="S91" s="37" t="s">
        <v>512</v>
      </c>
      <c r="T91" s="38" t="s">
        <v>513</v>
      </c>
      <c r="U91" s="37" t="s">
        <v>514</v>
      </c>
      <c r="V91" s="36" t="s">
        <v>515</v>
      </c>
      <c r="W91" s="37" t="s">
        <v>516</v>
      </c>
      <c r="X91" s="37" t="s">
        <v>517</v>
      </c>
      <c r="Y91" s="37" t="s">
        <v>36</v>
      </c>
      <c r="Z91" s="36">
        <v>25</v>
      </c>
      <c r="AA91" s="36" t="s">
        <v>2185</v>
      </c>
      <c r="AB91" s="37"/>
      <c r="AC91" s="37"/>
      <c r="AD91" s="37" t="s">
        <v>348</v>
      </c>
      <c r="AE91" s="37" t="s">
        <v>2188</v>
      </c>
      <c r="AF91" s="38" t="s">
        <v>2187</v>
      </c>
      <c r="AG91" s="42">
        <v>10</v>
      </c>
      <c r="AH91" s="43">
        <v>10</v>
      </c>
      <c r="AI91" s="44">
        <v>11</v>
      </c>
      <c r="AJ91" s="45">
        <v>11</v>
      </c>
      <c r="AK91" s="46">
        <v>715600000</v>
      </c>
      <c r="AL91" s="47">
        <v>755745160</v>
      </c>
      <c r="AM91" s="48">
        <v>798142463</v>
      </c>
      <c r="AN91" s="49">
        <v>842918255</v>
      </c>
      <c r="AO91" s="50">
        <v>3112405878</v>
      </c>
      <c r="AP91" s="37" t="s">
        <v>338</v>
      </c>
    </row>
    <row r="92" spans="1:42" customFormat="1" ht="63.75" x14ac:dyDescent="0.25">
      <c r="A92" s="36">
        <v>91</v>
      </c>
      <c r="B92" s="37" t="s">
        <v>328</v>
      </c>
      <c r="C92" s="37" t="s">
        <v>465</v>
      </c>
      <c r="D92" s="38" t="s">
        <v>2384</v>
      </c>
      <c r="E92" s="80" t="s">
        <v>466</v>
      </c>
      <c r="F92" s="80" t="s">
        <v>467</v>
      </c>
      <c r="G92" s="36">
        <v>80</v>
      </c>
      <c r="H92" s="36">
        <v>2022</v>
      </c>
      <c r="I92" s="37" t="s">
        <v>468</v>
      </c>
      <c r="J92" s="38" t="s">
        <v>469</v>
      </c>
      <c r="K92" s="37" t="s">
        <v>36</v>
      </c>
      <c r="L92" s="37"/>
      <c r="M92" s="37" t="s">
        <v>470</v>
      </c>
      <c r="N92" s="36">
        <v>19</v>
      </c>
      <c r="O92" s="37" t="s">
        <v>339</v>
      </c>
      <c r="P92" s="82" t="s">
        <v>340</v>
      </c>
      <c r="Q92" s="37" t="s">
        <v>341</v>
      </c>
      <c r="R92" s="36" t="s">
        <v>418</v>
      </c>
      <c r="S92" s="37" t="s">
        <v>419</v>
      </c>
      <c r="T92" s="38" t="s">
        <v>420</v>
      </c>
      <c r="U92" s="37" t="s">
        <v>421</v>
      </c>
      <c r="V92" s="36" t="s">
        <v>422</v>
      </c>
      <c r="W92" s="37" t="s">
        <v>423</v>
      </c>
      <c r="X92" s="37" t="s">
        <v>518</v>
      </c>
      <c r="Y92" s="37" t="s">
        <v>36</v>
      </c>
      <c r="Z92" s="36">
        <v>19</v>
      </c>
      <c r="AA92" s="36" t="s">
        <v>2192</v>
      </c>
      <c r="AB92" s="37"/>
      <c r="AC92" s="37"/>
      <c r="AD92" s="37" t="s">
        <v>348</v>
      </c>
      <c r="AE92" s="37" t="s">
        <v>2188</v>
      </c>
      <c r="AF92" s="38" t="s">
        <v>2187</v>
      </c>
      <c r="AG92" s="42">
        <v>19</v>
      </c>
      <c r="AH92" s="43">
        <v>19</v>
      </c>
      <c r="AI92" s="44">
        <v>19</v>
      </c>
      <c r="AJ92" s="45">
        <v>19</v>
      </c>
      <c r="AK92" s="46">
        <v>715600000</v>
      </c>
      <c r="AL92" s="47">
        <v>755745160</v>
      </c>
      <c r="AM92" s="48">
        <v>798142463</v>
      </c>
      <c r="AN92" s="49">
        <v>842918255</v>
      </c>
      <c r="AO92" s="50">
        <v>3112405878</v>
      </c>
      <c r="AP92" s="37" t="s">
        <v>338</v>
      </c>
    </row>
    <row r="93" spans="1:42" customFormat="1" ht="52.5" customHeight="1" x14ac:dyDescent="0.25">
      <c r="A93" s="36">
        <v>92</v>
      </c>
      <c r="B93" s="37" t="s">
        <v>328</v>
      </c>
      <c r="C93" s="37" t="s">
        <v>465</v>
      </c>
      <c r="D93" s="38" t="s">
        <v>2384</v>
      </c>
      <c r="E93" s="80" t="s">
        <v>466</v>
      </c>
      <c r="F93" s="80" t="s">
        <v>467</v>
      </c>
      <c r="G93" s="36">
        <v>80</v>
      </c>
      <c r="H93" s="36">
        <v>2022</v>
      </c>
      <c r="I93" s="37" t="s">
        <v>468</v>
      </c>
      <c r="J93" s="38" t="s">
        <v>469</v>
      </c>
      <c r="K93" s="37" t="s">
        <v>36</v>
      </c>
      <c r="L93" s="37"/>
      <c r="M93" s="37" t="s">
        <v>470</v>
      </c>
      <c r="N93" s="36">
        <v>19</v>
      </c>
      <c r="O93" s="37" t="s">
        <v>339</v>
      </c>
      <c r="P93" s="82" t="s">
        <v>340</v>
      </c>
      <c r="Q93" s="70" t="s">
        <v>341</v>
      </c>
      <c r="R93" s="36" t="s">
        <v>519</v>
      </c>
      <c r="S93" s="37" t="s">
        <v>520</v>
      </c>
      <c r="T93" s="38" t="s">
        <v>521</v>
      </c>
      <c r="U93" s="37" t="s">
        <v>203</v>
      </c>
      <c r="V93" s="36" t="s">
        <v>522</v>
      </c>
      <c r="W93" s="37" t="s">
        <v>523</v>
      </c>
      <c r="X93" s="37" t="s">
        <v>524</v>
      </c>
      <c r="Y93" s="37" t="s">
        <v>25</v>
      </c>
      <c r="Z93" s="36">
        <v>100</v>
      </c>
      <c r="AA93" s="36" t="s">
        <v>2192</v>
      </c>
      <c r="AB93" s="37"/>
      <c r="AC93" s="37"/>
      <c r="AD93" s="37"/>
      <c r="AE93" s="37" t="s">
        <v>2188</v>
      </c>
      <c r="AF93" s="38" t="s">
        <v>2187</v>
      </c>
      <c r="AG93" s="83">
        <v>1</v>
      </c>
      <c r="AH93" s="84">
        <v>1</v>
      </c>
      <c r="AI93" s="85">
        <v>1</v>
      </c>
      <c r="AJ93" s="86">
        <v>1</v>
      </c>
      <c r="AK93" s="46">
        <v>976000000</v>
      </c>
      <c r="AL93" s="47">
        <v>1030753600</v>
      </c>
      <c r="AM93" s="48">
        <v>1088578877</v>
      </c>
      <c r="AN93" s="49">
        <v>1149648152</v>
      </c>
      <c r="AO93" s="50">
        <v>4244980629</v>
      </c>
      <c r="AP93" s="37" t="s">
        <v>338</v>
      </c>
    </row>
    <row r="94" spans="1:42" customFormat="1" ht="76.5" x14ac:dyDescent="0.25">
      <c r="A94" s="36">
        <v>93</v>
      </c>
      <c r="B94" s="37" t="s">
        <v>328</v>
      </c>
      <c r="C94" s="37" t="s">
        <v>465</v>
      </c>
      <c r="D94" s="38" t="s">
        <v>2384</v>
      </c>
      <c r="E94" s="80" t="s">
        <v>466</v>
      </c>
      <c r="F94" s="80" t="s">
        <v>467</v>
      </c>
      <c r="G94" s="36">
        <v>80</v>
      </c>
      <c r="H94" s="36">
        <v>2022</v>
      </c>
      <c r="I94" s="37" t="s">
        <v>468</v>
      </c>
      <c r="J94" s="38" t="s">
        <v>469</v>
      </c>
      <c r="K94" s="37" t="s">
        <v>36</v>
      </c>
      <c r="L94" s="37"/>
      <c r="M94" s="37" t="s">
        <v>470</v>
      </c>
      <c r="N94" s="36">
        <v>19</v>
      </c>
      <c r="O94" s="37" t="s">
        <v>339</v>
      </c>
      <c r="P94" s="36" t="s">
        <v>353</v>
      </c>
      <c r="Q94" s="37" t="s">
        <v>354</v>
      </c>
      <c r="R94" s="36" t="s">
        <v>377</v>
      </c>
      <c r="S94" s="37" t="s">
        <v>232</v>
      </c>
      <c r="T94" s="38" t="s">
        <v>378</v>
      </c>
      <c r="U94" s="37" t="s">
        <v>234</v>
      </c>
      <c r="V94" s="36" t="s">
        <v>379</v>
      </c>
      <c r="W94" s="37" t="s">
        <v>380</v>
      </c>
      <c r="X94" s="37" t="s">
        <v>525</v>
      </c>
      <c r="Y94" s="56" t="s">
        <v>36</v>
      </c>
      <c r="Z94" s="64">
        <v>42</v>
      </c>
      <c r="AA94" s="36" t="s">
        <v>2185</v>
      </c>
      <c r="AB94" s="37" t="s">
        <v>2220</v>
      </c>
      <c r="AC94" s="56" t="s">
        <v>2226</v>
      </c>
      <c r="AD94" s="37" t="s">
        <v>348</v>
      </c>
      <c r="AE94" s="37" t="s">
        <v>2188</v>
      </c>
      <c r="AF94" s="38" t="s">
        <v>2187</v>
      </c>
      <c r="AG94" s="42">
        <v>6</v>
      </c>
      <c r="AH94" s="43">
        <v>12</v>
      </c>
      <c r="AI94" s="44">
        <v>12</v>
      </c>
      <c r="AJ94" s="45">
        <v>12</v>
      </c>
      <c r="AK94" s="46">
        <v>5170937201</v>
      </c>
      <c r="AL94" s="47">
        <v>6522097207.5</v>
      </c>
      <c r="AM94" s="48">
        <v>7587915809.8800001</v>
      </c>
      <c r="AN94" s="49">
        <v>7190612171.2700005</v>
      </c>
      <c r="AO94" s="50">
        <v>26471562389.650002</v>
      </c>
      <c r="AP94" s="37" t="s">
        <v>338</v>
      </c>
    </row>
    <row r="95" spans="1:42" customFormat="1" ht="45" customHeight="1" x14ac:dyDescent="0.25">
      <c r="A95" s="36">
        <v>94</v>
      </c>
      <c r="B95" s="37" t="s">
        <v>328</v>
      </c>
      <c r="C95" s="37" t="s">
        <v>465</v>
      </c>
      <c r="D95" s="38" t="s">
        <v>2384</v>
      </c>
      <c r="E95" s="80" t="s">
        <v>466</v>
      </c>
      <c r="F95" s="80" t="s">
        <v>467</v>
      </c>
      <c r="G95" s="36">
        <v>80</v>
      </c>
      <c r="H95" s="36">
        <v>2022</v>
      </c>
      <c r="I95" s="37" t="s">
        <v>468</v>
      </c>
      <c r="J95" s="38" t="s">
        <v>469</v>
      </c>
      <c r="K95" s="37" t="s">
        <v>36</v>
      </c>
      <c r="L95" s="37"/>
      <c r="M95" s="37" t="s">
        <v>470</v>
      </c>
      <c r="N95" s="51" t="s">
        <v>526</v>
      </c>
      <c r="O95" s="58" t="s">
        <v>527</v>
      </c>
      <c r="P95" s="51" t="s">
        <v>340</v>
      </c>
      <c r="Q95" s="58" t="s">
        <v>341</v>
      </c>
      <c r="R95" s="51" t="s">
        <v>528</v>
      </c>
      <c r="S95" s="58" t="s">
        <v>498</v>
      </c>
      <c r="T95" s="59" t="s">
        <v>499</v>
      </c>
      <c r="U95" s="58" t="s">
        <v>500</v>
      </c>
      <c r="V95" s="51" t="s">
        <v>529</v>
      </c>
      <c r="W95" s="58" t="s">
        <v>502</v>
      </c>
      <c r="X95" s="58" t="s">
        <v>530</v>
      </c>
      <c r="Y95" s="58" t="s">
        <v>36</v>
      </c>
      <c r="Z95" s="51">
        <v>0</v>
      </c>
      <c r="AA95" s="36" t="s">
        <v>2185</v>
      </c>
      <c r="AB95" s="58"/>
      <c r="AC95" s="58"/>
      <c r="AD95" s="58"/>
      <c r="AE95" s="37" t="s">
        <v>2188</v>
      </c>
      <c r="AF95" s="38" t="s">
        <v>2187</v>
      </c>
      <c r="AG95" s="71">
        <v>0.1</v>
      </c>
      <c r="AH95" s="53">
        <v>0.9</v>
      </c>
      <c r="AI95" s="54">
        <v>0</v>
      </c>
      <c r="AJ95" s="55">
        <v>0</v>
      </c>
      <c r="AK95" s="46">
        <v>500000000</v>
      </c>
      <c r="AL95" s="47">
        <v>200000000</v>
      </c>
      <c r="AM95" s="48">
        <v>0</v>
      </c>
      <c r="AN95" s="49">
        <v>0</v>
      </c>
      <c r="AO95" s="50">
        <v>700000000</v>
      </c>
      <c r="AP95" s="58" t="s">
        <v>338</v>
      </c>
    </row>
    <row r="96" spans="1:42" customFormat="1" ht="67.5" customHeight="1" x14ac:dyDescent="0.25">
      <c r="A96" s="36">
        <v>95</v>
      </c>
      <c r="B96" s="37" t="s">
        <v>328</v>
      </c>
      <c r="C96" s="37" t="s">
        <v>465</v>
      </c>
      <c r="D96" s="38" t="s">
        <v>2384</v>
      </c>
      <c r="E96" s="80" t="s">
        <v>466</v>
      </c>
      <c r="F96" s="80" t="s">
        <v>467</v>
      </c>
      <c r="G96" s="36">
        <v>80</v>
      </c>
      <c r="H96" s="36">
        <v>2022</v>
      </c>
      <c r="I96" s="37" t="s">
        <v>468</v>
      </c>
      <c r="J96" s="38" t="s">
        <v>469</v>
      </c>
      <c r="K96" s="37" t="s">
        <v>36</v>
      </c>
      <c r="L96" s="37"/>
      <c r="M96" s="37" t="s">
        <v>470</v>
      </c>
      <c r="N96" s="36">
        <v>19</v>
      </c>
      <c r="O96" s="37" t="s">
        <v>339</v>
      </c>
      <c r="P96" s="36" t="s">
        <v>340</v>
      </c>
      <c r="Q96" s="37" t="s">
        <v>341</v>
      </c>
      <c r="R96" s="36" t="s">
        <v>531</v>
      </c>
      <c r="S96" s="37" t="s">
        <v>232</v>
      </c>
      <c r="T96" s="38" t="s">
        <v>378</v>
      </c>
      <c r="U96" s="37" t="s">
        <v>234</v>
      </c>
      <c r="V96" s="36" t="s">
        <v>532</v>
      </c>
      <c r="W96" s="37" t="s">
        <v>380</v>
      </c>
      <c r="X96" s="37" t="s">
        <v>533</v>
      </c>
      <c r="Y96" s="56" t="s">
        <v>36</v>
      </c>
      <c r="Z96" s="64">
        <v>19</v>
      </c>
      <c r="AA96" s="36" t="s">
        <v>2192</v>
      </c>
      <c r="AB96" s="56"/>
      <c r="AC96" s="56"/>
      <c r="AD96" s="37" t="s">
        <v>348</v>
      </c>
      <c r="AE96" s="37" t="s">
        <v>2188</v>
      </c>
      <c r="AF96" s="38" t="s">
        <v>2187</v>
      </c>
      <c r="AG96" s="42">
        <v>19</v>
      </c>
      <c r="AH96" s="43">
        <v>19</v>
      </c>
      <c r="AI96" s="44">
        <v>19</v>
      </c>
      <c r="AJ96" s="45">
        <v>19</v>
      </c>
      <c r="AK96" s="46">
        <v>17050600000</v>
      </c>
      <c r="AL96" s="47">
        <v>17050600000</v>
      </c>
      <c r="AM96" s="48">
        <v>17050600000</v>
      </c>
      <c r="AN96" s="49">
        <v>17050600000</v>
      </c>
      <c r="AO96" s="50">
        <v>68202400000</v>
      </c>
      <c r="AP96" s="37" t="s">
        <v>338</v>
      </c>
    </row>
    <row r="97" spans="1:42" customFormat="1" ht="45" customHeight="1" x14ac:dyDescent="0.25">
      <c r="A97" s="36">
        <v>96</v>
      </c>
      <c r="B97" s="37" t="s">
        <v>328</v>
      </c>
      <c r="C97" s="37" t="s">
        <v>465</v>
      </c>
      <c r="D97" s="38" t="s">
        <v>2384</v>
      </c>
      <c r="E97" s="80" t="s">
        <v>466</v>
      </c>
      <c r="F97" s="80" t="s">
        <v>467</v>
      </c>
      <c r="G97" s="36">
        <v>80</v>
      </c>
      <c r="H97" s="36">
        <v>2022</v>
      </c>
      <c r="I97" s="37" t="s">
        <v>468</v>
      </c>
      <c r="J97" s="38" t="s">
        <v>469</v>
      </c>
      <c r="K97" s="37" t="s">
        <v>36</v>
      </c>
      <c r="L97" s="37"/>
      <c r="M97" s="37" t="s">
        <v>470</v>
      </c>
      <c r="N97" s="36">
        <v>19</v>
      </c>
      <c r="O97" s="37" t="s">
        <v>339</v>
      </c>
      <c r="P97" s="36" t="s">
        <v>340</v>
      </c>
      <c r="Q97" s="37" t="s">
        <v>341</v>
      </c>
      <c r="R97" s="36" t="s">
        <v>531</v>
      </c>
      <c r="S97" s="37" t="s">
        <v>232</v>
      </c>
      <c r="T97" s="38" t="s">
        <v>378</v>
      </c>
      <c r="U97" s="37" t="s">
        <v>234</v>
      </c>
      <c r="V97" s="36" t="s">
        <v>532</v>
      </c>
      <c r="W97" s="37" t="s">
        <v>380</v>
      </c>
      <c r="X97" s="37" t="s">
        <v>534</v>
      </c>
      <c r="Y97" s="37" t="s">
        <v>36</v>
      </c>
      <c r="Z97" s="36">
        <v>42</v>
      </c>
      <c r="AA97" s="36" t="s">
        <v>2192</v>
      </c>
      <c r="AB97" s="37"/>
      <c r="AC97" s="37"/>
      <c r="AD97" s="37" t="s">
        <v>348</v>
      </c>
      <c r="AE97" s="37" t="s">
        <v>2188</v>
      </c>
      <c r="AF97" s="38" t="s">
        <v>2187</v>
      </c>
      <c r="AG97" s="42">
        <v>42</v>
      </c>
      <c r="AH97" s="43">
        <v>42</v>
      </c>
      <c r="AI97" s="44">
        <v>42</v>
      </c>
      <c r="AJ97" s="45">
        <v>42</v>
      </c>
      <c r="AK97" s="46">
        <v>176800000</v>
      </c>
      <c r="AL97" s="47">
        <v>176800000</v>
      </c>
      <c r="AM97" s="48">
        <v>176800000</v>
      </c>
      <c r="AN97" s="49">
        <v>176800000</v>
      </c>
      <c r="AO97" s="50">
        <v>707200000</v>
      </c>
      <c r="AP97" s="37" t="s">
        <v>338</v>
      </c>
    </row>
    <row r="98" spans="1:42" customFormat="1" ht="45" customHeight="1" x14ac:dyDescent="0.25">
      <c r="A98" s="36">
        <v>97</v>
      </c>
      <c r="B98" s="37" t="s">
        <v>328</v>
      </c>
      <c r="C98" s="37" t="s">
        <v>465</v>
      </c>
      <c r="D98" s="38" t="s">
        <v>2384</v>
      </c>
      <c r="E98" s="80" t="s">
        <v>466</v>
      </c>
      <c r="F98" s="80" t="s">
        <v>467</v>
      </c>
      <c r="G98" s="36">
        <v>80</v>
      </c>
      <c r="H98" s="36">
        <v>2022</v>
      </c>
      <c r="I98" s="37" t="s">
        <v>468</v>
      </c>
      <c r="J98" s="38" t="s">
        <v>469</v>
      </c>
      <c r="K98" s="37" t="s">
        <v>36</v>
      </c>
      <c r="L98" s="37"/>
      <c r="M98" s="37" t="s">
        <v>470</v>
      </c>
      <c r="N98" s="36">
        <v>19</v>
      </c>
      <c r="O98" s="37" t="s">
        <v>339</v>
      </c>
      <c r="P98" s="36" t="s">
        <v>340</v>
      </c>
      <c r="Q98" s="37" t="s">
        <v>341</v>
      </c>
      <c r="R98" s="36" t="s">
        <v>531</v>
      </c>
      <c r="S98" s="37" t="s">
        <v>232</v>
      </c>
      <c r="T98" s="38" t="s">
        <v>378</v>
      </c>
      <c r="U98" s="37" t="s">
        <v>234</v>
      </c>
      <c r="V98" s="36" t="s">
        <v>532</v>
      </c>
      <c r="W98" s="37" t="s">
        <v>380</v>
      </c>
      <c r="X98" s="37" t="s">
        <v>535</v>
      </c>
      <c r="Y98" s="37" t="s">
        <v>36</v>
      </c>
      <c r="Z98" s="36">
        <v>42</v>
      </c>
      <c r="AA98" s="36" t="s">
        <v>2192</v>
      </c>
      <c r="AB98" s="37"/>
      <c r="AC98" s="37"/>
      <c r="AD98" s="37" t="s">
        <v>348</v>
      </c>
      <c r="AE98" s="37" t="s">
        <v>2188</v>
      </c>
      <c r="AF98" s="38" t="s">
        <v>2187</v>
      </c>
      <c r="AG98" s="42">
        <v>42</v>
      </c>
      <c r="AH98" s="43">
        <v>42</v>
      </c>
      <c r="AI98" s="44">
        <v>42</v>
      </c>
      <c r="AJ98" s="45">
        <v>42</v>
      </c>
      <c r="AK98" s="46">
        <v>796200000</v>
      </c>
      <c r="AL98" s="47">
        <v>101200000</v>
      </c>
      <c r="AM98" s="48">
        <v>101200000</v>
      </c>
      <c r="AN98" s="49">
        <v>101200000</v>
      </c>
      <c r="AO98" s="50">
        <v>1099800000</v>
      </c>
      <c r="AP98" s="37" t="s">
        <v>338</v>
      </c>
    </row>
    <row r="99" spans="1:42" customFormat="1" ht="45" customHeight="1" x14ac:dyDescent="0.25">
      <c r="A99" s="36">
        <v>98</v>
      </c>
      <c r="B99" s="37" t="s">
        <v>328</v>
      </c>
      <c r="C99" s="37" t="s">
        <v>465</v>
      </c>
      <c r="D99" s="38" t="s">
        <v>2384</v>
      </c>
      <c r="E99" s="80" t="s">
        <v>466</v>
      </c>
      <c r="F99" s="80" t="s">
        <v>467</v>
      </c>
      <c r="G99" s="36">
        <v>80</v>
      </c>
      <c r="H99" s="36">
        <v>2022</v>
      </c>
      <c r="I99" s="37" t="s">
        <v>468</v>
      </c>
      <c r="J99" s="38" t="s">
        <v>469</v>
      </c>
      <c r="K99" s="37" t="s">
        <v>36</v>
      </c>
      <c r="L99" s="37"/>
      <c r="M99" s="37" t="s">
        <v>470</v>
      </c>
      <c r="N99" s="36">
        <v>19</v>
      </c>
      <c r="O99" s="37" t="s">
        <v>339</v>
      </c>
      <c r="P99" s="36" t="s">
        <v>340</v>
      </c>
      <c r="Q99" s="37" t="s">
        <v>341</v>
      </c>
      <c r="R99" s="36" t="s">
        <v>536</v>
      </c>
      <c r="S99" s="37" t="s">
        <v>537</v>
      </c>
      <c r="T99" s="38" t="s">
        <v>538</v>
      </c>
      <c r="U99" s="37" t="s">
        <v>203</v>
      </c>
      <c r="V99" s="36" t="s">
        <v>539</v>
      </c>
      <c r="W99" s="37" t="s">
        <v>540</v>
      </c>
      <c r="X99" s="37" t="s">
        <v>541</v>
      </c>
      <c r="Y99" s="37" t="s">
        <v>36</v>
      </c>
      <c r="Z99" s="36">
        <v>197</v>
      </c>
      <c r="AA99" s="36" t="s">
        <v>2185</v>
      </c>
      <c r="AB99" s="37"/>
      <c r="AC99" s="37"/>
      <c r="AD99" s="37" t="s">
        <v>348</v>
      </c>
      <c r="AE99" s="37" t="s">
        <v>2188</v>
      </c>
      <c r="AF99" s="38" t="s">
        <v>2187</v>
      </c>
      <c r="AG99" s="42">
        <v>56</v>
      </c>
      <c r="AH99" s="43">
        <v>100</v>
      </c>
      <c r="AI99" s="44">
        <v>50</v>
      </c>
      <c r="AJ99" s="45">
        <v>50</v>
      </c>
      <c r="AK99" s="46">
        <v>70600000</v>
      </c>
      <c r="AL99" s="47">
        <v>70600000</v>
      </c>
      <c r="AM99" s="48">
        <v>70600000</v>
      </c>
      <c r="AN99" s="49">
        <v>70600000</v>
      </c>
      <c r="AO99" s="50">
        <v>282400000</v>
      </c>
      <c r="AP99" s="37" t="s">
        <v>338</v>
      </c>
    </row>
    <row r="100" spans="1:42" customFormat="1" ht="48" customHeight="1" x14ac:dyDescent="0.25">
      <c r="A100" s="36">
        <v>99</v>
      </c>
      <c r="B100" s="37" t="s">
        <v>328</v>
      </c>
      <c r="C100" s="37" t="s">
        <v>465</v>
      </c>
      <c r="D100" s="38" t="s">
        <v>2384</v>
      </c>
      <c r="E100" s="80" t="s">
        <v>466</v>
      </c>
      <c r="F100" s="80" t="s">
        <v>467</v>
      </c>
      <c r="G100" s="36">
        <v>80</v>
      </c>
      <c r="H100" s="36">
        <v>2022</v>
      </c>
      <c r="I100" s="37" t="s">
        <v>468</v>
      </c>
      <c r="J100" s="38" t="s">
        <v>469</v>
      </c>
      <c r="K100" s="37" t="s">
        <v>36</v>
      </c>
      <c r="L100" s="37"/>
      <c r="M100" s="37" t="s">
        <v>470</v>
      </c>
      <c r="N100" s="36">
        <v>19</v>
      </c>
      <c r="O100" s="37" t="s">
        <v>339</v>
      </c>
      <c r="P100" s="36" t="s">
        <v>340</v>
      </c>
      <c r="Q100" s="37" t="s">
        <v>341</v>
      </c>
      <c r="R100" s="36" t="s">
        <v>542</v>
      </c>
      <c r="S100" s="37" t="s">
        <v>543</v>
      </c>
      <c r="T100" s="38" t="s">
        <v>544</v>
      </c>
      <c r="U100" s="37" t="s">
        <v>545</v>
      </c>
      <c r="V100" s="36" t="s">
        <v>546</v>
      </c>
      <c r="W100" s="37" t="s">
        <v>198</v>
      </c>
      <c r="X100" s="37" t="s">
        <v>2163</v>
      </c>
      <c r="Y100" s="37" t="s">
        <v>36</v>
      </c>
      <c r="Z100" s="36">
        <v>21</v>
      </c>
      <c r="AA100" s="36" t="s">
        <v>2185</v>
      </c>
      <c r="AB100" s="37"/>
      <c r="AC100" s="37"/>
      <c r="AD100" s="37" t="s">
        <v>348</v>
      </c>
      <c r="AE100" s="37" t="s">
        <v>2188</v>
      </c>
      <c r="AF100" s="38" t="s">
        <v>2187</v>
      </c>
      <c r="AG100" s="42">
        <v>2</v>
      </c>
      <c r="AH100" s="43">
        <v>6</v>
      </c>
      <c r="AI100" s="44">
        <v>6</v>
      </c>
      <c r="AJ100" s="45">
        <v>6</v>
      </c>
      <c r="AK100" s="46">
        <v>2800000000</v>
      </c>
      <c r="AL100" s="47">
        <v>30000000000</v>
      </c>
      <c r="AM100" s="48">
        <v>2700000000</v>
      </c>
      <c r="AN100" s="49">
        <v>2500000000</v>
      </c>
      <c r="AO100" s="50">
        <v>38000000000</v>
      </c>
      <c r="AP100" s="37" t="s">
        <v>338</v>
      </c>
    </row>
    <row r="101" spans="1:42" customFormat="1" ht="48" customHeight="1" x14ac:dyDescent="0.25">
      <c r="A101" s="36">
        <v>100</v>
      </c>
      <c r="B101" s="37" t="s">
        <v>328</v>
      </c>
      <c r="C101" s="37" t="s">
        <v>465</v>
      </c>
      <c r="D101" s="38" t="s">
        <v>2384</v>
      </c>
      <c r="E101" s="80" t="s">
        <v>466</v>
      </c>
      <c r="F101" s="80" t="s">
        <v>467</v>
      </c>
      <c r="G101" s="36">
        <v>80</v>
      </c>
      <c r="H101" s="36">
        <v>2022</v>
      </c>
      <c r="I101" s="37" t="s">
        <v>468</v>
      </c>
      <c r="J101" s="38" t="s">
        <v>469</v>
      </c>
      <c r="K101" s="37" t="s">
        <v>36</v>
      </c>
      <c r="L101" s="37"/>
      <c r="M101" s="37" t="s">
        <v>470</v>
      </c>
      <c r="N101" s="36">
        <v>19</v>
      </c>
      <c r="O101" s="37" t="s">
        <v>339</v>
      </c>
      <c r="P101" s="36" t="s">
        <v>340</v>
      </c>
      <c r="Q101" s="37" t="s">
        <v>341</v>
      </c>
      <c r="R101" s="36" t="s">
        <v>547</v>
      </c>
      <c r="S101" s="37" t="s">
        <v>548</v>
      </c>
      <c r="T101" s="38" t="s">
        <v>549</v>
      </c>
      <c r="U101" s="37" t="s">
        <v>222</v>
      </c>
      <c r="V101" s="36" t="s">
        <v>550</v>
      </c>
      <c r="W101" s="37" t="s">
        <v>551</v>
      </c>
      <c r="X101" s="37" t="s">
        <v>552</v>
      </c>
      <c r="Y101" s="37" t="s">
        <v>36</v>
      </c>
      <c r="Z101" s="36">
        <v>6</v>
      </c>
      <c r="AA101" s="36" t="s">
        <v>2185</v>
      </c>
      <c r="AB101" s="37"/>
      <c r="AC101" s="37"/>
      <c r="AD101" s="37" t="s">
        <v>348</v>
      </c>
      <c r="AE101" s="37" t="s">
        <v>2188</v>
      </c>
      <c r="AF101" s="38" t="s">
        <v>2187</v>
      </c>
      <c r="AG101" s="42">
        <v>2</v>
      </c>
      <c r="AH101" s="43">
        <v>1</v>
      </c>
      <c r="AI101" s="44">
        <v>1</v>
      </c>
      <c r="AJ101" s="45">
        <v>1</v>
      </c>
      <c r="AK101" s="46">
        <v>3950000000</v>
      </c>
      <c r="AL101" s="47">
        <v>1100000000</v>
      </c>
      <c r="AM101" s="48">
        <v>1000000000</v>
      </c>
      <c r="AN101" s="49">
        <v>1300000000</v>
      </c>
      <c r="AO101" s="50">
        <v>7350000000</v>
      </c>
      <c r="AP101" s="37" t="s">
        <v>338</v>
      </c>
    </row>
    <row r="102" spans="1:42" customFormat="1" ht="48" customHeight="1" x14ac:dyDescent="0.25">
      <c r="A102" s="36">
        <v>101</v>
      </c>
      <c r="B102" s="37" t="s">
        <v>328</v>
      </c>
      <c r="C102" s="37" t="s">
        <v>465</v>
      </c>
      <c r="D102" s="38" t="s">
        <v>2384</v>
      </c>
      <c r="E102" s="80" t="s">
        <v>466</v>
      </c>
      <c r="F102" s="80" t="s">
        <v>467</v>
      </c>
      <c r="G102" s="36">
        <v>80</v>
      </c>
      <c r="H102" s="36">
        <v>2022</v>
      </c>
      <c r="I102" s="37" t="s">
        <v>468</v>
      </c>
      <c r="J102" s="38" t="s">
        <v>469</v>
      </c>
      <c r="K102" s="37" t="s">
        <v>36</v>
      </c>
      <c r="L102" s="37"/>
      <c r="M102" s="37" t="s">
        <v>470</v>
      </c>
      <c r="N102" s="36">
        <v>19</v>
      </c>
      <c r="O102" s="37" t="s">
        <v>339</v>
      </c>
      <c r="P102" s="36" t="s">
        <v>340</v>
      </c>
      <c r="Q102" s="37" t="s">
        <v>341</v>
      </c>
      <c r="R102" s="36" t="s">
        <v>553</v>
      </c>
      <c r="S102" s="37" t="s">
        <v>554</v>
      </c>
      <c r="T102" s="38" t="s">
        <v>555</v>
      </c>
      <c r="U102" s="37" t="s">
        <v>188</v>
      </c>
      <c r="V102" s="36" t="s">
        <v>556</v>
      </c>
      <c r="W102" s="37" t="s">
        <v>189</v>
      </c>
      <c r="X102" s="37" t="s">
        <v>2164</v>
      </c>
      <c r="Y102" s="37" t="s">
        <v>36</v>
      </c>
      <c r="Z102" s="36">
        <v>6</v>
      </c>
      <c r="AA102" s="36" t="s">
        <v>2185</v>
      </c>
      <c r="AB102" s="37"/>
      <c r="AC102" s="37"/>
      <c r="AD102" s="37" t="s">
        <v>348</v>
      </c>
      <c r="AE102" s="37" t="s">
        <v>2188</v>
      </c>
      <c r="AF102" s="38" t="s">
        <v>2187</v>
      </c>
      <c r="AG102" s="42">
        <v>1</v>
      </c>
      <c r="AH102" s="43">
        <v>3</v>
      </c>
      <c r="AI102" s="44">
        <v>2</v>
      </c>
      <c r="AJ102" s="45">
        <v>2</v>
      </c>
      <c r="AK102" s="46">
        <v>1000000000</v>
      </c>
      <c r="AL102" s="47">
        <v>1300000000</v>
      </c>
      <c r="AM102" s="48">
        <v>1400000000</v>
      </c>
      <c r="AN102" s="49">
        <v>1300000000</v>
      </c>
      <c r="AO102" s="50">
        <v>5000000000</v>
      </c>
      <c r="AP102" s="37" t="s">
        <v>338</v>
      </c>
    </row>
    <row r="103" spans="1:42" customFormat="1" ht="48" customHeight="1" x14ac:dyDescent="0.25">
      <c r="A103" s="36">
        <v>102</v>
      </c>
      <c r="B103" s="37" t="s">
        <v>328</v>
      </c>
      <c r="C103" s="37" t="s">
        <v>465</v>
      </c>
      <c r="D103" s="38" t="s">
        <v>2384</v>
      </c>
      <c r="E103" s="80" t="s">
        <v>466</v>
      </c>
      <c r="F103" s="80" t="s">
        <v>467</v>
      </c>
      <c r="G103" s="36">
        <v>80</v>
      </c>
      <c r="H103" s="36">
        <v>2022</v>
      </c>
      <c r="I103" s="37" t="s">
        <v>468</v>
      </c>
      <c r="J103" s="38" t="s">
        <v>469</v>
      </c>
      <c r="K103" s="37" t="s">
        <v>36</v>
      </c>
      <c r="L103" s="37"/>
      <c r="M103" s="37" t="s">
        <v>470</v>
      </c>
      <c r="N103" s="36">
        <v>19</v>
      </c>
      <c r="O103" s="37" t="s">
        <v>339</v>
      </c>
      <c r="P103" s="36" t="s">
        <v>340</v>
      </c>
      <c r="Q103" s="37" t="s">
        <v>341</v>
      </c>
      <c r="R103" s="36" t="s">
        <v>557</v>
      </c>
      <c r="S103" s="37" t="s">
        <v>558</v>
      </c>
      <c r="T103" s="38" t="s">
        <v>559</v>
      </c>
      <c r="U103" s="37" t="s">
        <v>560</v>
      </c>
      <c r="V103" s="36" t="s">
        <v>561</v>
      </c>
      <c r="W103" s="37" t="s">
        <v>558</v>
      </c>
      <c r="X103" s="37" t="s">
        <v>562</v>
      </c>
      <c r="Y103" s="37" t="s">
        <v>36</v>
      </c>
      <c r="Z103" s="36">
        <v>10</v>
      </c>
      <c r="AA103" s="36" t="s">
        <v>2185</v>
      </c>
      <c r="AB103" s="37"/>
      <c r="AC103" s="37"/>
      <c r="AD103" s="37" t="s">
        <v>348</v>
      </c>
      <c r="AE103" s="37" t="s">
        <v>2188</v>
      </c>
      <c r="AF103" s="38" t="s">
        <v>2187</v>
      </c>
      <c r="AG103" s="42">
        <v>2</v>
      </c>
      <c r="AH103" s="43">
        <v>2</v>
      </c>
      <c r="AI103" s="44">
        <v>2</v>
      </c>
      <c r="AJ103" s="45">
        <v>2</v>
      </c>
      <c r="AK103" s="46">
        <v>58600000000</v>
      </c>
      <c r="AL103" s="47">
        <v>47200000000</v>
      </c>
      <c r="AM103" s="48">
        <v>53350000000</v>
      </c>
      <c r="AN103" s="49">
        <v>45500000000</v>
      </c>
      <c r="AO103" s="50">
        <v>204650000000</v>
      </c>
      <c r="AP103" s="37" t="s">
        <v>338</v>
      </c>
    </row>
    <row r="104" spans="1:42" customFormat="1" ht="48" customHeight="1" x14ac:dyDescent="0.25">
      <c r="A104" s="36">
        <v>103</v>
      </c>
      <c r="B104" s="37" t="s">
        <v>328</v>
      </c>
      <c r="C104" s="37" t="s">
        <v>465</v>
      </c>
      <c r="D104" s="38" t="s">
        <v>2384</v>
      </c>
      <c r="E104" s="80" t="s">
        <v>466</v>
      </c>
      <c r="F104" s="80" t="s">
        <v>467</v>
      </c>
      <c r="G104" s="36">
        <v>80</v>
      </c>
      <c r="H104" s="36">
        <v>2022</v>
      </c>
      <c r="I104" s="37" t="s">
        <v>468</v>
      </c>
      <c r="J104" s="38" t="s">
        <v>469</v>
      </c>
      <c r="K104" s="37" t="s">
        <v>36</v>
      </c>
      <c r="L104" s="37"/>
      <c r="M104" s="37" t="s">
        <v>470</v>
      </c>
      <c r="N104" s="36">
        <v>19</v>
      </c>
      <c r="O104" s="37" t="s">
        <v>339</v>
      </c>
      <c r="P104" s="36" t="s">
        <v>340</v>
      </c>
      <c r="Q104" s="37" t="s">
        <v>341</v>
      </c>
      <c r="R104" s="36" t="s">
        <v>563</v>
      </c>
      <c r="S104" s="37" t="s">
        <v>564</v>
      </c>
      <c r="T104" s="38" t="s">
        <v>565</v>
      </c>
      <c r="U104" s="37" t="s">
        <v>560</v>
      </c>
      <c r="V104" s="36" t="s">
        <v>566</v>
      </c>
      <c r="W104" s="37" t="s">
        <v>564</v>
      </c>
      <c r="X104" s="37" t="s">
        <v>567</v>
      </c>
      <c r="Y104" s="37" t="s">
        <v>36</v>
      </c>
      <c r="Z104" s="36">
        <v>8</v>
      </c>
      <c r="AA104" s="36" t="s">
        <v>2185</v>
      </c>
      <c r="AB104" s="37"/>
      <c r="AC104" s="37"/>
      <c r="AD104" s="37" t="s">
        <v>348</v>
      </c>
      <c r="AE104" s="37" t="s">
        <v>2188</v>
      </c>
      <c r="AF104" s="38" t="s">
        <v>2187</v>
      </c>
      <c r="AG104" s="71">
        <v>0.5</v>
      </c>
      <c r="AH104" s="53">
        <v>0.5</v>
      </c>
      <c r="AI104" s="54">
        <v>2</v>
      </c>
      <c r="AJ104" s="55">
        <v>0</v>
      </c>
      <c r="AK104" s="46">
        <v>1500000000</v>
      </c>
      <c r="AL104" s="47">
        <v>2600000000</v>
      </c>
      <c r="AM104" s="48">
        <v>2500000000</v>
      </c>
      <c r="AN104" s="49">
        <v>0</v>
      </c>
      <c r="AO104" s="50">
        <v>6600000000</v>
      </c>
      <c r="AP104" s="37" t="s">
        <v>338</v>
      </c>
    </row>
    <row r="105" spans="1:42" customFormat="1" ht="48" customHeight="1" x14ac:dyDescent="0.25">
      <c r="A105" s="36">
        <v>104</v>
      </c>
      <c r="B105" s="37" t="s">
        <v>328</v>
      </c>
      <c r="C105" s="37" t="s">
        <v>465</v>
      </c>
      <c r="D105" s="38" t="s">
        <v>2384</v>
      </c>
      <c r="E105" s="80" t="s">
        <v>466</v>
      </c>
      <c r="F105" s="80" t="s">
        <v>467</v>
      </c>
      <c r="G105" s="36">
        <v>80</v>
      </c>
      <c r="H105" s="36">
        <v>2022</v>
      </c>
      <c r="I105" s="37" t="s">
        <v>468</v>
      </c>
      <c r="J105" s="38" t="s">
        <v>469</v>
      </c>
      <c r="K105" s="37" t="s">
        <v>36</v>
      </c>
      <c r="L105" s="37"/>
      <c r="M105" s="37" t="s">
        <v>470</v>
      </c>
      <c r="N105" s="36">
        <v>19</v>
      </c>
      <c r="O105" s="37" t="s">
        <v>339</v>
      </c>
      <c r="P105" s="36" t="s">
        <v>340</v>
      </c>
      <c r="Q105" s="37" t="s">
        <v>341</v>
      </c>
      <c r="R105" s="36" t="s">
        <v>568</v>
      </c>
      <c r="S105" s="37" t="s">
        <v>569</v>
      </c>
      <c r="T105" s="38" t="s">
        <v>570</v>
      </c>
      <c r="U105" s="37" t="s">
        <v>560</v>
      </c>
      <c r="V105" s="36" t="s">
        <v>571</v>
      </c>
      <c r="W105" s="37" t="s">
        <v>569</v>
      </c>
      <c r="X105" s="37" t="s">
        <v>572</v>
      </c>
      <c r="Y105" s="37" t="s">
        <v>36</v>
      </c>
      <c r="Z105" s="36">
        <v>3</v>
      </c>
      <c r="AA105" s="36" t="s">
        <v>2185</v>
      </c>
      <c r="AB105" s="37"/>
      <c r="AC105" s="37"/>
      <c r="AD105" s="37" t="s">
        <v>348</v>
      </c>
      <c r="AE105" s="37" t="s">
        <v>2188</v>
      </c>
      <c r="AF105" s="38" t="s">
        <v>2187</v>
      </c>
      <c r="AG105" s="71">
        <v>0.5</v>
      </c>
      <c r="AH105" s="53">
        <v>1</v>
      </c>
      <c r="AI105" s="54">
        <v>1.5</v>
      </c>
      <c r="AJ105" s="55">
        <v>1</v>
      </c>
      <c r="AK105" s="46">
        <v>10000000</v>
      </c>
      <c r="AL105" s="47">
        <v>4000000000</v>
      </c>
      <c r="AM105" s="48">
        <v>6000000000</v>
      </c>
      <c r="AN105" s="49">
        <v>1800000000</v>
      </c>
      <c r="AO105" s="50">
        <v>11810000000</v>
      </c>
      <c r="AP105" s="37" t="s">
        <v>338</v>
      </c>
    </row>
    <row r="106" spans="1:42" customFormat="1" ht="48" customHeight="1" x14ac:dyDescent="0.25">
      <c r="A106" s="36">
        <v>105</v>
      </c>
      <c r="B106" s="37" t="s">
        <v>328</v>
      </c>
      <c r="C106" s="37" t="s">
        <v>465</v>
      </c>
      <c r="D106" s="38" t="s">
        <v>2384</v>
      </c>
      <c r="E106" s="80" t="s">
        <v>466</v>
      </c>
      <c r="F106" s="80" t="s">
        <v>467</v>
      </c>
      <c r="G106" s="36">
        <v>80</v>
      </c>
      <c r="H106" s="36">
        <v>2022</v>
      </c>
      <c r="I106" s="37" t="s">
        <v>468</v>
      </c>
      <c r="J106" s="38" t="s">
        <v>469</v>
      </c>
      <c r="K106" s="37" t="s">
        <v>36</v>
      </c>
      <c r="L106" s="37"/>
      <c r="M106" s="37" t="s">
        <v>470</v>
      </c>
      <c r="N106" s="36">
        <v>19</v>
      </c>
      <c r="O106" s="37" t="s">
        <v>339</v>
      </c>
      <c r="P106" s="36" t="s">
        <v>340</v>
      </c>
      <c r="Q106" s="37" t="s">
        <v>341</v>
      </c>
      <c r="R106" s="36" t="s">
        <v>573</v>
      </c>
      <c r="S106" s="37" t="s">
        <v>574</v>
      </c>
      <c r="T106" s="38" t="s">
        <v>575</v>
      </c>
      <c r="U106" s="37" t="s">
        <v>560</v>
      </c>
      <c r="V106" s="36" t="s">
        <v>576</v>
      </c>
      <c r="W106" s="37" t="s">
        <v>574</v>
      </c>
      <c r="X106" s="37" t="s">
        <v>577</v>
      </c>
      <c r="Y106" s="37" t="s">
        <v>36</v>
      </c>
      <c r="Z106" s="36">
        <v>0</v>
      </c>
      <c r="AA106" s="36" t="s">
        <v>2185</v>
      </c>
      <c r="AB106" s="37"/>
      <c r="AC106" s="37"/>
      <c r="AD106" s="37" t="s">
        <v>348</v>
      </c>
      <c r="AE106" s="37" t="s">
        <v>2188</v>
      </c>
      <c r="AF106" s="38" t="s">
        <v>2187</v>
      </c>
      <c r="AG106" s="42">
        <v>0</v>
      </c>
      <c r="AH106" s="43">
        <v>1</v>
      </c>
      <c r="AI106" s="44">
        <v>0</v>
      </c>
      <c r="AJ106" s="45">
        <v>0</v>
      </c>
      <c r="AK106" s="46">
        <v>0</v>
      </c>
      <c r="AL106" s="47">
        <v>600000000</v>
      </c>
      <c r="AM106" s="48">
        <v>0</v>
      </c>
      <c r="AN106" s="49">
        <v>0</v>
      </c>
      <c r="AO106" s="50">
        <v>600000000</v>
      </c>
      <c r="AP106" s="37" t="s">
        <v>338</v>
      </c>
    </row>
    <row r="107" spans="1:42" customFormat="1" ht="48" customHeight="1" x14ac:dyDescent="0.25">
      <c r="A107" s="36">
        <v>106</v>
      </c>
      <c r="B107" s="37" t="s">
        <v>328</v>
      </c>
      <c r="C107" s="37" t="s">
        <v>465</v>
      </c>
      <c r="D107" s="38" t="s">
        <v>2384</v>
      </c>
      <c r="E107" s="80" t="s">
        <v>466</v>
      </c>
      <c r="F107" s="80" t="s">
        <v>467</v>
      </c>
      <c r="G107" s="36">
        <v>80</v>
      </c>
      <c r="H107" s="36">
        <v>2022</v>
      </c>
      <c r="I107" s="37" t="s">
        <v>468</v>
      </c>
      <c r="J107" s="38" t="s">
        <v>469</v>
      </c>
      <c r="K107" s="37" t="s">
        <v>36</v>
      </c>
      <c r="L107" s="37"/>
      <c r="M107" s="37" t="s">
        <v>470</v>
      </c>
      <c r="N107" s="36">
        <v>19</v>
      </c>
      <c r="O107" s="37" t="s">
        <v>339</v>
      </c>
      <c r="P107" s="36" t="s">
        <v>340</v>
      </c>
      <c r="Q107" s="37" t="s">
        <v>341</v>
      </c>
      <c r="R107" s="36" t="s">
        <v>578</v>
      </c>
      <c r="S107" s="37" t="s">
        <v>579</v>
      </c>
      <c r="T107" s="38" t="s">
        <v>580</v>
      </c>
      <c r="U107" s="37" t="s">
        <v>560</v>
      </c>
      <c r="V107" s="36" t="s">
        <v>581</v>
      </c>
      <c r="W107" s="37" t="s">
        <v>579</v>
      </c>
      <c r="X107" s="37" t="s">
        <v>582</v>
      </c>
      <c r="Y107" s="37" t="s">
        <v>36</v>
      </c>
      <c r="Z107" s="36">
        <v>0</v>
      </c>
      <c r="AA107" s="36" t="s">
        <v>2185</v>
      </c>
      <c r="AB107" s="37"/>
      <c r="AC107" s="37"/>
      <c r="AD107" s="37" t="s">
        <v>348</v>
      </c>
      <c r="AE107" s="37" t="s">
        <v>2188</v>
      </c>
      <c r="AF107" s="38" t="s">
        <v>2187</v>
      </c>
      <c r="AG107" s="42">
        <v>0</v>
      </c>
      <c r="AH107" s="43">
        <v>1</v>
      </c>
      <c r="AI107" s="44">
        <v>0</v>
      </c>
      <c r="AJ107" s="45">
        <v>0</v>
      </c>
      <c r="AK107" s="46">
        <v>0</v>
      </c>
      <c r="AL107" s="47">
        <v>70000000000</v>
      </c>
      <c r="AM107" s="48">
        <v>0</v>
      </c>
      <c r="AN107" s="49">
        <v>0</v>
      </c>
      <c r="AO107" s="50">
        <v>70000000000</v>
      </c>
      <c r="AP107" s="37" t="s">
        <v>338</v>
      </c>
    </row>
    <row r="108" spans="1:42" customFormat="1" ht="48" customHeight="1" x14ac:dyDescent="0.25">
      <c r="A108" s="36">
        <v>107</v>
      </c>
      <c r="B108" s="37" t="s">
        <v>328</v>
      </c>
      <c r="C108" s="37" t="s">
        <v>465</v>
      </c>
      <c r="D108" s="38" t="s">
        <v>2384</v>
      </c>
      <c r="E108" s="80" t="s">
        <v>466</v>
      </c>
      <c r="F108" s="80" t="s">
        <v>467</v>
      </c>
      <c r="G108" s="36">
        <v>80</v>
      </c>
      <c r="H108" s="36">
        <v>2022</v>
      </c>
      <c r="I108" s="37" t="s">
        <v>468</v>
      </c>
      <c r="J108" s="38" t="s">
        <v>469</v>
      </c>
      <c r="K108" s="37" t="s">
        <v>36</v>
      </c>
      <c r="L108" s="37"/>
      <c r="M108" s="37" t="s">
        <v>470</v>
      </c>
      <c r="N108" s="36">
        <v>19</v>
      </c>
      <c r="O108" s="37" t="s">
        <v>339</v>
      </c>
      <c r="P108" s="36" t="s">
        <v>340</v>
      </c>
      <c r="Q108" s="37" t="s">
        <v>341</v>
      </c>
      <c r="R108" s="36" t="s">
        <v>583</v>
      </c>
      <c r="S108" s="37" t="s">
        <v>584</v>
      </c>
      <c r="T108" s="38" t="s">
        <v>585</v>
      </c>
      <c r="U108" s="37" t="s">
        <v>560</v>
      </c>
      <c r="V108" s="36" t="s">
        <v>586</v>
      </c>
      <c r="W108" s="37" t="s">
        <v>584</v>
      </c>
      <c r="X108" s="37" t="s">
        <v>587</v>
      </c>
      <c r="Y108" s="37" t="s">
        <v>36</v>
      </c>
      <c r="Z108" s="36">
        <v>2</v>
      </c>
      <c r="AA108" s="36" t="s">
        <v>2185</v>
      </c>
      <c r="AB108" s="37"/>
      <c r="AC108" s="37"/>
      <c r="AD108" s="37" t="s">
        <v>348</v>
      </c>
      <c r="AE108" s="37" t="s">
        <v>2188</v>
      </c>
      <c r="AF108" s="38" t="s">
        <v>2187</v>
      </c>
      <c r="AG108" s="42">
        <v>1</v>
      </c>
      <c r="AH108" s="43">
        <v>0</v>
      </c>
      <c r="AI108" s="44">
        <v>0</v>
      </c>
      <c r="AJ108" s="45">
        <v>0</v>
      </c>
      <c r="AK108" s="46">
        <v>25000000000</v>
      </c>
      <c r="AL108" s="47">
        <v>0</v>
      </c>
      <c r="AM108" s="48">
        <v>0</v>
      </c>
      <c r="AN108" s="49">
        <v>0</v>
      </c>
      <c r="AO108" s="50">
        <v>25000000000</v>
      </c>
      <c r="AP108" s="37" t="s">
        <v>338</v>
      </c>
    </row>
    <row r="109" spans="1:42" customFormat="1" ht="48" customHeight="1" x14ac:dyDescent="0.25">
      <c r="A109" s="36">
        <v>108</v>
      </c>
      <c r="B109" s="37" t="s">
        <v>328</v>
      </c>
      <c r="C109" s="37" t="s">
        <v>465</v>
      </c>
      <c r="D109" s="38" t="s">
        <v>2384</v>
      </c>
      <c r="E109" s="80" t="s">
        <v>466</v>
      </c>
      <c r="F109" s="80" t="s">
        <v>467</v>
      </c>
      <c r="G109" s="36">
        <v>80</v>
      </c>
      <c r="H109" s="36">
        <v>2022</v>
      </c>
      <c r="I109" s="37" t="s">
        <v>468</v>
      </c>
      <c r="J109" s="38" t="s">
        <v>469</v>
      </c>
      <c r="K109" s="37" t="s">
        <v>36</v>
      </c>
      <c r="L109" s="37"/>
      <c r="M109" s="37" t="s">
        <v>470</v>
      </c>
      <c r="N109" s="36">
        <v>19</v>
      </c>
      <c r="O109" s="37" t="s">
        <v>339</v>
      </c>
      <c r="P109" s="36" t="s">
        <v>340</v>
      </c>
      <c r="Q109" s="37" t="s">
        <v>341</v>
      </c>
      <c r="R109" s="36" t="s">
        <v>588</v>
      </c>
      <c r="S109" s="37" t="s">
        <v>589</v>
      </c>
      <c r="T109" s="38" t="s">
        <v>590</v>
      </c>
      <c r="U109" s="37" t="s">
        <v>560</v>
      </c>
      <c r="V109" s="36" t="s">
        <v>591</v>
      </c>
      <c r="W109" s="37" t="s">
        <v>592</v>
      </c>
      <c r="X109" s="37" t="s">
        <v>593</v>
      </c>
      <c r="Y109" s="37" t="s">
        <v>36</v>
      </c>
      <c r="Z109" s="36">
        <v>0</v>
      </c>
      <c r="AA109" s="36" t="s">
        <v>2185</v>
      </c>
      <c r="AB109" s="37"/>
      <c r="AC109" s="37"/>
      <c r="AD109" s="37" t="s">
        <v>348</v>
      </c>
      <c r="AE109" s="37" t="s">
        <v>2188</v>
      </c>
      <c r="AF109" s="38" t="s">
        <v>2187</v>
      </c>
      <c r="AG109" s="42">
        <v>0</v>
      </c>
      <c r="AH109" s="43">
        <v>1</v>
      </c>
      <c r="AI109" s="44">
        <v>0</v>
      </c>
      <c r="AJ109" s="45">
        <v>0</v>
      </c>
      <c r="AK109" s="46">
        <v>0</v>
      </c>
      <c r="AL109" s="47">
        <v>4000000000</v>
      </c>
      <c r="AM109" s="48">
        <v>0</v>
      </c>
      <c r="AN109" s="49">
        <v>0</v>
      </c>
      <c r="AO109" s="50">
        <v>4000000000</v>
      </c>
      <c r="AP109" s="37" t="s">
        <v>338</v>
      </c>
    </row>
    <row r="110" spans="1:42" customFormat="1" ht="48" customHeight="1" x14ac:dyDescent="0.25">
      <c r="A110" s="36">
        <v>109</v>
      </c>
      <c r="B110" s="37" t="s">
        <v>328</v>
      </c>
      <c r="C110" s="37" t="s">
        <v>465</v>
      </c>
      <c r="D110" s="38" t="s">
        <v>2384</v>
      </c>
      <c r="E110" s="80" t="s">
        <v>466</v>
      </c>
      <c r="F110" s="80" t="s">
        <v>467</v>
      </c>
      <c r="G110" s="36">
        <v>80</v>
      </c>
      <c r="H110" s="36">
        <v>2022</v>
      </c>
      <c r="I110" s="37" t="s">
        <v>468</v>
      </c>
      <c r="J110" s="38" t="s">
        <v>469</v>
      </c>
      <c r="K110" s="37" t="s">
        <v>36</v>
      </c>
      <c r="L110" s="37"/>
      <c r="M110" s="37" t="s">
        <v>470</v>
      </c>
      <c r="N110" s="36" t="s">
        <v>785</v>
      </c>
      <c r="O110" s="38" t="s">
        <v>940</v>
      </c>
      <c r="P110" s="36" t="s">
        <v>1488</v>
      </c>
      <c r="Q110" s="38" t="s">
        <v>2394</v>
      </c>
      <c r="R110" s="36" t="s">
        <v>2395</v>
      </c>
      <c r="S110" s="58" t="s">
        <v>594</v>
      </c>
      <c r="T110" s="38" t="s">
        <v>595</v>
      </c>
      <c r="U110" s="58" t="s">
        <v>83</v>
      </c>
      <c r="V110" s="36" t="s">
        <v>2396</v>
      </c>
      <c r="W110" s="58" t="s">
        <v>594</v>
      </c>
      <c r="X110" s="41" t="s">
        <v>2034</v>
      </c>
      <c r="Y110" s="37" t="s">
        <v>36</v>
      </c>
      <c r="Z110" s="36">
        <v>0</v>
      </c>
      <c r="AA110" s="36" t="s">
        <v>2185</v>
      </c>
      <c r="AB110" s="37"/>
      <c r="AC110" s="37" t="s">
        <v>2187</v>
      </c>
      <c r="AD110" s="37" t="s">
        <v>348</v>
      </c>
      <c r="AE110" s="37" t="s">
        <v>2188</v>
      </c>
      <c r="AF110" s="38" t="s">
        <v>2187</v>
      </c>
      <c r="AG110" s="42">
        <v>0</v>
      </c>
      <c r="AH110" s="43">
        <v>0</v>
      </c>
      <c r="AI110" s="44">
        <v>0.5</v>
      </c>
      <c r="AJ110" s="45">
        <v>0.5</v>
      </c>
      <c r="AK110" s="46">
        <v>0</v>
      </c>
      <c r="AL110" s="47">
        <v>0</v>
      </c>
      <c r="AM110" s="48">
        <v>30000000000</v>
      </c>
      <c r="AN110" s="49">
        <v>30000000000</v>
      </c>
      <c r="AO110" s="50">
        <v>60000000000</v>
      </c>
      <c r="AP110" s="37" t="s">
        <v>338</v>
      </c>
    </row>
    <row r="111" spans="1:42" customFormat="1" ht="63.75" x14ac:dyDescent="0.25">
      <c r="A111" s="36">
        <v>110</v>
      </c>
      <c r="B111" s="37" t="s">
        <v>328</v>
      </c>
      <c r="C111" s="37" t="s">
        <v>465</v>
      </c>
      <c r="D111" s="38" t="s">
        <v>2384</v>
      </c>
      <c r="E111" s="80" t="s">
        <v>466</v>
      </c>
      <c r="F111" s="80" t="s">
        <v>467</v>
      </c>
      <c r="G111" s="36">
        <v>80</v>
      </c>
      <c r="H111" s="36">
        <v>2022</v>
      </c>
      <c r="I111" s="37" t="s">
        <v>468</v>
      </c>
      <c r="J111" s="38" t="s">
        <v>469</v>
      </c>
      <c r="K111" s="37" t="s">
        <v>36</v>
      </c>
      <c r="L111" s="37"/>
      <c r="M111" s="37" t="s">
        <v>470</v>
      </c>
      <c r="N111" s="36">
        <v>19</v>
      </c>
      <c r="O111" s="37" t="s">
        <v>339</v>
      </c>
      <c r="P111" s="36" t="s">
        <v>340</v>
      </c>
      <c r="Q111" s="38" t="s">
        <v>2496</v>
      </c>
      <c r="R111" s="36" t="s">
        <v>553</v>
      </c>
      <c r="S111" s="58" t="s">
        <v>554</v>
      </c>
      <c r="T111" s="38" t="s">
        <v>555</v>
      </c>
      <c r="U111" s="58" t="s">
        <v>188</v>
      </c>
      <c r="V111" s="36" t="s">
        <v>556</v>
      </c>
      <c r="W111" s="38" t="s">
        <v>189</v>
      </c>
      <c r="X111" s="58" t="s">
        <v>597</v>
      </c>
      <c r="Y111" s="58" t="s">
        <v>36</v>
      </c>
      <c r="Z111" s="51">
        <v>0</v>
      </c>
      <c r="AA111" s="51" t="s">
        <v>2185</v>
      </c>
      <c r="AB111" s="58"/>
      <c r="AC111" s="58" t="s">
        <v>2187</v>
      </c>
      <c r="AD111" s="37" t="s">
        <v>348</v>
      </c>
      <c r="AE111" s="37" t="s">
        <v>2188</v>
      </c>
      <c r="AF111" s="38" t="s">
        <v>2187</v>
      </c>
      <c r="AG111" s="71">
        <v>0.2</v>
      </c>
      <c r="AH111" s="53">
        <v>0.8</v>
      </c>
      <c r="AI111" s="54">
        <v>0</v>
      </c>
      <c r="AJ111" s="55">
        <v>0</v>
      </c>
      <c r="AK111" s="46">
        <v>1000000000</v>
      </c>
      <c r="AL111" s="47">
        <v>1000000000</v>
      </c>
      <c r="AM111" s="48">
        <v>0</v>
      </c>
      <c r="AN111" s="49">
        <v>0</v>
      </c>
      <c r="AO111" s="50">
        <v>2000000000</v>
      </c>
      <c r="AP111" s="37" t="s">
        <v>338</v>
      </c>
    </row>
    <row r="112" spans="1:42" customFormat="1" ht="63.75" x14ac:dyDescent="0.25">
      <c r="A112" s="36">
        <v>111</v>
      </c>
      <c r="B112" s="37" t="s">
        <v>328</v>
      </c>
      <c r="C112" s="37" t="s">
        <v>465</v>
      </c>
      <c r="D112" s="38" t="s">
        <v>2384</v>
      </c>
      <c r="E112" s="80" t="s">
        <v>466</v>
      </c>
      <c r="F112" s="80" t="s">
        <v>467</v>
      </c>
      <c r="G112" s="36">
        <v>80</v>
      </c>
      <c r="H112" s="36">
        <v>2022</v>
      </c>
      <c r="I112" s="37" t="s">
        <v>468</v>
      </c>
      <c r="J112" s="38" t="s">
        <v>469</v>
      </c>
      <c r="K112" s="37" t="s">
        <v>36</v>
      </c>
      <c r="L112" s="37"/>
      <c r="M112" s="37" t="s">
        <v>470</v>
      </c>
      <c r="N112" s="36">
        <v>19</v>
      </c>
      <c r="O112" s="37" t="s">
        <v>339</v>
      </c>
      <c r="P112" s="36" t="s">
        <v>404</v>
      </c>
      <c r="Q112" s="37" t="s">
        <v>405</v>
      </c>
      <c r="R112" s="36" t="s">
        <v>598</v>
      </c>
      <c r="S112" s="37" t="s">
        <v>599</v>
      </c>
      <c r="T112" s="38" t="s">
        <v>600</v>
      </c>
      <c r="U112" s="37" t="s">
        <v>601</v>
      </c>
      <c r="V112" s="36" t="s">
        <v>602</v>
      </c>
      <c r="W112" s="37" t="s">
        <v>603</v>
      </c>
      <c r="X112" s="37" t="s">
        <v>604</v>
      </c>
      <c r="Y112" s="37" t="s">
        <v>36</v>
      </c>
      <c r="Z112" s="36">
        <v>3000</v>
      </c>
      <c r="AA112" s="36" t="s">
        <v>2185</v>
      </c>
      <c r="AB112" s="37"/>
      <c r="AC112" s="37"/>
      <c r="AD112" s="37" t="s">
        <v>348</v>
      </c>
      <c r="AE112" s="37" t="s">
        <v>2188</v>
      </c>
      <c r="AF112" s="38" t="s">
        <v>2187</v>
      </c>
      <c r="AG112" s="42">
        <v>100</v>
      </c>
      <c r="AH112" s="43">
        <v>400</v>
      </c>
      <c r="AI112" s="44">
        <v>400</v>
      </c>
      <c r="AJ112" s="45">
        <v>400</v>
      </c>
      <c r="AK112" s="46">
        <v>1287600000</v>
      </c>
      <c r="AL112" s="47">
        <v>1362924600</v>
      </c>
      <c r="AM112" s="48">
        <v>1442655689.0999999</v>
      </c>
      <c r="AN112" s="49">
        <v>1527051046.9100001</v>
      </c>
      <c r="AO112" s="50">
        <v>5620231336.0100002</v>
      </c>
      <c r="AP112" s="37" t="s">
        <v>338</v>
      </c>
    </row>
    <row r="113" spans="1:42" customFormat="1" ht="63.75" x14ac:dyDescent="0.25">
      <c r="A113" s="36">
        <v>112</v>
      </c>
      <c r="B113" s="37" t="s">
        <v>328</v>
      </c>
      <c r="C113" s="37" t="s">
        <v>465</v>
      </c>
      <c r="D113" s="38" t="s">
        <v>2384</v>
      </c>
      <c r="E113" s="80" t="s">
        <v>466</v>
      </c>
      <c r="F113" s="80" t="s">
        <v>467</v>
      </c>
      <c r="G113" s="36">
        <v>80</v>
      </c>
      <c r="H113" s="36">
        <v>2022</v>
      </c>
      <c r="I113" s="37" t="s">
        <v>468</v>
      </c>
      <c r="J113" s="38" t="s">
        <v>469</v>
      </c>
      <c r="K113" s="37" t="s">
        <v>36</v>
      </c>
      <c r="L113" s="37"/>
      <c r="M113" s="37" t="s">
        <v>470</v>
      </c>
      <c r="N113" s="36">
        <v>19</v>
      </c>
      <c r="O113" s="37" t="s">
        <v>339</v>
      </c>
      <c r="P113" s="36" t="s">
        <v>404</v>
      </c>
      <c r="Q113" s="37" t="s">
        <v>405</v>
      </c>
      <c r="R113" s="36" t="s">
        <v>511</v>
      </c>
      <c r="S113" s="37" t="s">
        <v>512</v>
      </c>
      <c r="T113" s="38" t="s">
        <v>513</v>
      </c>
      <c r="U113" s="38" t="s">
        <v>514</v>
      </c>
      <c r="V113" s="36" t="s">
        <v>515</v>
      </c>
      <c r="W113" s="37" t="s">
        <v>516</v>
      </c>
      <c r="X113" s="37" t="s">
        <v>2363</v>
      </c>
      <c r="Y113" s="37" t="s">
        <v>36</v>
      </c>
      <c r="Z113" s="36">
        <v>4219</v>
      </c>
      <c r="AA113" s="36" t="s">
        <v>2185</v>
      </c>
      <c r="AB113" s="37" t="s">
        <v>2230</v>
      </c>
      <c r="AC113" s="37" t="s">
        <v>2187</v>
      </c>
      <c r="AD113" s="37" t="s">
        <v>348</v>
      </c>
      <c r="AE113" s="37" t="s">
        <v>2188</v>
      </c>
      <c r="AF113" s="38" t="s">
        <v>2187</v>
      </c>
      <c r="AG113" s="42">
        <v>3000</v>
      </c>
      <c r="AH113" s="43">
        <v>3000</v>
      </c>
      <c r="AI113" s="44">
        <v>3000</v>
      </c>
      <c r="AJ113" s="45">
        <v>3000</v>
      </c>
      <c r="AK113" s="46">
        <v>746300000</v>
      </c>
      <c r="AL113" s="47">
        <v>789585400</v>
      </c>
      <c r="AM113" s="48">
        <v>819984437.89999998</v>
      </c>
      <c r="AN113" s="49">
        <v>851553838.75999999</v>
      </c>
      <c r="AO113" s="50">
        <v>3207423676.6599998</v>
      </c>
      <c r="AP113" s="37" t="s">
        <v>338</v>
      </c>
    </row>
    <row r="114" spans="1:42" customFormat="1" ht="63.75" x14ac:dyDescent="0.25">
      <c r="A114" s="36">
        <v>113</v>
      </c>
      <c r="B114" s="37" t="s">
        <v>328</v>
      </c>
      <c r="C114" s="37" t="s">
        <v>465</v>
      </c>
      <c r="D114" s="38" t="s">
        <v>2384</v>
      </c>
      <c r="E114" s="80" t="s">
        <v>466</v>
      </c>
      <c r="F114" s="80" t="s">
        <v>467</v>
      </c>
      <c r="G114" s="36">
        <v>80</v>
      </c>
      <c r="H114" s="36">
        <v>2022</v>
      </c>
      <c r="I114" s="37" t="s">
        <v>468</v>
      </c>
      <c r="J114" s="38" t="s">
        <v>469</v>
      </c>
      <c r="K114" s="37" t="s">
        <v>36</v>
      </c>
      <c r="L114" s="37"/>
      <c r="M114" s="37" t="s">
        <v>470</v>
      </c>
      <c r="N114" s="36">
        <v>19</v>
      </c>
      <c r="O114" s="37" t="s">
        <v>339</v>
      </c>
      <c r="P114" s="36" t="s">
        <v>404</v>
      </c>
      <c r="Q114" s="37" t="s">
        <v>405</v>
      </c>
      <c r="R114" s="36" t="s">
        <v>2035</v>
      </c>
      <c r="S114" s="37" t="s">
        <v>2036</v>
      </c>
      <c r="T114" s="38" t="s">
        <v>2039</v>
      </c>
      <c r="U114" s="38" t="s">
        <v>1878</v>
      </c>
      <c r="V114" s="36" t="s">
        <v>2037</v>
      </c>
      <c r="W114" s="37" t="s">
        <v>2038</v>
      </c>
      <c r="X114" s="37" t="s">
        <v>2364</v>
      </c>
      <c r="Y114" s="37" t="s">
        <v>36</v>
      </c>
      <c r="Z114" s="36">
        <v>1</v>
      </c>
      <c r="AA114" s="36" t="s">
        <v>2192</v>
      </c>
      <c r="AB114" s="37" t="s">
        <v>2230</v>
      </c>
      <c r="AC114" s="37" t="s">
        <v>2187</v>
      </c>
      <c r="AD114" s="37" t="s">
        <v>348</v>
      </c>
      <c r="AE114" s="37" t="s">
        <v>2188</v>
      </c>
      <c r="AF114" s="38" t="s">
        <v>2187</v>
      </c>
      <c r="AG114" s="42">
        <v>1</v>
      </c>
      <c r="AH114" s="43">
        <v>1</v>
      </c>
      <c r="AI114" s="44">
        <v>1</v>
      </c>
      <c r="AJ114" s="45">
        <v>1</v>
      </c>
      <c r="AK114" s="46">
        <v>86600000</v>
      </c>
      <c r="AL114" s="47">
        <v>91622800</v>
      </c>
      <c r="AM114" s="48">
        <v>95150277.799999997</v>
      </c>
      <c r="AN114" s="49">
        <v>98813563.5</v>
      </c>
      <c r="AO114" s="50">
        <v>372186641.30000001</v>
      </c>
      <c r="AP114" s="37" t="s">
        <v>338</v>
      </c>
    </row>
    <row r="115" spans="1:42" customFormat="1" ht="63.75" x14ac:dyDescent="0.25">
      <c r="A115" s="36">
        <v>114</v>
      </c>
      <c r="B115" s="37" t="s">
        <v>328</v>
      </c>
      <c r="C115" s="37" t="s">
        <v>465</v>
      </c>
      <c r="D115" s="38" t="s">
        <v>2384</v>
      </c>
      <c r="E115" s="80" t="s">
        <v>466</v>
      </c>
      <c r="F115" s="80" t="s">
        <v>467</v>
      </c>
      <c r="G115" s="36">
        <v>80</v>
      </c>
      <c r="H115" s="36">
        <v>2022</v>
      </c>
      <c r="I115" s="37" t="s">
        <v>468</v>
      </c>
      <c r="J115" s="38" t="s">
        <v>469</v>
      </c>
      <c r="K115" s="37" t="s">
        <v>36</v>
      </c>
      <c r="L115" s="37"/>
      <c r="M115" s="37" t="s">
        <v>470</v>
      </c>
      <c r="N115" s="36">
        <v>19</v>
      </c>
      <c r="O115" s="37" t="s">
        <v>339</v>
      </c>
      <c r="P115" s="36" t="s">
        <v>404</v>
      </c>
      <c r="Q115" s="37" t="s">
        <v>405</v>
      </c>
      <c r="R115" s="36" t="s">
        <v>605</v>
      </c>
      <c r="S115" s="37" t="s">
        <v>606</v>
      </c>
      <c r="T115" s="38" t="s">
        <v>607</v>
      </c>
      <c r="U115" s="37" t="s">
        <v>608</v>
      </c>
      <c r="V115" s="36" t="s">
        <v>609</v>
      </c>
      <c r="W115" s="37" t="s">
        <v>610</v>
      </c>
      <c r="X115" s="37" t="s">
        <v>611</v>
      </c>
      <c r="Y115" s="37" t="s">
        <v>25</v>
      </c>
      <c r="Z115" s="36">
        <v>100</v>
      </c>
      <c r="AA115" s="36" t="s">
        <v>2192</v>
      </c>
      <c r="AB115" s="37" t="s">
        <v>2230</v>
      </c>
      <c r="AC115" s="37" t="s">
        <v>2187</v>
      </c>
      <c r="AD115" s="37" t="s">
        <v>348</v>
      </c>
      <c r="AE115" s="37" t="s">
        <v>2188</v>
      </c>
      <c r="AF115" s="38" t="s">
        <v>2187</v>
      </c>
      <c r="AG115" s="83">
        <v>1</v>
      </c>
      <c r="AH115" s="84">
        <v>1</v>
      </c>
      <c r="AI115" s="85">
        <v>1</v>
      </c>
      <c r="AJ115" s="86">
        <v>1</v>
      </c>
      <c r="AK115" s="46">
        <v>83600000</v>
      </c>
      <c r="AL115" s="47">
        <v>88448800</v>
      </c>
      <c r="AM115" s="48">
        <v>91854078.799999997</v>
      </c>
      <c r="AN115" s="49">
        <v>95390460.829999998</v>
      </c>
      <c r="AO115" s="50">
        <v>359293339.63</v>
      </c>
      <c r="AP115" s="37" t="s">
        <v>338</v>
      </c>
    </row>
    <row r="116" spans="1:42" customFormat="1" ht="51.75" customHeight="1" x14ac:dyDescent="0.25">
      <c r="A116" s="36">
        <v>115</v>
      </c>
      <c r="B116" s="37" t="s">
        <v>328</v>
      </c>
      <c r="C116" s="37" t="s">
        <v>465</v>
      </c>
      <c r="D116" s="38" t="s">
        <v>2384</v>
      </c>
      <c r="E116" s="80" t="s">
        <v>466</v>
      </c>
      <c r="F116" s="80" t="s">
        <v>467</v>
      </c>
      <c r="G116" s="36">
        <v>80</v>
      </c>
      <c r="H116" s="36">
        <v>2022</v>
      </c>
      <c r="I116" s="37" t="s">
        <v>468</v>
      </c>
      <c r="J116" s="38" t="s">
        <v>469</v>
      </c>
      <c r="K116" s="37" t="s">
        <v>36</v>
      </c>
      <c r="L116" s="37"/>
      <c r="M116" s="37" t="s">
        <v>470</v>
      </c>
      <c r="N116" s="36">
        <v>19</v>
      </c>
      <c r="O116" s="37" t="s">
        <v>339</v>
      </c>
      <c r="P116" s="36" t="s">
        <v>404</v>
      </c>
      <c r="Q116" s="37" t="s">
        <v>405</v>
      </c>
      <c r="R116" s="36" t="s">
        <v>612</v>
      </c>
      <c r="S116" s="37" t="s">
        <v>613</v>
      </c>
      <c r="T116" s="38" t="s">
        <v>614</v>
      </c>
      <c r="U116" s="37" t="s">
        <v>615</v>
      </c>
      <c r="V116" s="36" t="s">
        <v>616</v>
      </c>
      <c r="W116" s="37" t="s">
        <v>617</v>
      </c>
      <c r="X116" s="37" t="s">
        <v>2040</v>
      </c>
      <c r="Y116" s="37" t="s">
        <v>36</v>
      </c>
      <c r="Z116" s="36">
        <v>0</v>
      </c>
      <c r="AA116" s="36" t="s">
        <v>2192</v>
      </c>
      <c r="AB116" s="37" t="s">
        <v>2230</v>
      </c>
      <c r="AC116" s="37" t="s">
        <v>2187</v>
      </c>
      <c r="AD116" s="37" t="s">
        <v>348</v>
      </c>
      <c r="AE116" s="37" t="s">
        <v>2188</v>
      </c>
      <c r="AF116" s="38" t="s">
        <v>2187</v>
      </c>
      <c r="AG116" s="42">
        <v>1558045</v>
      </c>
      <c r="AH116" s="43">
        <v>1558045</v>
      </c>
      <c r="AI116" s="44">
        <v>1558045</v>
      </c>
      <c r="AJ116" s="45">
        <v>1558045</v>
      </c>
      <c r="AK116" s="46">
        <v>291500000</v>
      </c>
      <c r="AL116" s="47">
        <v>308407000</v>
      </c>
      <c r="AM116" s="48">
        <v>320280669.5</v>
      </c>
      <c r="AN116" s="49">
        <v>332611475.27999997</v>
      </c>
      <c r="AO116" s="50">
        <v>1252799144.78</v>
      </c>
      <c r="AP116" s="37" t="s">
        <v>338</v>
      </c>
    </row>
    <row r="117" spans="1:42" customFormat="1" ht="63.75" x14ac:dyDescent="0.25">
      <c r="A117" s="36">
        <v>116</v>
      </c>
      <c r="B117" s="37" t="s">
        <v>328</v>
      </c>
      <c r="C117" s="37" t="s">
        <v>465</v>
      </c>
      <c r="D117" s="38" t="s">
        <v>2384</v>
      </c>
      <c r="E117" s="80" t="s">
        <v>466</v>
      </c>
      <c r="F117" s="80" t="s">
        <v>467</v>
      </c>
      <c r="G117" s="36">
        <v>80</v>
      </c>
      <c r="H117" s="36">
        <v>2022</v>
      </c>
      <c r="I117" s="37" t="s">
        <v>468</v>
      </c>
      <c r="J117" s="38" t="s">
        <v>469</v>
      </c>
      <c r="K117" s="37" t="s">
        <v>36</v>
      </c>
      <c r="L117" s="37"/>
      <c r="M117" s="37" t="s">
        <v>470</v>
      </c>
      <c r="N117" s="36">
        <v>19</v>
      </c>
      <c r="O117" s="37" t="s">
        <v>339</v>
      </c>
      <c r="P117" s="36" t="s">
        <v>404</v>
      </c>
      <c r="Q117" s="37" t="s">
        <v>405</v>
      </c>
      <c r="R117" s="36" t="s">
        <v>618</v>
      </c>
      <c r="S117" s="37" t="s">
        <v>619</v>
      </c>
      <c r="T117" s="38" t="s">
        <v>620</v>
      </c>
      <c r="U117" s="37" t="s">
        <v>500</v>
      </c>
      <c r="V117" s="36">
        <v>190300103</v>
      </c>
      <c r="W117" s="37" t="s">
        <v>621</v>
      </c>
      <c r="X117" s="37" t="s">
        <v>622</v>
      </c>
      <c r="Y117" s="37" t="s">
        <v>36</v>
      </c>
      <c r="Z117" s="36">
        <v>0</v>
      </c>
      <c r="AA117" s="36" t="s">
        <v>2185</v>
      </c>
      <c r="AB117" s="37" t="s">
        <v>2230</v>
      </c>
      <c r="AC117" s="37" t="s">
        <v>2187</v>
      </c>
      <c r="AD117" s="37" t="s">
        <v>348</v>
      </c>
      <c r="AE117" s="37" t="s">
        <v>2188</v>
      </c>
      <c r="AF117" s="38" t="s">
        <v>2187</v>
      </c>
      <c r="AG117" s="71">
        <v>0.1</v>
      </c>
      <c r="AH117" s="53">
        <v>0.3</v>
      </c>
      <c r="AI117" s="54">
        <v>0.3</v>
      </c>
      <c r="AJ117" s="55">
        <v>0.3</v>
      </c>
      <c r="AK117" s="46">
        <v>117800000</v>
      </c>
      <c r="AL117" s="47">
        <v>124632400</v>
      </c>
      <c r="AM117" s="48">
        <v>129430747.40000001</v>
      </c>
      <c r="AN117" s="49">
        <v>134413831.16999999</v>
      </c>
      <c r="AO117" s="50">
        <v>506276978.56999999</v>
      </c>
      <c r="AP117" s="37" t="s">
        <v>338</v>
      </c>
    </row>
    <row r="118" spans="1:42" customFormat="1" ht="63.75" x14ac:dyDescent="0.25">
      <c r="A118" s="36">
        <v>117</v>
      </c>
      <c r="B118" s="37" t="s">
        <v>328</v>
      </c>
      <c r="C118" s="37" t="s">
        <v>465</v>
      </c>
      <c r="D118" s="38" t="s">
        <v>2384</v>
      </c>
      <c r="E118" s="80" t="s">
        <v>466</v>
      </c>
      <c r="F118" s="80" t="s">
        <v>467</v>
      </c>
      <c r="G118" s="36">
        <v>80</v>
      </c>
      <c r="H118" s="36">
        <v>2022</v>
      </c>
      <c r="I118" s="37" t="s">
        <v>468</v>
      </c>
      <c r="J118" s="38" t="s">
        <v>469</v>
      </c>
      <c r="K118" s="37" t="s">
        <v>36</v>
      </c>
      <c r="L118" s="37"/>
      <c r="M118" s="37" t="s">
        <v>470</v>
      </c>
      <c r="N118" s="36">
        <v>19</v>
      </c>
      <c r="O118" s="37" t="s">
        <v>339</v>
      </c>
      <c r="P118" s="36" t="s">
        <v>404</v>
      </c>
      <c r="Q118" s="37" t="s">
        <v>405</v>
      </c>
      <c r="R118" s="36" t="s">
        <v>490</v>
      </c>
      <c r="S118" s="37" t="s">
        <v>491</v>
      </c>
      <c r="T118" s="38" t="s">
        <v>492</v>
      </c>
      <c r="U118" s="37" t="s">
        <v>234</v>
      </c>
      <c r="V118" s="36" t="s">
        <v>493</v>
      </c>
      <c r="W118" s="37" t="s">
        <v>494</v>
      </c>
      <c r="X118" s="37" t="s">
        <v>623</v>
      </c>
      <c r="Y118" s="37" t="s">
        <v>36</v>
      </c>
      <c r="Z118" s="36">
        <v>300</v>
      </c>
      <c r="AA118" s="36" t="s">
        <v>2185</v>
      </c>
      <c r="AB118" s="37"/>
      <c r="AC118" s="37"/>
      <c r="AD118" s="37" t="s">
        <v>348</v>
      </c>
      <c r="AE118" s="37" t="s">
        <v>2188</v>
      </c>
      <c r="AF118" s="38" t="s">
        <v>2187</v>
      </c>
      <c r="AG118" s="42">
        <v>75</v>
      </c>
      <c r="AH118" s="43">
        <v>75</v>
      </c>
      <c r="AI118" s="44">
        <v>75</v>
      </c>
      <c r="AJ118" s="45">
        <v>75</v>
      </c>
      <c r="AK118" s="46">
        <v>60682336732</v>
      </c>
      <c r="AL118" s="47">
        <v>71318216646</v>
      </c>
      <c r="AM118" s="48">
        <v>76454567832</v>
      </c>
      <c r="AN118" s="49">
        <v>76448589966.5</v>
      </c>
      <c r="AO118" s="50">
        <v>284903711176.5</v>
      </c>
      <c r="AP118" s="37" t="s">
        <v>338</v>
      </c>
    </row>
    <row r="119" spans="1:42" customFormat="1" ht="91.5" customHeight="1" x14ac:dyDescent="0.25">
      <c r="A119" s="36">
        <v>118</v>
      </c>
      <c r="B119" s="37" t="s">
        <v>19</v>
      </c>
      <c r="C119" s="37" t="s">
        <v>20</v>
      </c>
      <c r="D119" s="38" t="s">
        <v>2383</v>
      </c>
      <c r="E119" s="37" t="s">
        <v>624</v>
      </c>
      <c r="F119" s="37" t="s">
        <v>625</v>
      </c>
      <c r="G119" s="65">
        <v>0.8</v>
      </c>
      <c r="H119" s="36">
        <v>2023</v>
      </c>
      <c r="I119" s="37" t="s">
        <v>626</v>
      </c>
      <c r="J119" s="38" t="s">
        <v>627</v>
      </c>
      <c r="K119" s="87" t="s">
        <v>25</v>
      </c>
      <c r="L119" s="37"/>
      <c r="M119" s="37" t="s">
        <v>1495</v>
      </c>
      <c r="N119" s="36">
        <v>19</v>
      </c>
      <c r="O119" s="37" t="s">
        <v>339</v>
      </c>
      <c r="P119" s="36" t="s">
        <v>353</v>
      </c>
      <c r="Q119" s="37" t="s">
        <v>354</v>
      </c>
      <c r="R119" s="36" t="s">
        <v>366</v>
      </c>
      <c r="S119" s="37" t="s">
        <v>367</v>
      </c>
      <c r="T119" s="38" t="s">
        <v>368</v>
      </c>
      <c r="U119" s="37" t="s">
        <v>369</v>
      </c>
      <c r="V119" s="36" t="s">
        <v>375</v>
      </c>
      <c r="W119" s="37" t="s">
        <v>376</v>
      </c>
      <c r="X119" s="37" t="s">
        <v>628</v>
      </c>
      <c r="Y119" s="37" t="s">
        <v>36</v>
      </c>
      <c r="Z119" s="64">
        <v>1</v>
      </c>
      <c r="AA119" s="36" t="s">
        <v>2185</v>
      </c>
      <c r="AB119" s="37" t="s">
        <v>2220</v>
      </c>
      <c r="AC119" s="56" t="s">
        <v>2226</v>
      </c>
      <c r="AD119" s="37" t="s">
        <v>348</v>
      </c>
      <c r="AE119" s="37" t="s">
        <v>2188</v>
      </c>
      <c r="AF119" s="38" t="s">
        <v>2187</v>
      </c>
      <c r="AG119" s="71">
        <v>0.25</v>
      </c>
      <c r="AH119" s="53">
        <v>0.25</v>
      </c>
      <c r="AI119" s="54">
        <v>0.25</v>
      </c>
      <c r="AJ119" s="55">
        <v>0.25</v>
      </c>
      <c r="AK119" s="46">
        <v>81375000</v>
      </c>
      <c r="AL119" s="47">
        <v>86135437.5</v>
      </c>
      <c r="AM119" s="48">
        <v>91174361</v>
      </c>
      <c r="AN119" s="49">
        <v>651963498</v>
      </c>
      <c r="AO119" s="50">
        <v>910648296.5</v>
      </c>
      <c r="AP119" s="37" t="s">
        <v>338</v>
      </c>
    </row>
    <row r="120" spans="1:42" customFormat="1" ht="86.25" customHeight="1" x14ac:dyDescent="0.25">
      <c r="A120" s="36">
        <v>119</v>
      </c>
      <c r="B120" s="37" t="s">
        <v>19</v>
      </c>
      <c r="C120" s="37" t="s">
        <v>20</v>
      </c>
      <c r="D120" s="38" t="s">
        <v>2383</v>
      </c>
      <c r="E120" s="37" t="s">
        <v>624</v>
      </c>
      <c r="F120" s="37" t="s">
        <v>625</v>
      </c>
      <c r="G120" s="65">
        <v>0.8</v>
      </c>
      <c r="H120" s="36">
        <v>2023</v>
      </c>
      <c r="I120" s="37" t="s">
        <v>626</v>
      </c>
      <c r="J120" s="38" t="s">
        <v>627</v>
      </c>
      <c r="K120" s="87" t="s">
        <v>25</v>
      </c>
      <c r="L120" s="37"/>
      <c r="M120" s="37" t="s">
        <v>1495</v>
      </c>
      <c r="N120" s="36">
        <v>19</v>
      </c>
      <c r="O120" s="37" t="s">
        <v>339</v>
      </c>
      <c r="P120" s="36" t="s">
        <v>353</v>
      </c>
      <c r="Q120" s="37" t="s">
        <v>354</v>
      </c>
      <c r="R120" s="36" t="s">
        <v>366</v>
      </c>
      <c r="S120" s="37" t="s">
        <v>367</v>
      </c>
      <c r="T120" s="38" t="s">
        <v>368</v>
      </c>
      <c r="U120" s="37" t="s">
        <v>369</v>
      </c>
      <c r="V120" s="36" t="s">
        <v>375</v>
      </c>
      <c r="W120" s="37" t="s">
        <v>376</v>
      </c>
      <c r="X120" s="37" t="s">
        <v>629</v>
      </c>
      <c r="Y120" s="37" t="s">
        <v>36</v>
      </c>
      <c r="Z120" s="64">
        <v>1</v>
      </c>
      <c r="AA120" s="36" t="s">
        <v>2185</v>
      </c>
      <c r="AB120" s="37" t="s">
        <v>2220</v>
      </c>
      <c r="AC120" s="56" t="s">
        <v>2226</v>
      </c>
      <c r="AD120" s="37" t="s">
        <v>348</v>
      </c>
      <c r="AE120" s="37" t="s">
        <v>2188</v>
      </c>
      <c r="AF120" s="38" t="s">
        <v>2187</v>
      </c>
      <c r="AG120" s="71">
        <v>0.25</v>
      </c>
      <c r="AH120" s="53">
        <v>0.25</v>
      </c>
      <c r="AI120" s="54">
        <v>0.25</v>
      </c>
      <c r="AJ120" s="55">
        <v>0.25</v>
      </c>
      <c r="AK120" s="46">
        <v>227782375</v>
      </c>
      <c r="AL120" s="47">
        <v>350468175</v>
      </c>
      <c r="AM120" s="48">
        <v>255212441.11000001</v>
      </c>
      <c r="AN120" s="49">
        <v>270142368.91000003</v>
      </c>
      <c r="AO120" s="50">
        <v>1103605360.02</v>
      </c>
      <c r="AP120" s="37" t="s">
        <v>338</v>
      </c>
    </row>
    <row r="121" spans="1:42" customFormat="1" ht="63.75" customHeight="1" x14ac:dyDescent="0.25">
      <c r="A121" s="36">
        <v>120</v>
      </c>
      <c r="B121" s="38" t="s">
        <v>630</v>
      </c>
      <c r="C121" s="37" t="s">
        <v>314</v>
      </c>
      <c r="D121" s="38" t="s">
        <v>2385</v>
      </c>
      <c r="E121" s="88" t="s">
        <v>631</v>
      </c>
      <c r="F121" s="88" t="s">
        <v>632</v>
      </c>
      <c r="G121" s="36" t="s">
        <v>633</v>
      </c>
      <c r="H121" s="36">
        <v>2022</v>
      </c>
      <c r="I121" s="37" t="s">
        <v>634</v>
      </c>
      <c r="J121" s="38" t="s">
        <v>635</v>
      </c>
      <c r="K121" s="38" t="s">
        <v>36</v>
      </c>
      <c r="L121" s="37" t="s">
        <v>183</v>
      </c>
      <c r="M121" s="37" t="s">
        <v>636</v>
      </c>
      <c r="N121" s="36">
        <v>19</v>
      </c>
      <c r="O121" s="37" t="s">
        <v>339</v>
      </c>
      <c r="P121" s="36">
        <v>1903</v>
      </c>
      <c r="Q121" s="37" t="s">
        <v>405</v>
      </c>
      <c r="R121" s="36" t="s">
        <v>483</v>
      </c>
      <c r="S121" s="37" t="s">
        <v>484</v>
      </c>
      <c r="T121" s="38" t="s">
        <v>485</v>
      </c>
      <c r="U121" s="37" t="s">
        <v>486</v>
      </c>
      <c r="V121" s="36" t="s">
        <v>487</v>
      </c>
      <c r="W121" s="37" t="s">
        <v>488</v>
      </c>
      <c r="X121" s="37" t="s">
        <v>2365</v>
      </c>
      <c r="Y121" s="37" t="s">
        <v>36</v>
      </c>
      <c r="Z121" s="36">
        <v>3776</v>
      </c>
      <c r="AA121" s="36" t="s">
        <v>2185</v>
      </c>
      <c r="AB121" s="37" t="s">
        <v>2230</v>
      </c>
      <c r="AC121" s="37" t="s">
        <v>2187</v>
      </c>
      <c r="AD121" s="37" t="s">
        <v>348</v>
      </c>
      <c r="AE121" s="37" t="s">
        <v>2188</v>
      </c>
      <c r="AF121" s="38" t="s">
        <v>2187</v>
      </c>
      <c r="AG121" s="42">
        <v>400</v>
      </c>
      <c r="AH121" s="43">
        <v>1500</v>
      </c>
      <c r="AI121" s="44">
        <v>1600</v>
      </c>
      <c r="AJ121" s="45">
        <v>1500</v>
      </c>
      <c r="AK121" s="46">
        <v>60000000</v>
      </c>
      <c r="AL121" s="47">
        <v>63480000</v>
      </c>
      <c r="AM121" s="48">
        <v>65923980</v>
      </c>
      <c r="AN121" s="49">
        <v>68462053.230000004</v>
      </c>
      <c r="AO121" s="50">
        <v>257866033.22999999</v>
      </c>
      <c r="AP121" s="37" t="s">
        <v>338</v>
      </c>
    </row>
    <row r="122" spans="1:42" customFormat="1" ht="89.25" x14ac:dyDescent="0.25">
      <c r="A122" s="36">
        <v>121</v>
      </c>
      <c r="B122" s="38" t="s">
        <v>630</v>
      </c>
      <c r="C122" s="37" t="s">
        <v>314</v>
      </c>
      <c r="D122" s="38" t="s">
        <v>2385</v>
      </c>
      <c r="E122" s="88" t="s">
        <v>631</v>
      </c>
      <c r="F122" s="88" t="s">
        <v>632</v>
      </c>
      <c r="G122" s="36" t="s">
        <v>633</v>
      </c>
      <c r="H122" s="36">
        <v>2022</v>
      </c>
      <c r="I122" s="37" t="s">
        <v>634</v>
      </c>
      <c r="J122" s="38" t="s">
        <v>635</v>
      </c>
      <c r="K122" s="38" t="s">
        <v>36</v>
      </c>
      <c r="L122" s="37" t="s">
        <v>183</v>
      </c>
      <c r="M122" s="37" t="s">
        <v>636</v>
      </c>
      <c r="N122" s="36">
        <v>19</v>
      </c>
      <c r="O122" s="37" t="s">
        <v>339</v>
      </c>
      <c r="P122" s="36" t="s">
        <v>404</v>
      </c>
      <c r="Q122" s="37" t="s">
        <v>405</v>
      </c>
      <c r="R122" s="36" t="s">
        <v>483</v>
      </c>
      <c r="S122" s="37" t="s">
        <v>484</v>
      </c>
      <c r="T122" s="38" t="s">
        <v>485</v>
      </c>
      <c r="U122" s="37" t="s">
        <v>486</v>
      </c>
      <c r="V122" s="36" t="s">
        <v>487</v>
      </c>
      <c r="W122" s="37" t="s">
        <v>488</v>
      </c>
      <c r="X122" s="37" t="s">
        <v>637</v>
      </c>
      <c r="Y122" s="37" t="s">
        <v>36</v>
      </c>
      <c r="Z122" s="36">
        <v>554</v>
      </c>
      <c r="AA122" s="36" t="s">
        <v>2185</v>
      </c>
      <c r="AB122" s="37"/>
      <c r="AC122" s="37"/>
      <c r="AD122" s="37" t="s">
        <v>348</v>
      </c>
      <c r="AE122" s="37" t="s">
        <v>2188</v>
      </c>
      <c r="AF122" s="38" t="s">
        <v>2187</v>
      </c>
      <c r="AG122" s="42">
        <v>500</v>
      </c>
      <c r="AH122" s="43">
        <v>1200</v>
      </c>
      <c r="AI122" s="44">
        <v>1200</v>
      </c>
      <c r="AJ122" s="45">
        <v>1100</v>
      </c>
      <c r="AK122" s="46">
        <v>1200000000</v>
      </c>
      <c r="AL122" s="47">
        <v>1200000000</v>
      </c>
      <c r="AM122" s="48">
        <v>800000000</v>
      </c>
      <c r="AN122" s="49">
        <v>1200000000</v>
      </c>
      <c r="AO122" s="50">
        <v>4400000000</v>
      </c>
      <c r="AP122" s="37" t="s">
        <v>338</v>
      </c>
    </row>
    <row r="123" spans="1:42" customFormat="1" ht="89.25" x14ac:dyDescent="0.25">
      <c r="A123" s="36">
        <v>122</v>
      </c>
      <c r="B123" s="58" t="s">
        <v>19</v>
      </c>
      <c r="C123" s="58" t="s">
        <v>20</v>
      </c>
      <c r="D123" s="59" t="s">
        <v>2383</v>
      </c>
      <c r="E123" s="58" t="s">
        <v>638</v>
      </c>
      <c r="F123" s="58" t="s">
        <v>639</v>
      </c>
      <c r="G123" s="89">
        <v>2.75E-2</v>
      </c>
      <c r="H123" s="51">
        <v>2023</v>
      </c>
      <c r="I123" s="58" t="s">
        <v>640</v>
      </c>
      <c r="J123" s="90" t="s">
        <v>641</v>
      </c>
      <c r="K123" s="58" t="s">
        <v>25</v>
      </c>
      <c r="L123" s="38"/>
      <c r="M123" s="58" t="s">
        <v>642</v>
      </c>
      <c r="N123" s="51">
        <v>43</v>
      </c>
      <c r="O123" s="58" t="s">
        <v>643</v>
      </c>
      <c r="P123" s="51" t="s">
        <v>644</v>
      </c>
      <c r="Q123" s="111" t="s">
        <v>2469</v>
      </c>
      <c r="R123" s="51">
        <v>4301001</v>
      </c>
      <c r="S123" s="58" t="s">
        <v>645</v>
      </c>
      <c r="T123" s="59" t="s">
        <v>646</v>
      </c>
      <c r="U123" s="58" t="s">
        <v>203</v>
      </c>
      <c r="V123" s="51">
        <v>430100100</v>
      </c>
      <c r="W123" s="58" t="s">
        <v>331</v>
      </c>
      <c r="X123" s="41" t="s">
        <v>2165</v>
      </c>
      <c r="Y123" s="58" t="s">
        <v>36</v>
      </c>
      <c r="Z123" s="150">
        <v>7924</v>
      </c>
      <c r="AA123" s="51" t="s">
        <v>2192</v>
      </c>
      <c r="AB123" s="51" t="s">
        <v>2366</v>
      </c>
      <c r="AC123" s="58" t="s">
        <v>2211</v>
      </c>
      <c r="AD123" s="51" t="s">
        <v>37</v>
      </c>
      <c r="AE123" s="51" t="s">
        <v>2188</v>
      </c>
      <c r="AF123" s="36" t="s">
        <v>2187</v>
      </c>
      <c r="AG123" s="23">
        <v>7924</v>
      </c>
      <c r="AH123" s="24">
        <v>7924</v>
      </c>
      <c r="AI123" s="25">
        <v>7924</v>
      </c>
      <c r="AJ123" s="26">
        <v>7924</v>
      </c>
      <c r="AK123" s="46">
        <v>748839001</v>
      </c>
      <c r="AL123" s="47">
        <v>792795850.36000001</v>
      </c>
      <c r="AM123" s="48">
        <v>823318490.60000002</v>
      </c>
      <c r="AN123" s="49">
        <v>855016252.49000001</v>
      </c>
      <c r="AO123" s="50">
        <v>3219969594.4499998</v>
      </c>
      <c r="AP123" s="10" t="s">
        <v>642</v>
      </c>
    </row>
    <row r="124" spans="1:42" customFormat="1" ht="89.25" x14ac:dyDescent="0.25">
      <c r="A124" s="36">
        <v>123</v>
      </c>
      <c r="B124" s="58" t="s">
        <v>19</v>
      </c>
      <c r="C124" s="58" t="s">
        <v>20</v>
      </c>
      <c r="D124" s="59" t="s">
        <v>2383</v>
      </c>
      <c r="E124" s="58" t="s">
        <v>638</v>
      </c>
      <c r="F124" s="58" t="s">
        <v>639</v>
      </c>
      <c r="G124" s="89">
        <v>2.75E-2</v>
      </c>
      <c r="H124" s="51">
        <v>2024</v>
      </c>
      <c r="I124" s="58" t="s">
        <v>640</v>
      </c>
      <c r="J124" s="90" t="s">
        <v>641</v>
      </c>
      <c r="K124" s="58" t="s">
        <v>25</v>
      </c>
      <c r="L124" s="38"/>
      <c r="M124" s="58" t="s">
        <v>642</v>
      </c>
      <c r="N124" s="51">
        <v>43</v>
      </c>
      <c r="O124" s="58" t="s">
        <v>643</v>
      </c>
      <c r="P124" s="51" t="s">
        <v>644</v>
      </c>
      <c r="Q124" s="111" t="s">
        <v>2469</v>
      </c>
      <c r="R124" s="51">
        <v>4301037</v>
      </c>
      <c r="S124" s="58" t="s">
        <v>647</v>
      </c>
      <c r="T124" s="59" t="s">
        <v>648</v>
      </c>
      <c r="U124" s="58" t="s">
        <v>203</v>
      </c>
      <c r="V124" s="51">
        <v>430103700</v>
      </c>
      <c r="W124" s="58" t="s">
        <v>649</v>
      </c>
      <c r="X124" s="41" t="s">
        <v>2166</v>
      </c>
      <c r="Y124" s="58" t="s">
        <v>36</v>
      </c>
      <c r="Z124" s="150">
        <v>69099</v>
      </c>
      <c r="AA124" s="51" t="s">
        <v>2192</v>
      </c>
      <c r="AB124" s="51" t="s">
        <v>2366</v>
      </c>
      <c r="AC124" s="58" t="s">
        <v>2211</v>
      </c>
      <c r="AD124" s="51" t="s">
        <v>37</v>
      </c>
      <c r="AE124" s="51" t="s">
        <v>2188</v>
      </c>
      <c r="AF124" s="36" t="s">
        <v>2187</v>
      </c>
      <c r="AG124" s="23">
        <v>69099</v>
      </c>
      <c r="AH124" s="24">
        <v>69099</v>
      </c>
      <c r="AI124" s="25">
        <v>69099</v>
      </c>
      <c r="AJ124" s="26">
        <v>69099</v>
      </c>
      <c r="AK124" s="46">
        <v>4297214134</v>
      </c>
      <c r="AL124" s="47">
        <v>4549460603.6700001</v>
      </c>
      <c r="AM124" s="48">
        <v>4724614836.9099998</v>
      </c>
      <c r="AN124" s="49">
        <v>4906512508.1300001</v>
      </c>
      <c r="AO124" s="50">
        <v>18477802082.709999</v>
      </c>
      <c r="AP124" s="10" t="s">
        <v>642</v>
      </c>
    </row>
    <row r="125" spans="1:42" customFormat="1" ht="89.25" x14ac:dyDescent="0.25">
      <c r="A125" s="36">
        <v>124</v>
      </c>
      <c r="B125" s="58" t="s">
        <v>19</v>
      </c>
      <c r="C125" s="58" t="s">
        <v>20</v>
      </c>
      <c r="D125" s="59" t="s">
        <v>2383</v>
      </c>
      <c r="E125" s="58" t="s">
        <v>650</v>
      </c>
      <c r="F125" s="58" t="s">
        <v>651</v>
      </c>
      <c r="G125" s="89">
        <v>3.0999999999999999E-3</v>
      </c>
      <c r="H125" s="51">
        <v>2023</v>
      </c>
      <c r="I125" s="58" t="s">
        <v>640</v>
      </c>
      <c r="J125" s="90" t="s">
        <v>652</v>
      </c>
      <c r="K125" s="58" t="s">
        <v>25</v>
      </c>
      <c r="L125" s="38"/>
      <c r="M125" s="58" t="s">
        <v>642</v>
      </c>
      <c r="N125" s="51">
        <v>43</v>
      </c>
      <c r="O125" s="58" t="s">
        <v>643</v>
      </c>
      <c r="P125" s="51" t="s">
        <v>644</v>
      </c>
      <c r="Q125" s="111" t="s">
        <v>2469</v>
      </c>
      <c r="R125" s="51">
        <v>4301007</v>
      </c>
      <c r="S125" s="58" t="s">
        <v>653</v>
      </c>
      <c r="T125" s="59" t="s">
        <v>654</v>
      </c>
      <c r="U125" s="58" t="s">
        <v>655</v>
      </c>
      <c r="V125" s="51">
        <v>430100700</v>
      </c>
      <c r="W125" s="58" t="s">
        <v>656</v>
      </c>
      <c r="X125" s="41" t="s">
        <v>2167</v>
      </c>
      <c r="Y125" s="58" t="s">
        <v>36</v>
      </c>
      <c r="Z125" s="150">
        <v>2990</v>
      </c>
      <c r="AA125" s="51" t="s">
        <v>2192</v>
      </c>
      <c r="AB125" s="51" t="s">
        <v>2366</v>
      </c>
      <c r="AC125" s="58" t="s">
        <v>2211</v>
      </c>
      <c r="AD125" s="51" t="s">
        <v>37</v>
      </c>
      <c r="AE125" s="51" t="s">
        <v>2188</v>
      </c>
      <c r="AF125" s="36" t="s">
        <v>2187</v>
      </c>
      <c r="AG125" s="23">
        <v>2990</v>
      </c>
      <c r="AH125" s="24">
        <v>2990</v>
      </c>
      <c r="AI125" s="25">
        <v>2990</v>
      </c>
      <c r="AJ125" s="26">
        <v>2990</v>
      </c>
      <c r="AK125" s="46">
        <v>800000000</v>
      </c>
      <c r="AL125" s="47">
        <v>846960000</v>
      </c>
      <c r="AM125" s="48">
        <v>879567960</v>
      </c>
      <c r="AN125" s="49">
        <v>913431326.46000004</v>
      </c>
      <c r="AO125" s="50">
        <v>3439959286.46</v>
      </c>
      <c r="AP125" s="10" t="s">
        <v>642</v>
      </c>
    </row>
    <row r="126" spans="1:42" customFormat="1" ht="89.25" x14ac:dyDescent="0.25">
      <c r="A126" s="36">
        <v>125</v>
      </c>
      <c r="B126" s="58" t="s">
        <v>19</v>
      </c>
      <c r="C126" s="58" t="s">
        <v>20</v>
      </c>
      <c r="D126" s="59" t="s">
        <v>2383</v>
      </c>
      <c r="E126" s="58" t="s">
        <v>657</v>
      </c>
      <c r="F126" s="58" t="s">
        <v>658</v>
      </c>
      <c r="G126" s="89">
        <v>3.0999999999999999E-3</v>
      </c>
      <c r="H126" s="51">
        <v>2023</v>
      </c>
      <c r="I126" s="58" t="s">
        <v>640</v>
      </c>
      <c r="J126" s="59" t="s">
        <v>659</v>
      </c>
      <c r="K126" s="58" t="s">
        <v>25</v>
      </c>
      <c r="L126" s="37" t="s">
        <v>27</v>
      </c>
      <c r="M126" s="58" t="s">
        <v>642</v>
      </c>
      <c r="N126" s="51">
        <v>43</v>
      </c>
      <c r="O126" s="58" t="s">
        <v>643</v>
      </c>
      <c r="P126" s="36" t="s">
        <v>1348</v>
      </c>
      <c r="Q126" s="58" t="s">
        <v>660</v>
      </c>
      <c r="R126" s="51">
        <v>4302001</v>
      </c>
      <c r="S126" s="58" t="s">
        <v>661</v>
      </c>
      <c r="T126" s="59" t="s">
        <v>662</v>
      </c>
      <c r="U126" s="58" t="s">
        <v>663</v>
      </c>
      <c r="V126" s="51" t="s">
        <v>664</v>
      </c>
      <c r="W126" s="58" t="s">
        <v>665</v>
      </c>
      <c r="X126" s="41" t="s">
        <v>2168</v>
      </c>
      <c r="Y126" s="58" t="s">
        <v>36</v>
      </c>
      <c r="Z126" s="150">
        <v>2344</v>
      </c>
      <c r="AA126" s="51" t="s">
        <v>2192</v>
      </c>
      <c r="AB126" s="51" t="s">
        <v>2366</v>
      </c>
      <c r="AC126" s="58" t="s">
        <v>2211</v>
      </c>
      <c r="AD126" s="51" t="s">
        <v>348</v>
      </c>
      <c r="AE126" s="51" t="s">
        <v>2188</v>
      </c>
      <c r="AF126" s="36" t="s">
        <v>2187</v>
      </c>
      <c r="AG126" s="23">
        <v>2344</v>
      </c>
      <c r="AH126" s="24">
        <v>2344</v>
      </c>
      <c r="AI126" s="25">
        <v>2344</v>
      </c>
      <c r="AJ126" s="26">
        <v>2344</v>
      </c>
      <c r="AK126" s="46">
        <v>1536000000</v>
      </c>
      <c r="AL126" s="47">
        <v>1626163200</v>
      </c>
      <c r="AM126" s="48">
        <v>1688770483.2</v>
      </c>
      <c r="AN126" s="49">
        <v>1753788146.8</v>
      </c>
      <c r="AO126" s="50">
        <v>6604721830</v>
      </c>
      <c r="AP126" s="10" t="s">
        <v>642</v>
      </c>
    </row>
    <row r="127" spans="1:42" customFormat="1" ht="89.25" x14ac:dyDescent="0.25">
      <c r="A127" s="36">
        <v>126</v>
      </c>
      <c r="B127" s="58" t="s">
        <v>19</v>
      </c>
      <c r="C127" s="58" t="s">
        <v>20</v>
      </c>
      <c r="D127" s="59" t="s">
        <v>2383</v>
      </c>
      <c r="E127" s="58" t="s">
        <v>657</v>
      </c>
      <c r="F127" s="58" t="s">
        <v>658</v>
      </c>
      <c r="G127" s="89">
        <v>3.0999999999999999E-3</v>
      </c>
      <c r="H127" s="51">
        <v>2023</v>
      </c>
      <c r="I127" s="58" t="s">
        <v>640</v>
      </c>
      <c r="J127" s="59" t="s">
        <v>659</v>
      </c>
      <c r="K127" s="58" t="s">
        <v>25</v>
      </c>
      <c r="L127" s="37" t="s">
        <v>27</v>
      </c>
      <c r="M127" s="58" t="s">
        <v>642</v>
      </c>
      <c r="N127" s="51">
        <v>43</v>
      </c>
      <c r="O127" s="58" t="s">
        <v>643</v>
      </c>
      <c r="P127" s="36" t="s">
        <v>1348</v>
      </c>
      <c r="Q127" s="58" t="s">
        <v>660</v>
      </c>
      <c r="R127" s="51">
        <v>4302002</v>
      </c>
      <c r="S127" s="58" t="s">
        <v>666</v>
      </c>
      <c r="T127" s="59" t="s">
        <v>667</v>
      </c>
      <c r="U127" s="58" t="s">
        <v>668</v>
      </c>
      <c r="V127" s="51">
        <v>430200200</v>
      </c>
      <c r="W127" s="58" t="s">
        <v>669</v>
      </c>
      <c r="X127" s="41" t="s">
        <v>2113</v>
      </c>
      <c r="Y127" s="58" t="s">
        <v>36</v>
      </c>
      <c r="Z127" s="150">
        <v>406</v>
      </c>
      <c r="AA127" s="51" t="s">
        <v>2192</v>
      </c>
      <c r="AB127" s="51" t="s">
        <v>2366</v>
      </c>
      <c r="AC127" s="58" t="s">
        <v>2211</v>
      </c>
      <c r="AD127" s="51" t="s">
        <v>348</v>
      </c>
      <c r="AE127" s="51" t="s">
        <v>2188</v>
      </c>
      <c r="AF127" s="36" t="s">
        <v>2187</v>
      </c>
      <c r="AG127" s="23">
        <v>406</v>
      </c>
      <c r="AH127" s="24">
        <v>406</v>
      </c>
      <c r="AI127" s="25">
        <v>406</v>
      </c>
      <c r="AJ127" s="26">
        <v>406</v>
      </c>
      <c r="AK127" s="46">
        <v>1384000000</v>
      </c>
      <c r="AL127" s="47">
        <v>1459484989.55</v>
      </c>
      <c r="AM127" s="48">
        <v>1485255703.4100001</v>
      </c>
      <c r="AN127" s="49">
        <v>1511106006.01</v>
      </c>
      <c r="AO127" s="50">
        <v>5839846698.9700003</v>
      </c>
      <c r="AP127" s="10" t="s">
        <v>642</v>
      </c>
    </row>
    <row r="128" spans="1:42" customFormat="1" ht="89.25" x14ac:dyDescent="0.25">
      <c r="A128" s="36">
        <v>127</v>
      </c>
      <c r="B128" s="58" t="s">
        <v>19</v>
      </c>
      <c r="C128" s="58" t="s">
        <v>20</v>
      </c>
      <c r="D128" s="59" t="s">
        <v>2383</v>
      </c>
      <c r="E128" s="58" t="s">
        <v>657</v>
      </c>
      <c r="F128" s="58" t="s">
        <v>658</v>
      </c>
      <c r="G128" s="89">
        <v>3.0999999999999999E-3</v>
      </c>
      <c r="H128" s="51">
        <v>2023</v>
      </c>
      <c r="I128" s="58" t="s">
        <v>640</v>
      </c>
      <c r="J128" s="59" t="s">
        <v>659</v>
      </c>
      <c r="K128" s="58" t="s">
        <v>25</v>
      </c>
      <c r="L128" s="37" t="s">
        <v>27</v>
      </c>
      <c r="M128" s="58" t="s">
        <v>642</v>
      </c>
      <c r="N128" s="51">
        <v>43</v>
      </c>
      <c r="O128" s="58" t="s">
        <v>643</v>
      </c>
      <c r="P128" s="36" t="s">
        <v>1348</v>
      </c>
      <c r="Q128" s="58" t="s">
        <v>660</v>
      </c>
      <c r="R128" s="51">
        <v>4302062</v>
      </c>
      <c r="S128" s="58" t="s">
        <v>201</v>
      </c>
      <c r="T128" s="59" t="s">
        <v>670</v>
      </c>
      <c r="U128" s="58" t="s">
        <v>671</v>
      </c>
      <c r="V128" s="51">
        <v>430206200</v>
      </c>
      <c r="W128" s="58" t="s">
        <v>672</v>
      </c>
      <c r="X128" s="41" t="s">
        <v>2169</v>
      </c>
      <c r="Y128" s="58" t="s">
        <v>36</v>
      </c>
      <c r="Z128" s="51">
        <v>8</v>
      </c>
      <c r="AA128" s="51" t="s">
        <v>2192</v>
      </c>
      <c r="AB128" s="51" t="s">
        <v>2366</v>
      </c>
      <c r="AC128" s="58" t="s">
        <v>2211</v>
      </c>
      <c r="AD128" s="51" t="s">
        <v>348</v>
      </c>
      <c r="AE128" s="51" t="s">
        <v>2188</v>
      </c>
      <c r="AF128" s="36" t="s">
        <v>2187</v>
      </c>
      <c r="AG128" s="23">
        <v>8</v>
      </c>
      <c r="AH128" s="24">
        <v>8</v>
      </c>
      <c r="AI128" s="25">
        <v>8</v>
      </c>
      <c r="AJ128" s="26">
        <v>8</v>
      </c>
      <c r="AK128" s="46">
        <v>200000000</v>
      </c>
      <c r="AL128" s="47">
        <v>211740000</v>
      </c>
      <c r="AM128" s="48">
        <v>219891990</v>
      </c>
      <c r="AN128" s="49">
        <v>228357831.62</v>
      </c>
      <c r="AO128" s="50">
        <v>859989821.62</v>
      </c>
      <c r="AP128" s="10" t="s">
        <v>642</v>
      </c>
    </row>
    <row r="129" spans="1:42" customFormat="1" ht="51" customHeight="1" x14ac:dyDescent="0.25">
      <c r="A129" s="36">
        <v>128</v>
      </c>
      <c r="B129" s="37" t="s">
        <v>224</v>
      </c>
      <c r="C129" s="37" t="s">
        <v>291</v>
      </c>
      <c r="D129" s="38" t="s">
        <v>2386</v>
      </c>
      <c r="E129" s="37" t="s">
        <v>673</v>
      </c>
      <c r="F129" s="37" t="s">
        <v>674</v>
      </c>
      <c r="G129" s="40" t="s">
        <v>675</v>
      </c>
      <c r="H129" s="62">
        <v>2022</v>
      </c>
      <c r="I129" s="37" t="s">
        <v>676</v>
      </c>
      <c r="J129" s="38" t="s">
        <v>677</v>
      </c>
      <c r="K129" s="37" t="s">
        <v>25</v>
      </c>
      <c r="L129" s="37" t="s">
        <v>679</v>
      </c>
      <c r="M129" s="37" t="s">
        <v>678</v>
      </c>
      <c r="N129" s="36">
        <v>17</v>
      </c>
      <c r="O129" s="37" t="s">
        <v>680</v>
      </c>
      <c r="P129" s="36">
        <v>1702</v>
      </c>
      <c r="Q129" s="37" t="s">
        <v>682</v>
      </c>
      <c r="R129" s="36">
        <v>1702007</v>
      </c>
      <c r="S129" s="37" t="s">
        <v>683</v>
      </c>
      <c r="T129" s="38" t="s">
        <v>684</v>
      </c>
      <c r="U129" s="37" t="s">
        <v>685</v>
      </c>
      <c r="V129" s="36">
        <v>170200700</v>
      </c>
      <c r="W129" s="41" t="s">
        <v>686</v>
      </c>
      <c r="X129" s="41" t="s">
        <v>2114</v>
      </c>
      <c r="Y129" s="37" t="s">
        <v>36</v>
      </c>
      <c r="Z129" s="36">
        <v>8</v>
      </c>
      <c r="AA129" s="36" t="s">
        <v>2185</v>
      </c>
      <c r="AB129" s="36" t="s">
        <v>2276</v>
      </c>
      <c r="AC129" s="37" t="s">
        <v>2277</v>
      </c>
      <c r="AD129" s="37" t="s">
        <v>687</v>
      </c>
      <c r="AE129" s="37" t="s">
        <v>688</v>
      </c>
      <c r="AF129" s="37" t="s">
        <v>2187</v>
      </c>
      <c r="AG129" s="19">
        <v>7</v>
      </c>
      <c r="AH129" s="20">
        <v>20</v>
      </c>
      <c r="AI129" s="21">
        <v>20</v>
      </c>
      <c r="AJ129" s="22">
        <v>3</v>
      </c>
      <c r="AK129" s="46">
        <v>6460000000</v>
      </c>
      <c r="AL129" s="47">
        <v>6160000000</v>
      </c>
      <c r="AM129" s="48">
        <v>360000000</v>
      </c>
      <c r="AN129" s="49">
        <v>100000000</v>
      </c>
      <c r="AO129" s="50">
        <v>13080000000</v>
      </c>
      <c r="AP129" s="37" t="s">
        <v>678</v>
      </c>
    </row>
    <row r="130" spans="1:42" customFormat="1" ht="63.75" x14ac:dyDescent="0.25">
      <c r="A130" s="36">
        <v>129</v>
      </c>
      <c r="B130" s="37" t="s">
        <v>224</v>
      </c>
      <c r="C130" s="37" t="s">
        <v>291</v>
      </c>
      <c r="D130" s="38" t="s">
        <v>2386</v>
      </c>
      <c r="E130" s="37" t="s">
        <v>673</v>
      </c>
      <c r="F130" s="37" t="s">
        <v>674</v>
      </c>
      <c r="G130" s="40" t="s">
        <v>675</v>
      </c>
      <c r="H130" s="62">
        <v>2022</v>
      </c>
      <c r="I130" s="37" t="s">
        <v>676</v>
      </c>
      <c r="J130" s="38" t="s">
        <v>677</v>
      </c>
      <c r="K130" s="37" t="s">
        <v>25</v>
      </c>
      <c r="L130" s="37" t="s">
        <v>688</v>
      </c>
      <c r="M130" s="37" t="s">
        <v>678</v>
      </c>
      <c r="N130" s="51" t="s">
        <v>689</v>
      </c>
      <c r="O130" s="80" t="s">
        <v>690</v>
      </c>
      <c r="P130" s="51" t="s">
        <v>691</v>
      </c>
      <c r="Q130" s="58" t="s">
        <v>692</v>
      </c>
      <c r="R130" s="51">
        <v>406001</v>
      </c>
      <c r="S130" s="58" t="s">
        <v>693</v>
      </c>
      <c r="T130" s="59" t="s">
        <v>694</v>
      </c>
      <c r="U130" s="58" t="s">
        <v>301</v>
      </c>
      <c r="V130" s="51" t="s">
        <v>695</v>
      </c>
      <c r="W130" s="58" t="s">
        <v>696</v>
      </c>
      <c r="X130" s="58" t="s">
        <v>697</v>
      </c>
      <c r="Y130" s="37" t="s">
        <v>36</v>
      </c>
      <c r="Z130" s="36">
        <v>0</v>
      </c>
      <c r="AA130" s="36" t="s">
        <v>2185</v>
      </c>
      <c r="AB130" s="36" t="s">
        <v>2276</v>
      </c>
      <c r="AC130" s="37" t="s">
        <v>2187</v>
      </c>
      <c r="AD130" s="37" t="s">
        <v>698</v>
      </c>
      <c r="AE130" s="37" t="s">
        <v>688</v>
      </c>
      <c r="AF130" s="37" t="s">
        <v>2187</v>
      </c>
      <c r="AG130" s="2">
        <v>0.14000000000000001</v>
      </c>
      <c r="AH130" s="4">
        <v>0.33</v>
      </c>
      <c r="AI130" s="8">
        <v>0.33</v>
      </c>
      <c r="AJ130" s="6">
        <v>0.2</v>
      </c>
      <c r="AK130" s="46">
        <v>101962000</v>
      </c>
      <c r="AL130" s="47">
        <v>250000000</v>
      </c>
      <c r="AM130" s="48">
        <v>250000000</v>
      </c>
      <c r="AN130" s="49">
        <v>148038000</v>
      </c>
      <c r="AO130" s="50">
        <v>750000000</v>
      </c>
      <c r="AP130" s="37" t="s">
        <v>678</v>
      </c>
    </row>
    <row r="131" spans="1:42" customFormat="1" ht="76.5" x14ac:dyDescent="0.25">
      <c r="A131" s="36">
        <v>130</v>
      </c>
      <c r="B131" s="37" t="s">
        <v>224</v>
      </c>
      <c r="C131" s="37" t="s">
        <v>291</v>
      </c>
      <c r="D131" s="38" t="s">
        <v>2386</v>
      </c>
      <c r="E131" s="37" t="s">
        <v>673</v>
      </c>
      <c r="F131" s="37" t="s">
        <v>674</v>
      </c>
      <c r="G131" s="40" t="s">
        <v>675</v>
      </c>
      <c r="H131" s="62">
        <v>2022</v>
      </c>
      <c r="I131" s="87" t="s">
        <v>676</v>
      </c>
      <c r="J131" s="38" t="s">
        <v>677</v>
      </c>
      <c r="K131" s="87" t="s">
        <v>25</v>
      </c>
      <c r="L131" s="87" t="s">
        <v>699</v>
      </c>
      <c r="M131" s="87" t="s">
        <v>678</v>
      </c>
      <c r="N131" s="36">
        <v>17</v>
      </c>
      <c r="O131" s="37" t="s">
        <v>680</v>
      </c>
      <c r="P131" s="36" t="s">
        <v>681</v>
      </c>
      <c r="Q131" s="37" t="s">
        <v>682</v>
      </c>
      <c r="R131" s="36">
        <v>1702038</v>
      </c>
      <c r="S131" s="37" t="s">
        <v>700</v>
      </c>
      <c r="T131" s="38" t="s">
        <v>701</v>
      </c>
      <c r="U131" s="37" t="s">
        <v>702</v>
      </c>
      <c r="V131" s="36">
        <v>170203800</v>
      </c>
      <c r="W131" s="37" t="s">
        <v>703</v>
      </c>
      <c r="X131" s="41" t="s">
        <v>704</v>
      </c>
      <c r="Y131" s="37" t="s">
        <v>36</v>
      </c>
      <c r="Z131" s="36">
        <v>80</v>
      </c>
      <c r="AA131" s="36" t="s">
        <v>2185</v>
      </c>
      <c r="AB131" s="36" t="s">
        <v>2276</v>
      </c>
      <c r="AC131" s="37" t="s">
        <v>2278</v>
      </c>
      <c r="AD131" s="37" t="s">
        <v>705</v>
      </c>
      <c r="AE131" s="37" t="s">
        <v>706</v>
      </c>
      <c r="AF131" s="37" t="s">
        <v>730</v>
      </c>
      <c r="AG131" s="152">
        <v>0</v>
      </c>
      <c r="AH131" s="4">
        <v>33</v>
      </c>
      <c r="AI131" s="8">
        <v>33</v>
      </c>
      <c r="AJ131" s="6">
        <v>34</v>
      </c>
      <c r="AK131" s="46">
        <v>0</v>
      </c>
      <c r="AL131" s="47">
        <v>205380723.43000001</v>
      </c>
      <c r="AM131" s="48">
        <v>205380722.78999999</v>
      </c>
      <c r="AN131" s="49">
        <v>205380722.91</v>
      </c>
      <c r="AO131" s="50">
        <v>616142169.13</v>
      </c>
      <c r="AP131" s="37" t="s">
        <v>678</v>
      </c>
    </row>
    <row r="132" spans="1:42" customFormat="1" ht="63.75" x14ac:dyDescent="0.25">
      <c r="A132" s="36">
        <v>131</v>
      </c>
      <c r="B132" s="37" t="s">
        <v>224</v>
      </c>
      <c r="C132" s="37" t="s">
        <v>291</v>
      </c>
      <c r="D132" s="38" t="s">
        <v>2386</v>
      </c>
      <c r="E132" s="37" t="s">
        <v>673</v>
      </c>
      <c r="F132" s="37" t="s">
        <v>674</v>
      </c>
      <c r="G132" s="40" t="s">
        <v>675</v>
      </c>
      <c r="H132" s="62">
        <v>2022</v>
      </c>
      <c r="I132" s="87" t="s">
        <v>676</v>
      </c>
      <c r="J132" s="38" t="s">
        <v>677</v>
      </c>
      <c r="K132" s="87" t="s">
        <v>25</v>
      </c>
      <c r="L132" s="87" t="s">
        <v>706</v>
      </c>
      <c r="M132" s="87" t="s">
        <v>678</v>
      </c>
      <c r="N132" s="36">
        <v>17</v>
      </c>
      <c r="O132" s="37" t="s">
        <v>680</v>
      </c>
      <c r="P132" s="51" t="s">
        <v>707</v>
      </c>
      <c r="Q132" s="58" t="s">
        <v>708</v>
      </c>
      <c r="R132" s="51" t="s">
        <v>709</v>
      </c>
      <c r="S132" s="58" t="s">
        <v>710</v>
      </c>
      <c r="T132" s="59" t="s">
        <v>711</v>
      </c>
      <c r="U132" s="58" t="s">
        <v>712</v>
      </c>
      <c r="V132" s="51" t="s">
        <v>713</v>
      </c>
      <c r="W132" s="58" t="s">
        <v>714</v>
      </c>
      <c r="X132" s="41" t="s">
        <v>715</v>
      </c>
      <c r="Y132" s="37" t="s">
        <v>36</v>
      </c>
      <c r="Z132" s="36">
        <v>4000</v>
      </c>
      <c r="AA132" s="36" t="s">
        <v>2185</v>
      </c>
      <c r="AB132" s="36" t="s">
        <v>2276</v>
      </c>
      <c r="AC132" s="37" t="s">
        <v>2187</v>
      </c>
      <c r="AD132" s="37" t="s">
        <v>716</v>
      </c>
      <c r="AE132" s="37" t="s">
        <v>706</v>
      </c>
      <c r="AF132" s="37" t="s">
        <v>2187</v>
      </c>
      <c r="AG132" s="19">
        <v>500</v>
      </c>
      <c r="AH132" s="20">
        <v>1000</v>
      </c>
      <c r="AI132" s="21">
        <v>1000</v>
      </c>
      <c r="AJ132" s="22">
        <v>1000</v>
      </c>
      <c r="AK132" s="46">
        <v>39993017.5</v>
      </c>
      <c r="AL132" s="47">
        <v>42272619.5</v>
      </c>
      <c r="AM132" s="48">
        <v>43540798.079999998</v>
      </c>
      <c r="AN132" s="49">
        <v>44847022.020000003</v>
      </c>
      <c r="AO132" s="50">
        <v>170653457.09999999</v>
      </c>
      <c r="AP132" s="37" t="s">
        <v>678</v>
      </c>
    </row>
    <row r="133" spans="1:42" customFormat="1" ht="63.75" x14ac:dyDescent="0.25">
      <c r="A133" s="36">
        <v>132</v>
      </c>
      <c r="B133" s="37" t="s">
        <v>224</v>
      </c>
      <c r="C133" s="37" t="s">
        <v>291</v>
      </c>
      <c r="D133" s="38" t="s">
        <v>2386</v>
      </c>
      <c r="E133" s="37" t="s">
        <v>673</v>
      </c>
      <c r="F133" s="37" t="s">
        <v>674</v>
      </c>
      <c r="G133" s="40" t="s">
        <v>675</v>
      </c>
      <c r="H133" s="62">
        <v>2022</v>
      </c>
      <c r="I133" s="87" t="s">
        <v>676</v>
      </c>
      <c r="J133" s="38" t="s">
        <v>677</v>
      </c>
      <c r="K133" s="87" t="s">
        <v>25</v>
      </c>
      <c r="L133" s="87" t="s">
        <v>706</v>
      </c>
      <c r="M133" s="87" t="s">
        <v>678</v>
      </c>
      <c r="N133" s="36">
        <v>17</v>
      </c>
      <c r="O133" s="37" t="s">
        <v>680</v>
      </c>
      <c r="P133" s="36" t="s">
        <v>681</v>
      </c>
      <c r="Q133" s="37" t="s">
        <v>682</v>
      </c>
      <c r="R133" s="36" t="s">
        <v>717</v>
      </c>
      <c r="S133" s="37" t="s">
        <v>718</v>
      </c>
      <c r="T133" s="38" t="s">
        <v>719</v>
      </c>
      <c r="U133" s="37" t="s">
        <v>203</v>
      </c>
      <c r="V133" s="51" t="s">
        <v>720</v>
      </c>
      <c r="W133" s="58" t="s">
        <v>297</v>
      </c>
      <c r="X133" s="41" t="s">
        <v>721</v>
      </c>
      <c r="Y133" s="37" t="s">
        <v>36</v>
      </c>
      <c r="Z133" s="36">
        <v>450</v>
      </c>
      <c r="AA133" s="36" t="s">
        <v>2185</v>
      </c>
      <c r="AB133" s="36" t="s">
        <v>2276</v>
      </c>
      <c r="AC133" s="37" t="s">
        <v>2187</v>
      </c>
      <c r="AD133" s="37" t="s">
        <v>716</v>
      </c>
      <c r="AE133" s="37" t="s">
        <v>706</v>
      </c>
      <c r="AF133" s="37" t="s">
        <v>2187</v>
      </c>
      <c r="AG133" s="19">
        <v>150</v>
      </c>
      <c r="AH133" s="20">
        <v>150</v>
      </c>
      <c r="AI133" s="21">
        <v>150</v>
      </c>
      <c r="AJ133" s="22">
        <v>150</v>
      </c>
      <c r="AK133" s="46">
        <v>39993017.5</v>
      </c>
      <c r="AL133" s="47">
        <v>42272619.5</v>
      </c>
      <c r="AM133" s="48">
        <v>43540798.079999998</v>
      </c>
      <c r="AN133" s="49">
        <v>44847022.020000003</v>
      </c>
      <c r="AO133" s="50">
        <v>170653457.09999999</v>
      </c>
      <c r="AP133" s="37" t="s">
        <v>678</v>
      </c>
    </row>
    <row r="134" spans="1:42" customFormat="1" ht="63.75" x14ac:dyDescent="0.25">
      <c r="A134" s="36">
        <v>133</v>
      </c>
      <c r="B134" s="37" t="s">
        <v>224</v>
      </c>
      <c r="C134" s="37" t="s">
        <v>291</v>
      </c>
      <c r="D134" s="38" t="s">
        <v>2386</v>
      </c>
      <c r="E134" s="37" t="s">
        <v>673</v>
      </c>
      <c r="F134" s="37" t="s">
        <v>674</v>
      </c>
      <c r="G134" s="40" t="s">
        <v>675</v>
      </c>
      <c r="H134" s="62">
        <v>2022</v>
      </c>
      <c r="I134" s="37" t="s">
        <v>676</v>
      </c>
      <c r="J134" s="38" t="s">
        <v>677</v>
      </c>
      <c r="K134" s="87" t="s">
        <v>25</v>
      </c>
      <c r="L134" s="87" t="s">
        <v>706</v>
      </c>
      <c r="M134" s="37" t="s">
        <v>678</v>
      </c>
      <c r="N134" s="36">
        <v>17</v>
      </c>
      <c r="O134" s="37" t="s">
        <v>680</v>
      </c>
      <c r="P134" s="36" t="s">
        <v>722</v>
      </c>
      <c r="Q134" s="37" t="s">
        <v>723</v>
      </c>
      <c r="R134" s="36">
        <v>1708041</v>
      </c>
      <c r="S134" s="37" t="s">
        <v>724</v>
      </c>
      <c r="T134" s="38" t="s">
        <v>725</v>
      </c>
      <c r="U134" s="37" t="s">
        <v>726</v>
      </c>
      <c r="V134" s="51">
        <v>170804100</v>
      </c>
      <c r="W134" s="58" t="s">
        <v>727</v>
      </c>
      <c r="X134" s="41" t="s">
        <v>728</v>
      </c>
      <c r="Y134" s="37" t="s">
        <v>36</v>
      </c>
      <c r="Z134" s="36">
        <v>1500</v>
      </c>
      <c r="AA134" s="36" t="s">
        <v>2185</v>
      </c>
      <c r="AB134" s="36" t="s">
        <v>2367</v>
      </c>
      <c r="AC134" s="37" t="s">
        <v>2187</v>
      </c>
      <c r="AD134" s="37" t="s">
        <v>729</v>
      </c>
      <c r="AE134" s="37" t="s">
        <v>706</v>
      </c>
      <c r="AF134" s="37" t="s">
        <v>2187</v>
      </c>
      <c r="AG134" s="19">
        <v>1000</v>
      </c>
      <c r="AH134" s="20">
        <v>400</v>
      </c>
      <c r="AI134" s="21">
        <v>700</v>
      </c>
      <c r="AJ134" s="22">
        <v>900</v>
      </c>
      <c r="AK134" s="46">
        <v>500000000</v>
      </c>
      <c r="AL134" s="47">
        <v>200000000</v>
      </c>
      <c r="AM134" s="48">
        <v>350000000</v>
      </c>
      <c r="AN134" s="49">
        <v>450000000</v>
      </c>
      <c r="AO134" s="50">
        <v>1500000000</v>
      </c>
      <c r="AP134" s="37" t="s">
        <v>678</v>
      </c>
    </row>
    <row r="135" spans="1:42" customFormat="1" ht="63.75" x14ac:dyDescent="0.25">
      <c r="A135" s="36">
        <v>134</v>
      </c>
      <c r="B135" s="37" t="s">
        <v>224</v>
      </c>
      <c r="C135" s="37" t="s">
        <v>291</v>
      </c>
      <c r="D135" s="38" t="s">
        <v>2386</v>
      </c>
      <c r="E135" s="37" t="s">
        <v>673</v>
      </c>
      <c r="F135" s="37" t="s">
        <v>674</v>
      </c>
      <c r="G135" s="40" t="s">
        <v>675</v>
      </c>
      <c r="H135" s="62">
        <v>2022</v>
      </c>
      <c r="I135" s="37" t="s">
        <v>676</v>
      </c>
      <c r="J135" s="38" t="s">
        <v>677</v>
      </c>
      <c r="K135" s="87" t="s">
        <v>25</v>
      </c>
      <c r="L135" s="87" t="s">
        <v>730</v>
      </c>
      <c r="M135" s="37" t="s">
        <v>678</v>
      </c>
      <c r="N135" s="36">
        <v>17</v>
      </c>
      <c r="O135" s="37" t="s">
        <v>680</v>
      </c>
      <c r="P135" s="51" t="s">
        <v>681</v>
      </c>
      <c r="Q135" s="58" t="s">
        <v>682</v>
      </c>
      <c r="R135" s="51" t="s">
        <v>731</v>
      </c>
      <c r="S135" s="58" t="s">
        <v>732</v>
      </c>
      <c r="T135" s="59" t="s">
        <v>733</v>
      </c>
      <c r="U135" s="58" t="s">
        <v>726</v>
      </c>
      <c r="V135" s="51" t="s">
        <v>734</v>
      </c>
      <c r="W135" s="58" t="s">
        <v>735</v>
      </c>
      <c r="X135" s="41" t="s">
        <v>2170</v>
      </c>
      <c r="Y135" s="37" t="s">
        <v>36</v>
      </c>
      <c r="Z135" s="36">
        <v>0</v>
      </c>
      <c r="AA135" s="36" t="s">
        <v>2185</v>
      </c>
      <c r="AB135" s="36" t="s">
        <v>2276</v>
      </c>
      <c r="AC135" s="37" t="s">
        <v>2278</v>
      </c>
      <c r="AD135" s="37" t="s">
        <v>736</v>
      </c>
      <c r="AE135" s="37" t="s">
        <v>730</v>
      </c>
      <c r="AF135" s="37" t="s">
        <v>2187</v>
      </c>
      <c r="AG135" s="19">
        <v>1500</v>
      </c>
      <c r="AH135" s="20">
        <v>0</v>
      </c>
      <c r="AI135" s="21">
        <v>0</v>
      </c>
      <c r="AJ135" s="22">
        <v>0</v>
      </c>
      <c r="AK135" s="46">
        <v>2999000000</v>
      </c>
      <c r="AL135" s="47">
        <v>0</v>
      </c>
      <c r="AM135" s="48">
        <v>0</v>
      </c>
      <c r="AN135" s="49">
        <v>0</v>
      </c>
      <c r="AO135" s="50">
        <v>2999000000</v>
      </c>
      <c r="AP135" s="37" t="s">
        <v>678</v>
      </c>
    </row>
    <row r="136" spans="1:42" customFormat="1" ht="76.5" x14ac:dyDescent="0.25">
      <c r="A136" s="36">
        <v>135</v>
      </c>
      <c r="B136" s="37" t="s">
        <v>224</v>
      </c>
      <c r="C136" s="37" t="s">
        <v>291</v>
      </c>
      <c r="D136" s="38" t="s">
        <v>2386</v>
      </c>
      <c r="E136" s="37" t="s">
        <v>673</v>
      </c>
      <c r="F136" s="37" t="s">
        <v>674</v>
      </c>
      <c r="G136" s="40" t="s">
        <v>675</v>
      </c>
      <c r="H136" s="62">
        <v>2022</v>
      </c>
      <c r="I136" s="37" t="s">
        <v>676</v>
      </c>
      <c r="J136" s="38" t="s">
        <v>677</v>
      </c>
      <c r="K136" s="87" t="s">
        <v>25</v>
      </c>
      <c r="L136" s="37" t="s">
        <v>699</v>
      </c>
      <c r="M136" s="37" t="s">
        <v>678</v>
      </c>
      <c r="N136" s="36">
        <v>17</v>
      </c>
      <c r="O136" s="37" t="s">
        <v>680</v>
      </c>
      <c r="P136" s="51" t="s">
        <v>681</v>
      </c>
      <c r="Q136" s="58" t="s">
        <v>682</v>
      </c>
      <c r="R136" s="51" t="s">
        <v>737</v>
      </c>
      <c r="S136" s="58" t="s">
        <v>738</v>
      </c>
      <c r="T136" s="59" t="s">
        <v>739</v>
      </c>
      <c r="U136" s="58" t="s">
        <v>726</v>
      </c>
      <c r="V136" s="51" t="s">
        <v>740</v>
      </c>
      <c r="W136" s="58" t="s">
        <v>741</v>
      </c>
      <c r="X136" s="41" t="s">
        <v>742</v>
      </c>
      <c r="Y136" s="37" t="s">
        <v>36</v>
      </c>
      <c r="Z136" s="36">
        <v>0</v>
      </c>
      <c r="AA136" s="36" t="s">
        <v>2185</v>
      </c>
      <c r="AB136" s="36" t="s">
        <v>2276</v>
      </c>
      <c r="AC136" s="37" t="s">
        <v>2187</v>
      </c>
      <c r="AD136" s="37" t="s">
        <v>705</v>
      </c>
      <c r="AE136" s="37" t="s">
        <v>706</v>
      </c>
      <c r="AF136" s="37" t="s">
        <v>730</v>
      </c>
      <c r="AG136" s="152">
        <v>0</v>
      </c>
      <c r="AH136" s="4">
        <v>2</v>
      </c>
      <c r="AI136" s="8">
        <v>0</v>
      </c>
      <c r="AJ136" s="6">
        <v>0</v>
      </c>
      <c r="AK136" s="46">
        <v>0</v>
      </c>
      <c r="AL136" s="47">
        <v>500000000</v>
      </c>
      <c r="AM136" s="48">
        <v>0</v>
      </c>
      <c r="AN136" s="49">
        <v>0</v>
      </c>
      <c r="AO136" s="50">
        <v>500000000</v>
      </c>
      <c r="AP136" s="37" t="s">
        <v>678</v>
      </c>
    </row>
    <row r="137" spans="1:42" customFormat="1" ht="76.5" x14ac:dyDescent="0.25">
      <c r="A137" s="36">
        <v>136</v>
      </c>
      <c r="B137" s="37" t="s">
        <v>224</v>
      </c>
      <c r="C137" s="37" t="s">
        <v>291</v>
      </c>
      <c r="D137" s="38" t="s">
        <v>2386</v>
      </c>
      <c r="E137" s="37" t="s">
        <v>673</v>
      </c>
      <c r="F137" s="37" t="s">
        <v>674</v>
      </c>
      <c r="G137" s="40" t="s">
        <v>675</v>
      </c>
      <c r="H137" s="62">
        <v>2022</v>
      </c>
      <c r="I137" s="37" t="s">
        <v>676</v>
      </c>
      <c r="J137" s="38" t="s">
        <v>677</v>
      </c>
      <c r="K137" s="37" t="s">
        <v>25</v>
      </c>
      <c r="L137" s="37" t="s">
        <v>699</v>
      </c>
      <c r="M137" s="37" t="s">
        <v>678</v>
      </c>
      <c r="N137" s="36">
        <v>17</v>
      </c>
      <c r="O137" s="37" t="s">
        <v>680</v>
      </c>
      <c r="P137" s="51" t="s">
        <v>743</v>
      </c>
      <c r="Q137" s="58" t="s">
        <v>744</v>
      </c>
      <c r="R137" s="51" t="s">
        <v>745</v>
      </c>
      <c r="S137" s="58" t="s">
        <v>746</v>
      </c>
      <c r="T137" s="59" t="s">
        <v>747</v>
      </c>
      <c r="U137" s="58" t="s">
        <v>748</v>
      </c>
      <c r="V137" s="51" t="s">
        <v>749</v>
      </c>
      <c r="W137" s="58" t="s">
        <v>746</v>
      </c>
      <c r="X137" s="41" t="s">
        <v>750</v>
      </c>
      <c r="Y137" s="37" t="s">
        <v>36</v>
      </c>
      <c r="Z137" s="36">
        <v>0</v>
      </c>
      <c r="AA137" s="36" t="s">
        <v>2185</v>
      </c>
      <c r="AB137" s="36" t="s">
        <v>2276</v>
      </c>
      <c r="AC137" s="37" t="s">
        <v>2187</v>
      </c>
      <c r="AD137" s="37" t="s">
        <v>705</v>
      </c>
      <c r="AE137" s="37" t="s">
        <v>706</v>
      </c>
      <c r="AF137" s="37" t="s">
        <v>730</v>
      </c>
      <c r="AG137" s="152">
        <v>0</v>
      </c>
      <c r="AH137" s="4">
        <v>1</v>
      </c>
      <c r="AI137" s="8">
        <v>1</v>
      </c>
      <c r="AJ137" s="6">
        <v>0</v>
      </c>
      <c r="AK137" s="46">
        <v>0</v>
      </c>
      <c r="AL137" s="47">
        <v>1000000000</v>
      </c>
      <c r="AM137" s="48">
        <v>1000000000</v>
      </c>
      <c r="AN137" s="49">
        <v>0</v>
      </c>
      <c r="AO137" s="50">
        <v>2000000000</v>
      </c>
      <c r="AP137" s="37" t="s">
        <v>678</v>
      </c>
    </row>
    <row r="138" spans="1:42" customFormat="1" ht="76.5" x14ac:dyDescent="0.25">
      <c r="A138" s="36">
        <v>137</v>
      </c>
      <c r="B138" s="37" t="s">
        <v>224</v>
      </c>
      <c r="C138" s="37" t="s">
        <v>291</v>
      </c>
      <c r="D138" s="38" t="s">
        <v>2386</v>
      </c>
      <c r="E138" s="37" t="s">
        <v>673</v>
      </c>
      <c r="F138" s="37" t="s">
        <v>674</v>
      </c>
      <c r="G138" s="40" t="s">
        <v>675</v>
      </c>
      <c r="H138" s="62">
        <v>2022</v>
      </c>
      <c r="I138" s="37" t="s">
        <v>676</v>
      </c>
      <c r="J138" s="38" t="s">
        <v>677</v>
      </c>
      <c r="K138" s="37" t="s">
        <v>25</v>
      </c>
      <c r="L138" s="37" t="s">
        <v>699</v>
      </c>
      <c r="M138" s="37" t="s">
        <v>678</v>
      </c>
      <c r="N138" s="36">
        <v>17</v>
      </c>
      <c r="O138" s="37" t="s">
        <v>680</v>
      </c>
      <c r="P138" s="51" t="s">
        <v>743</v>
      </c>
      <c r="Q138" s="58" t="s">
        <v>744</v>
      </c>
      <c r="R138" s="51" t="s">
        <v>751</v>
      </c>
      <c r="S138" s="58" t="s">
        <v>752</v>
      </c>
      <c r="T138" s="59" t="s">
        <v>753</v>
      </c>
      <c r="U138" s="58" t="s">
        <v>754</v>
      </c>
      <c r="V138" s="51" t="s">
        <v>755</v>
      </c>
      <c r="W138" s="58" t="s">
        <v>752</v>
      </c>
      <c r="X138" s="58" t="s">
        <v>756</v>
      </c>
      <c r="Y138" s="37" t="s">
        <v>36</v>
      </c>
      <c r="Z138" s="36">
        <v>0</v>
      </c>
      <c r="AA138" s="36" t="s">
        <v>2185</v>
      </c>
      <c r="AB138" s="36" t="s">
        <v>2276</v>
      </c>
      <c r="AC138" s="37" t="s">
        <v>2187</v>
      </c>
      <c r="AD138" s="37" t="s">
        <v>705</v>
      </c>
      <c r="AE138" s="37" t="s">
        <v>706</v>
      </c>
      <c r="AF138" s="37" t="s">
        <v>730</v>
      </c>
      <c r="AG138" s="152">
        <v>0</v>
      </c>
      <c r="AH138" s="4">
        <v>1</v>
      </c>
      <c r="AI138" s="8">
        <v>1</v>
      </c>
      <c r="AJ138" s="6">
        <v>0</v>
      </c>
      <c r="AK138" s="46">
        <v>0</v>
      </c>
      <c r="AL138" s="47">
        <v>1500000000</v>
      </c>
      <c r="AM138" s="48">
        <v>1500000000</v>
      </c>
      <c r="AN138" s="49">
        <v>0</v>
      </c>
      <c r="AO138" s="50">
        <v>3000000000</v>
      </c>
      <c r="AP138" s="37" t="s">
        <v>678</v>
      </c>
    </row>
    <row r="139" spans="1:42" customFormat="1" ht="76.5" x14ac:dyDescent="0.25">
      <c r="A139" s="36">
        <v>138</v>
      </c>
      <c r="B139" s="37" t="s">
        <v>224</v>
      </c>
      <c r="C139" s="37" t="s">
        <v>291</v>
      </c>
      <c r="D139" s="38" t="s">
        <v>2386</v>
      </c>
      <c r="E139" s="37" t="s">
        <v>673</v>
      </c>
      <c r="F139" s="37" t="s">
        <v>674</v>
      </c>
      <c r="G139" s="40" t="s">
        <v>675</v>
      </c>
      <c r="H139" s="62">
        <v>2022</v>
      </c>
      <c r="I139" s="37" t="s">
        <v>676</v>
      </c>
      <c r="J139" s="38" t="s">
        <v>677</v>
      </c>
      <c r="K139" s="37" t="s">
        <v>25</v>
      </c>
      <c r="L139" s="37" t="s">
        <v>699</v>
      </c>
      <c r="M139" s="37" t="s">
        <v>678</v>
      </c>
      <c r="N139" s="36">
        <v>17</v>
      </c>
      <c r="O139" s="37" t="s">
        <v>680</v>
      </c>
      <c r="P139" s="51" t="s">
        <v>743</v>
      </c>
      <c r="Q139" s="58" t="s">
        <v>744</v>
      </c>
      <c r="R139" s="51" t="s">
        <v>757</v>
      </c>
      <c r="S139" s="58" t="s">
        <v>758</v>
      </c>
      <c r="T139" s="59" t="s">
        <v>759</v>
      </c>
      <c r="U139" s="58" t="s">
        <v>760</v>
      </c>
      <c r="V139" s="51" t="s">
        <v>761</v>
      </c>
      <c r="W139" s="58" t="s">
        <v>762</v>
      </c>
      <c r="X139" s="58" t="s">
        <v>763</v>
      </c>
      <c r="Y139" s="37" t="s">
        <v>764</v>
      </c>
      <c r="Z139" s="36">
        <v>3</v>
      </c>
      <c r="AA139" s="36" t="s">
        <v>2185</v>
      </c>
      <c r="AB139" s="36" t="s">
        <v>2367</v>
      </c>
      <c r="AC139" s="37" t="s">
        <v>2187</v>
      </c>
      <c r="AD139" s="37" t="s">
        <v>705</v>
      </c>
      <c r="AE139" s="37" t="s">
        <v>2279</v>
      </c>
      <c r="AF139" s="37" t="s">
        <v>2280</v>
      </c>
      <c r="AG139" s="19">
        <v>2</v>
      </c>
      <c r="AH139" s="20">
        <v>4</v>
      </c>
      <c r="AI139" s="21">
        <v>1</v>
      </c>
      <c r="AJ139" s="22">
        <v>0</v>
      </c>
      <c r="AK139" s="46">
        <v>11292489016.58</v>
      </c>
      <c r="AL139" s="47">
        <v>56300800383.089996</v>
      </c>
      <c r="AM139" s="48">
        <v>7463333333.3299999</v>
      </c>
      <c r="AN139" s="49">
        <v>0</v>
      </c>
      <c r="AO139" s="50">
        <v>75056622733</v>
      </c>
      <c r="AP139" s="37" t="s">
        <v>678</v>
      </c>
    </row>
    <row r="140" spans="1:42" customFormat="1" ht="76.5" x14ac:dyDescent="0.25">
      <c r="A140" s="36">
        <v>139</v>
      </c>
      <c r="B140" s="37" t="s">
        <v>224</v>
      </c>
      <c r="C140" s="37" t="s">
        <v>291</v>
      </c>
      <c r="D140" s="38" t="s">
        <v>2386</v>
      </c>
      <c r="E140" s="37" t="s">
        <v>673</v>
      </c>
      <c r="F140" s="37" t="s">
        <v>674</v>
      </c>
      <c r="G140" s="40" t="s">
        <v>675</v>
      </c>
      <c r="H140" s="62">
        <v>2022</v>
      </c>
      <c r="I140" s="37" t="s">
        <v>676</v>
      </c>
      <c r="J140" s="38" t="s">
        <v>677</v>
      </c>
      <c r="K140" s="37" t="s">
        <v>25</v>
      </c>
      <c r="L140" s="37" t="s">
        <v>699</v>
      </c>
      <c r="M140" s="37" t="s">
        <v>678</v>
      </c>
      <c r="N140" s="36">
        <v>17</v>
      </c>
      <c r="O140" s="37" t="s">
        <v>680</v>
      </c>
      <c r="P140" s="51" t="s">
        <v>765</v>
      </c>
      <c r="Q140" s="58" t="s">
        <v>766</v>
      </c>
      <c r="R140" s="51" t="s">
        <v>767</v>
      </c>
      <c r="S140" s="58" t="s">
        <v>768</v>
      </c>
      <c r="T140" s="59" t="s">
        <v>769</v>
      </c>
      <c r="U140" s="58" t="s">
        <v>500</v>
      </c>
      <c r="V140" s="51" t="s">
        <v>770</v>
      </c>
      <c r="W140" s="58" t="s">
        <v>771</v>
      </c>
      <c r="X140" s="41" t="s">
        <v>772</v>
      </c>
      <c r="Y140" s="37" t="s">
        <v>36</v>
      </c>
      <c r="Z140" s="36">
        <v>0</v>
      </c>
      <c r="AA140" s="36" t="s">
        <v>2185</v>
      </c>
      <c r="AB140" s="36" t="s">
        <v>2367</v>
      </c>
      <c r="AC140" s="37" t="s">
        <v>2187</v>
      </c>
      <c r="AD140" s="37" t="s">
        <v>773</v>
      </c>
      <c r="AE140" s="37" t="s">
        <v>2279</v>
      </c>
      <c r="AF140" s="37" t="s">
        <v>2280</v>
      </c>
      <c r="AG140" s="2">
        <v>0.4</v>
      </c>
      <c r="AH140" s="4">
        <v>0.6</v>
      </c>
      <c r="AI140" s="8">
        <v>0</v>
      </c>
      <c r="AJ140" s="6">
        <v>0</v>
      </c>
      <c r="AK140" s="46">
        <v>200000000</v>
      </c>
      <c r="AL140" s="47">
        <v>300000000</v>
      </c>
      <c r="AM140" s="48">
        <v>0</v>
      </c>
      <c r="AN140" s="49">
        <v>0</v>
      </c>
      <c r="AO140" s="50">
        <v>500000000</v>
      </c>
      <c r="AP140" s="37" t="s">
        <v>678</v>
      </c>
    </row>
    <row r="141" spans="1:42" customFormat="1" ht="204" x14ac:dyDescent="0.25">
      <c r="A141" s="36">
        <v>140</v>
      </c>
      <c r="B141" s="37" t="s">
        <v>224</v>
      </c>
      <c r="C141" s="37" t="s">
        <v>291</v>
      </c>
      <c r="D141" s="38" t="s">
        <v>2386</v>
      </c>
      <c r="E141" s="37" t="s">
        <v>673</v>
      </c>
      <c r="F141" s="37" t="s">
        <v>674</v>
      </c>
      <c r="G141" s="40" t="s">
        <v>675</v>
      </c>
      <c r="H141" s="62">
        <v>2022</v>
      </c>
      <c r="I141" s="37" t="s">
        <v>676</v>
      </c>
      <c r="J141" s="38" t="s">
        <v>677</v>
      </c>
      <c r="K141" s="37" t="s">
        <v>25</v>
      </c>
      <c r="L141" s="37" t="s">
        <v>774</v>
      </c>
      <c r="M141" s="37" t="s">
        <v>678</v>
      </c>
      <c r="N141" s="93" t="s">
        <v>2427</v>
      </c>
      <c r="O141" s="91" t="s">
        <v>2428</v>
      </c>
      <c r="P141" s="93" t="s">
        <v>2429</v>
      </c>
      <c r="Q141" s="91" t="s">
        <v>2430</v>
      </c>
      <c r="R141" s="93" t="s">
        <v>2431</v>
      </c>
      <c r="S141" s="91" t="s">
        <v>2432</v>
      </c>
      <c r="T141" s="91" t="s">
        <v>2433</v>
      </c>
      <c r="U141" s="91" t="s">
        <v>1009</v>
      </c>
      <c r="V141" s="93" t="s">
        <v>2434</v>
      </c>
      <c r="W141" s="91" t="s">
        <v>1010</v>
      </c>
      <c r="X141" s="41" t="s">
        <v>1995</v>
      </c>
      <c r="Y141" s="37" t="s">
        <v>36</v>
      </c>
      <c r="Z141" s="36">
        <v>0</v>
      </c>
      <c r="AA141" s="36" t="s">
        <v>2185</v>
      </c>
      <c r="AB141" s="36" t="s">
        <v>2276</v>
      </c>
      <c r="AC141" s="37" t="s">
        <v>2187</v>
      </c>
      <c r="AD141" s="37" t="s">
        <v>775</v>
      </c>
      <c r="AE141" s="37" t="s">
        <v>688</v>
      </c>
      <c r="AF141" s="37" t="s">
        <v>2187</v>
      </c>
      <c r="AG141" s="152">
        <v>0</v>
      </c>
      <c r="AH141" s="4">
        <v>1</v>
      </c>
      <c r="AI141" s="8">
        <v>0</v>
      </c>
      <c r="AJ141" s="6">
        <v>0</v>
      </c>
      <c r="AK141" s="46">
        <v>0</v>
      </c>
      <c r="AL141" s="47">
        <v>1000000000</v>
      </c>
      <c r="AM141" s="48">
        <v>0</v>
      </c>
      <c r="AN141" s="49">
        <v>0</v>
      </c>
      <c r="AO141" s="50">
        <v>1000000000</v>
      </c>
      <c r="AP141" s="37" t="s">
        <v>678</v>
      </c>
    </row>
    <row r="142" spans="1:42" customFormat="1" ht="89.25" x14ac:dyDescent="0.25">
      <c r="A142" s="36">
        <v>141</v>
      </c>
      <c r="B142" s="37" t="s">
        <v>224</v>
      </c>
      <c r="C142" s="37" t="s">
        <v>291</v>
      </c>
      <c r="D142" s="38" t="s">
        <v>2386</v>
      </c>
      <c r="E142" s="37" t="s">
        <v>673</v>
      </c>
      <c r="F142" s="37" t="s">
        <v>674</v>
      </c>
      <c r="G142" s="40" t="s">
        <v>675</v>
      </c>
      <c r="H142" s="62">
        <v>2022</v>
      </c>
      <c r="I142" s="37" t="s">
        <v>676</v>
      </c>
      <c r="J142" s="38" t="s">
        <v>677</v>
      </c>
      <c r="K142" s="37" t="s">
        <v>25</v>
      </c>
      <c r="L142" s="37" t="s">
        <v>776</v>
      </c>
      <c r="M142" s="37" t="s">
        <v>678</v>
      </c>
      <c r="N142" s="51" t="s">
        <v>777</v>
      </c>
      <c r="O142" s="36" t="s">
        <v>97</v>
      </c>
      <c r="P142" s="51" t="s">
        <v>98</v>
      </c>
      <c r="Q142" s="58" t="s">
        <v>99</v>
      </c>
      <c r="R142" s="51" t="s">
        <v>778</v>
      </c>
      <c r="S142" s="58" t="s">
        <v>779</v>
      </c>
      <c r="T142" s="59" t="s">
        <v>780</v>
      </c>
      <c r="U142" s="58" t="s">
        <v>203</v>
      </c>
      <c r="V142" s="51" t="s">
        <v>781</v>
      </c>
      <c r="W142" s="58" t="s">
        <v>782</v>
      </c>
      <c r="X142" s="58" t="s">
        <v>783</v>
      </c>
      <c r="Y142" s="37" t="s">
        <v>36</v>
      </c>
      <c r="Z142" s="36">
        <v>0</v>
      </c>
      <c r="AA142" s="36" t="s">
        <v>2185</v>
      </c>
      <c r="AB142" s="36" t="s">
        <v>2276</v>
      </c>
      <c r="AC142" s="37" t="s">
        <v>2187</v>
      </c>
      <c r="AD142" s="37" t="s">
        <v>784</v>
      </c>
      <c r="AE142" s="37" t="s">
        <v>2190</v>
      </c>
      <c r="AF142" s="37" t="s">
        <v>2187</v>
      </c>
      <c r="AG142" s="152">
        <v>0</v>
      </c>
      <c r="AH142" s="4">
        <v>980</v>
      </c>
      <c r="AI142" s="8">
        <v>1000</v>
      </c>
      <c r="AJ142" s="6">
        <v>1020</v>
      </c>
      <c r="AK142" s="46">
        <v>0</v>
      </c>
      <c r="AL142" s="47">
        <v>196176110.56999999</v>
      </c>
      <c r="AM142" s="48">
        <v>201252419.56999999</v>
      </c>
      <c r="AN142" s="49">
        <v>206328728.56999999</v>
      </c>
      <c r="AO142" s="50">
        <v>603757258.71000004</v>
      </c>
      <c r="AP142" s="37" t="s">
        <v>678</v>
      </c>
    </row>
    <row r="143" spans="1:42" customFormat="1" ht="89.25" x14ac:dyDescent="0.25">
      <c r="A143" s="36">
        <v>142</v>
      </c>
      <c r="B143" s="37" t="s">
        <v>224</v>
      </c>
      <c r="C143" s="37" t="s">
        <v>291</v>
      </c>
      <c r="D143" s="38" t="s">
        <v>2386</v>
      </c>
      <c r="E143" s="37" t="s">
        <v>673</v>
      </c>
      <c r="F143" s="37" t="s">
        <v>674</v>
      </c>
      <c r="G143" s="40" t="s">
        <v>675</v>
      </c>
      <c r="H143" s="62">
        <v>2022</v>
      </c>
      <c r="I143" s="37" t="s">
        <v>676</v>
      </c>
      <c r="J143" s="38" t="s">
        <v>677</v>
      </c>
      <c r="K143" s="37" t="s">
        <v>25</v>
      </c>
      <c r="L143" s="37" t="s">
        <v>730</v>
      </c>
      <c r="M143" s="37" t="s">
        <v>678</v>
      </c>
      <c r="N143" s="51" t="s">
        <v>785</v>
      </c>
      <c r="O143" s="37" t="s">
        <v>786</v>
      </c>
      <c r="P143" s="51" t="s">
        <v>787</v>
      </c>
      <c r="Q143" s="58" t="s">
        <v>788</v>
      </c>
      <c r="R143" s="51" t="s">
        <v>789</v>
      </c>
      <c r="S143" s="58" t="s">
        <v>790</v>
      </c>
      <c r="T143" s="59" t="s">
        <v>791</v>
      </c>
      <c r="U143" s="58" t="s">
        <v>792</v>
      </c>
      <c r="V143" s="51" t="s">
        <v>793</v>
      </c>
      <c r="W143" s="58" t="s">
        <v>794</v>
      </c>
      <c r="X143" s="58" t="s">
        <v>795</v>
      </c>
      <c r="Y143" s="37" t="s">
        <v>36</v>
      </c>
      <c r="Z143" s="36">
        <v>0</v>
      </c>
      <c r="AA143" s="36" t="s">
        <v>2185</v>
      </c>
      <c r="AB143" s="36" t="s">
        <v>2281</v>
      </c>
      <c r="AC143" s="37" t="s">
        <v>2187</v>
      </c>
      <c r="AD143" s="37" t="s">
        <v>784</v>
      </c>
      <c r="AE143" s="37" t="s">
        <v>2190</v>
      </c>
      <c r="AF143" s="37" t="s">
        <v>2187</v>
      </c>
      <c r="AG143" s="2">
        <v>0.24</v>
      </c>
      <c r="AH143" s="4">
        <v>0.28000000000000003</v>
      </c>
      <c r="AI143" s="8">
        <v>0.24</v>
      </c>
      <c r="AJ143" s="6">
        <v>0.24</v>
      </c>
      <c r="AK143" s="46">
        <v>1175000000</v>
      </c>
      <c r="AL143" s="47">
        <v>1475000000</v>
      </c>
      <c r="AM143" s="48">
        <v>1175000000</v>
      </c>
      <c r="AN143" s="49">
        <v>1175000000</v>
      </c>
      <c r="AO143" s="50">
        <v>5000000000</v>
      </c>
      <c r="AP143" s="37" t="s">
        <v>678</v>
      </c>
    </row>
    <row r="144" spans="1:42" customFormat="1" ht="63.75" x14ac:dyDescent="0.25">
      <c r="A144" s="36">
        <v>143</v>
      </c>
      <c r="B144" s="37" t="s">
        <v>224</v>
      </c>
      <c r="C144" s="37" t="s">
        <v>291</v>
      </c>
      <c r="D144" s="38" t="s">
        <v>2386</v>
      </c>
      <c r="E144" s="37" t="s">
        <v>673</v>
      </c>
      <c r="F144" s="37" t="s">
        <v>674</v>
      </c>
      <c r="G144" s="40" t="s">
        <v>675</v>
      </c>
      <c r="H144" s="62">
        <v>2022</v>
      </c>
      <c r="I144" s="37" t="s">
        <v>676</v>
      </c>
      <c r="J144" s="38" t="s">
        <v>677</v>
      </c>
      <c r="K144" s="37" t="s">
        <v>25</v>
      </c>
      <c r="L144" s="37"/>
      <c r="M144" s="37" t="s">
        <v>678</v>
      </c>
      <c r="N144" s="36" t="s">
        <v>1807</v>
      </c>
      <c r="O144" s="37" t="s">
        <v>680</v>
      </c>
      <c r="P144" s="36" t="s">
        <v>765</v>
      </c>
      <c r="Q144" s="37" t="s">
        <v>766</v>
      </c>
      <c r="R144" s="36" t="s">
        <v>2041</v>
      </c>
      <c r="S144" s="37" t="s">
        <v>2042</v>
      </c>
      <c r="T144" s="38" t="s">
        <v>2043</v>
      </c>
      <c r="U144" s="37" t="s">
        <v>2044</v>
      </c>
      <c r="V144" s="36" t="s">
        <v>2045</v>
      </c>
      <c r="W144" s="37" t="s">
        <v>2046</v>
      </c>
      <c r="X144" s="58" t="s">
        <v>2047</v>
      </c>
      <c r="Y144" s="37" t="s">
        <v>36</v>
      </c>
      <c r="Z144" s="36">
        <v>500</v>
      </c>
      <c r="AA144" s="36" t="s">
        <v>2185</v>
      </c>
      <c r="AB144" s="36" t="s">
        <v>2276</v>
      </c>
      <c r="AC144" s="37" t="s">
        <v>2187</v>
      </c>
      <c r="AD144" s="37" t="s">
        <v>687</v>
      </c>
      <c r="AE144" s="37" t="s">
        <v>2280</v>
      </c>
      <c r="AF144" s="37" t="s">
        <v>2187</v>
      </c>
      <c r="AG144" s="19">
        <v>113</v>
      </c>
      <c r="AH144" s="20">
        <v>113</v>
      </c>
      <c r="AI144" s="21">
        <v>134</v>
      </c>
      <c r="AJ144" s="22">
        <v>140</v>
      </c>
      <c r="AK144" s="46">
        <v>500000000</v>
      </c>
      <c r="AL144" s="47">
        <v>500000000</v>
      </c>
      <c r="AM144" s="48">
        <v>586666666.66999996</v>
      </c>
      <c r="AN144" s="49">
        <v>613333333.33000004</v>
      </c>
      <c r="AO144" s="50">
        <v>2200000000</v>
      </c>
      <c r="AP144" s="37" t="s">
        <v>678</v>
      </c>
    </row>
    <row r="145" spans="1:42" customFormat="1" ht="63.75" x14ac:dyDescent="0.25">
      <c r="A145" s="36">
        <v>144</v>
      </c>
      <c r="B145" s="37" t="s">
        <v>224</v>
      </c>
      <c r="C145" s="37" t="s">
        <v>291</v>
      </c>
      <c r="D145" s="38" t="s">
        <v>2386</v>
      </c>
      <c r="E145" s="37" t="s">
        <v>797</v>
      </c>
      <c r="F145" s="37" t="s">
        <v>798</v>
      </c>
      <c r="G145" s="40" t="s">
        <v>799</v>
      </c>
      <c r="H145" s="62">
        <v>2022</v>
      </c>
      <c r="I145" s="87" t="s">
        <v>800</v>
      </c>
      <c r="J145" s="38" t="s">
        <v>801</v>
      </c>
      <c r="K145" s="37" t="s">
        <v>25</v>
      </c>
      <c r="L145" s="37" t="s">
        <v>706</v>
      </c>
      <c r="M145" s="37" t="s">
        <v>678</v>
      </c>
      <c r="N145" s="51" t="s">
        <v>802</v>
      </c>
      <c r="O145" s="37" t="s">
        <v>2112</v>
      </c>
      <c r="P145" s="36" t="s">
        <v>803</v>
      </c>
      <c r="Q145" s="37" t="s">
        <v>804</v>
      </c>
      <c r="R145" s="36">
        <v>4103051</v>
      </c>
      <c r="S145" s="37" t="s">
        <v>805</v>
      </c>
      <c r="T145" s="38" t="s">
        <v>806</v>
      </c>
      <c r="U145" s="37" t="s">
        <v>807</v>
      </c>
      <c r="V145" s="36">
        <v>410305100</v>
      </c>
      <c r="W145" s="37" t="s">
        <v>808</v>
      </c>
      <c r="X145" s="41" t="s">
        <v>809</v>
      </c>
      <c r="Y145" s="37" t="s">
        <v>36</v>
      </c>
      <c r="Z145" s="36">
        <v>6000</v>
      </c>
      <c r="AA145" s="36" t="s">
        <v>2185</v>
      </c>
      <c r="AB145" s="36" t="s">
        <v>2276</v>
      </c>
      <c r="AC145" s="37" t="s">
        <v>2187</v>
      </c>
      <c r="AD145" s="37" t="s">
        <v>716</v>
      </c>
      <c r="AE145" s="37" t="s">
        <v>706</v>
      </c>
      <c r="AF145" s="37" t="s">
        <v>2187</v>
      </c>
      <c r="AG145" s="19">
        <v>77</v>
      </c>
      <c r="AH145" s="20">
        <v>248</v>
      </c>
      <c r="AI145" s="21">
        <v>334</v>
      </c>
      <c r="AJ145" s="22">
        <v>341</v>
      </c>
      <c r="AK145" s="46">
        <v>100000000</v>
      </c>
      <c r="AL145" s="47">
        <v>323480000</v>
      </c>
      <c r="AM145" s="48">
        <v>439783980</v>
      </c>
      <c r="AN145" s="49">
        <v>456715663.32999998</v>
      </c>
      <c r="AO145" s="50">
        <v>1319979643.3299999</v>
      </c>
      <c r="AP145" s="37" t="s">
        <v>678</v>
      </c>
    </row>
    <row r="146" spans="1:42" customFormat="1" ht="63.75" x14ac:dyDescent="0.25">
      <c r="A146" s="36">
        <v>145</v>
      </c>
      <c r="B146" s="37" t="s">
        <v>224</v>
      </c>
      <c r="C146" s="37" t="s">
        <v>291</v>
      </c>
      <c r="D146" s="38" t="s">
        <v>2386</v>
      </c>
      <c r="E146" s="37" t="s">
        <v>797</v>
      </c>
      <c r="F146" s="37" t="s">
        <v>798</v>
      </c>
      <c r="G146" s="40" t="s">
        <v>799</v>
      </c>
      <c r="H146" s="62">
        <v>2022</v>
      </c>
      <c r="I146" s="87" t="s">
        <v>800</v>
      </c>
      <c r="J146" s="38" t="s">
        <v>801</v>
      </c>
      <c r="K146" s="37" t="s">
        <v>25</v>
      </c>
      <c r="L146" s="37" t="s">
        <v>706</v>
      </c>
      <c r="M146" s="37" t="s">
        <v>678</v>
      </c>
      <c r="N146" s="51" t="s">
        <v>1807</v>
      </c>
      <c r="O146" s="37" t="s">
        <v>680</v>
      </c>
      <c r="P146" s="51" t="s">
        <v>722</v>
      </c>
      <c r="Q146" s="51" t="s">
        <v>723</v>
      </c>
      <c r="R146" s="51" t="s">
        <v>2147</v>
      </c>
      <c r="S146" s="51" t="s">
        <v>2148</v>
      </c>
      <c r="T146" s="51" t="s">
        <v>2149</v>
      </c>
      <c r="U146" s="51" t="s">
        <v>2150</v>
      </c>
      <c r="V146" s="51" t="s">
        <v>2151</v>
      </c>
      <c r="W146" s="58" t="s">
        <v>2152</v>
      </c>
      <c r="X146" s="58" t="s">
        <v>2153</v>
      </c>
      <c r="Y146" s="37" t="s">
        <v>36</v>
      </c>
      <c r="Z146" s="36">
        <v>3</v>
      </c>
      <c r="AA146" s="36" t="s">
        <v>2185</v>
      </c>
      <c r="AB146" s="36" t="s">
        <v>2282</v>
      </c>
      <c r="AC146" s="37" t="s">
        <v>2187</v>
      </c>
      <c r="AD146" s="37" t="s">
        <v>716</v>
      </c>
      <c r="AE146" s="37" t="s">
        <v>706</v>
      </c>
      <c r="AF146" s="37" t="s">
        <v>2187</v>
      </c>
      <c r="AG146" s="152">
        <v>0</v>
      </c>
      <c r="AH146" s="4">
        <v>1.5</v>
      </c>
      <c r="AI146" s="8">
        <v>1.5</v>
      </c>
      <c r="AJ146" s="6">
        <v>0</v>
      </c>
      <c r="AK146" s="46">
        <v>0</v>
      </c>
      <c r="AL146" s="47">
        <v>500000000</v>
      </c>
      <c r="AM146" s="48">
        <v>500000000</v>
      </c>
      <c r="AN146" s="49">
        <v>0</v>
      </c>
      <c r="AO146" s="50">
        <v>1000000000</v>
      </c>
      <c r="AP146" s="37" t="s">
        <v>678</v>
      </c>
    </row>
    <row r="147" spans="1:42" customFormat="1" ht="63.75" x14ac:dyDescent="0.25">
      <c r="A147" s="36">
        <v>146</v>
      </c>
      <c r="B147" s="37" t="s">
        <v>224</v>
      </c>
      <c r="C147" s="37" t="s">
        <v>291</v>
      </c>
      <c r="D147" s="38" t="s">
        <v>2386</v>
      </c>
      <c r="E147" s="37" t="s">
        <v>797</v>
      </c>
      <c r="F147" s="37" t="s">
        <v>798</v>
      </c>
      <c r="G147" s="40" t="s">
        <v>799</v>
      </c>
      <c r="H147" s="62">
        <v>2022</v>
      </c>
      <c r="I147" s="87" t="s">
        <v>800</v>
      </c>
      <c r="J147" s="38" t="s">
        <v>801</v>
      </c>
      <c r="K147" s="37" t="s">
        <v>25</v>
      </c>
      <c r="L147" s="37" t="s">
        <v>706</v>
      </c>
      <c r="M147" s="37" t="s">
        <v>678</v>
      </c>
      <c r="N147" s="51" t="s">
        <v>810</v>
      </c>
      <c r="O147" s="38" t="s">
        <v>28</v>
      </c>
      <c r="P147" s="36" t="s">
        <v>29</v>
      </c>
      <c r="Q147" s="37" t="s">
        <v>1984</v>
      </c>
      <c r="R147" s="51">
        <v>2201061</v>
      </c>
      <c r="S147" s="37" t="s">
        <v>811</v>
      </c>
      <c r="T147" s="38" t="s">
        <v>812</v>
      </c>
      <c r="U147" s="37" t="s">
        <v>813</v>
      </c>
      <c r="V147" s="36">
        <v>220106100</v>
      </c>
      <c r="W147" s="37" t="s">
        <v>814</v>
      </c>
      <c r="X147" s="41" t="s">
        <v>815</v>
      </c>
      <c r="Y147" s="37" t="s">
        <v>36</v>
      </c>
      <c r="Z147" s="36">
        <v>150</v>
      </c>
      <c r="AA147" s="36" t="s">
        <v>2185</v>
      </c>
      <c r="AB147" s="36" t="s">
        <v>2276</v>
      </c>
      <c r="AC147" s="37" t="s">
        <v>2187</v>
      </c>
      <c r="AD147" s="37" t="s">
        <v>716</v>
      </c>
      <c r="AE147" s="37" t="s">
        <v>706</v>
      </c>
      <c r="AF147" s="37" t="s">
        <v>2187</v>
      </c>
      <c r="AG147" s="19">
        <v>15</v>
      </c>
      <c r="AH147" s="20">
        <v>50</v>
      </c>
      <c r="AI147" s="21">
        <v>66</v>
      </c>
      <c r="AJ147" s="22">
        <v>69</v>
      </c>
      <c r="AK147" s="46">
        <v>100000000</v>
      </c>
      <c r="AL147" s="47">
        <v>323480000</v>
      </c>
      <c r="AM147" s="48">
        <v>439783980</v>
      </c>
      <c r="AN147" s="49">
        <v>456715663.32999998</v>
      </c>
      <c r="AO147" s="50">
        <v>1319979643.3299999</v>
      </c>
      <c r="AP147" s="37" t="s">
        <v>678</v>
      </c>
    </row>
    <row r="148" spans="1:42" customFormat="1" ht="63.75" x14ac:dyDescent="0.25">
      <c r="A148" s="36">
        <v>147</v>
      </c>
      <c r="B148" s="37" t="s">
        <v>224</v>
      </c>
      <c r="C148" s="37" t="s">
        <v>291</v>
      </c>
      <c r="D148" s="38" t="s">
        <v>2386</v>
      </c>
      <c r="E148" s="37" t="s">
        <v>797</v>
      </c>
      <c r="F148" s="37" t="s">
        <v>798</v>
      </c>
      <c r="G148" s="40" t="s">
        <v>799</v>
      </c>
      <c r="H148" s="62">
        <v>2022</v>
      </c>
      <c r="I148" s="87" t="s">
        <v>800</v>
      </c>
      <c r="J148" s="38" t="s">
        <v>801</v>
      </c>
      <c r="K148" s="37" t="s">
        <v>25</v>
      </c>
      <c r="L148" s="37" t="s">
        <v>679</v>
      </c>
      <c r="M148" s="37" t="s">
        <v>678</v>
      </c>
      <c r="N148" s="36">
        <v>17</v>
      </c>
      <c r="O148" s="37" t="s">
        <v>680</v>
      </c>
      <c r="P148" s="36" t="s">
        <v>743</v>
      </c>
      <c r="Q148" s="37" t="s">
        <v>744</v>
      </c>
      <c r="R148" s="51" t="s">
        <v>816</v>
      </c>
      <c r="S148" s="58" t="s">
        <v>817</v>
      </c>
      <c r="T148" s="59" t="s">
        <v>818</v>
      </c>
      <c r="U148" s="58" t="s">
        <v>819</v>
      </c>
      <c r="V148" s="51" t="s">
        <v>820</v>
      </c>
      <c r="W148" s="58" t="s">
        <v>817</v>
      </c>
      <c r="X148" s="41" t="s">
        <v>821</v>
      </c>
      <c r="Y148" s="37" t="s">
        <v>36</v>
      </c>
      <c r="Z148" s="36">
        <v>0</v>
      </c>
      <c r="AA148" s="36" t="s">
        <v>2185</v>
      </c>
      <c r="AB148" s="36" t="s">
        <v>2276</v>
      </c>
      <c r="AC148" s="37" t="s">
        <v>2187</v>
      </c>
      <c r="AD148" s="37" t="s">
        <v>716</v>
      </c>
      <c r="AE148" s="37" t="s">
        <v>688</v>
      </c>
      <c r="AF148" s="37" t="s">
        <v>2187</v>
      </c>
      <c r="AG148" s="2">
        <v>0.3</v>
      </c>
      <c r="AH148" s="4">
        <v>0.17</v>
      </c>
      <c r="AI148" s="8">
        <v>0.18</v>
      </c>
      <c r="AJ148" s="6">
        <v>0.35</v>
      </c>
      <c r="AK148" s="46">
        <v>400000000</v>
      </c>
      <c r="AL148" s="47">
        <v>223480000</v>
      </c>
      <c r="AM148" s="48">
        <v>239783980</v>
      </c>
      <c r="AN148" s="49">
        <v>456715663.32999998</v>
      </c>
      <c r="AO148" s="50">
        <v>1319979643.3299999</v>
      </c>
      <c r="AP148" s="37" t="s">
        <v>678</v>
      </c>
    </row>
    <row r="149" spans="1:42" customFormat="1" ht="63.75" x14ac:dyDescent="0.25">
      <c r="A149" s="36">
        <v>148</v>
      </c>
      <c r="B149" s="37" t="s">
        <v>224</v>
      </c>
      <c r="C149" s="37" t="s">
        <v>291</v>
      </c>
      <c r="D149" s="38" t="s">
        <v>2386</v>
      </c>
      <c r="E149" s="37" t="s">
        <v>797</v>
      </c>
      <c r="F149" s="37" t="s">
        <v>798</v>
      </c>
      <c r="G149" s="40" t="s">
        <v>799</v>
      </c>
      <c r="H149" s="62">
        <v>2022</v>
      </c>
      <c r="I149" s="87" t="s">
        <v>800</v>
      </c>
      <c r="J149" s="38" t="s">
        <v>801</v>
      </c>
      <c r="K149" s="37" t="s">
        <v>25</v>
      </c>
      <c r="L149" s="37" t="s">
        <v>706</v>
      </c>
      <c r="M149" s="37" t="s">
        <v>678</v>
      </c>
      <c r="N149" s="51" t="s">
        <v>802</v>
      </c>
      <c r="O149" s="37" t="s">
        <v>2112</v>
      </c>
      <c r="P149" s="36">
        <v>4103</v>
      </c>
      <c r="Q149" s="37" t="s">
        <v>804</v>
      </c>
      <c r="R149" s="36">
        <v>4103060</v>
      </c>
      <c r="S149" s="37" t="s">
        <v>822</v>
      </c>
      <c r="T149" s="38" t="s">
        <v>823</v>
      </c>
      <c r="U149" s="37" t="s">
        <v>500</v>
      </c>
      <c r="V149" s="36">
        <v>410306000</v>
      </c>
      <c r="W149" s="37" t="s">
        <v>824</v>
      </c>
      <c r="X149" s="41" t="s">
        <v>825</v>
      </c>
      <c r="Y149" s="37" t="s">
        <v>36</v>
      </c>
      <c r="Z149" s="36">
        <v>2</v>
      </c>
      <c r="AA149" s="36" t="s">
        <v>2185</v>
      </c>
      <c r="AB149" s="36" t="s">
        <v>2367</v>
      </c>
      <c r="AC149" s="37" t="s">
        <v>2187</v>
      </c>
      <c r="AD149" s="37" t="s">
        <v>716</v>
      </c>
      <c r="AE149" s="37" t="s">
        <v>706</v>
      </c>
      <c r="AF149" s="37" t="s">
        <v>2187</v>
      </c>
      <c r="AG149" s="152">
        <v>0</v>
      </c>
      <c r="AH149" s="4">
        <v>0.64</v>
      </c>
      <c r="AI149" s="8">
        <v>0.67</v>
      </c>
      <c r="AJ149" s="6">
        <v>0.69</v>
      </c>
      <c r="AK149" s="46">
        <v>0</v>
      </c>
      <c r="AL149" s="47">
        <v>105870000</v>
      </c>
      <c r="AM149" s="48">
        <v>109945995</v>
      </c>
      <c r="AN149" s="49">
        <v>114178916</v>
      </c>
      <c r="AO149" s="50">
        <v>329994911</v>
      </c>
      <c r="AP149" s="37" t="s">
        <v>678</v>
      </c>
    </row>
    <row r="150" spans="1:42" customFormat="1" ht="63.75" x14ac:dyDescent="0.25">
      <c r="A150" s="36">
        <v>149</v>
      </c>
      <c r="B150" s="37" t="s">
        <v>224</v>
      </c>
      <c r="C150" s="37" t="s">
        <v>291</v>
      </c>
      <c r="D150" s="38" t="s">
        <v>2386</v>
      </c>
      <c r="E150" s="37" t="s">
        <v>797</v>
      </c>
      <c r="F150" s="37" t="s">
        <v>798</v>
      </c>
      <c r="G150" s="40" t="s">
        <v>799</v>
      </c>
      <c r="H150" s="62">
        <v>2022</v>
      </c>
      <c r="I150" s="87" t="s">
        <v>800</v>
      </c>
      <c r="J150" s="38" t="s">
        <v>801</v>
      </c>
      <c r="K150" s="37" t="s">
        <v>25</v>
      </c>
      <c r="L150" s="37" t="s">
        <v>679</v>
      </c>
      <c r="M150" s="37" t="s">
        <v>678</v>
      </c>
      <c r="N150" s="51" t="s">
        <v>785</v>
      </c>
      <c r="O150" s="37" t="s">
        <v>786</v>
      </c>
      <c r="P150" s="36">
        <v>4599</v>
      </c>
      <c r="Q150" s="37" t="s">
        <v>826</v>
      </c>
      <c r="R150" s="36">
        <v>4599032</v>
      </c>
      <c r="S150" s="37" t="s">
        <v>827</v>
      </c>
      <c r="T150" s="38" t="s">
        <v>828</v>
      </c>
      <c r="U150" s="37" t="s">
        <v>500</v>
      </c>
      <c r="V150" s="36">
        <v>459903200</v>
      </c>
      <c r="W150" s="37" t="s">
        <v>829</v>
      </c>
      <c r="X150" s="41" t="s">
        <v>2155</v>
      </c>
      <c r="Y150" s="37" t="s">
        <v>36</v>
      </c>
      <c r="Z150" s="36">
        <v>1</v>
      </c>
      <c r="AA150" s="36" t="s">
        <v>2185</v>
      </c>
      <c r="AB150" s="36" t="s">
        <v>2367</v>
      </c>
      <c r="AC150" s="37" t="s">
        <v>2278</v>
      </c>
      <c r="AD150" s="37" t="s">
        <v>716</v>
      </c>
      <c r="AE150" s="37" t="s">
        <v>706</v>
      </c>
      <c r="AF150" s="37" t="s">
        <v>2187</v>
      </c>
      <c r="AG150" s="152">
        <v>0</v>
      </c>
      <c r="AH150" s="4">
        <v>0.28999999999999998</v>
      </c>
      <c r="AI150" s="8">
        <v>0.3</v>
      </c>
      <c r="AJ150" s="6">
        <v>0.41</v>
      </c>
      <c r="AK150" s="46">
        <v>0</v>
      </c>
      <c r="AL150" s="47">
        <v>65870000</v>
      </c>
      <c r="AM150" s="48">
        <v>69945995</v>
      </c>
      <c r="AN150" s="49">
        <v>94178916</v>
      </c>
      <c r="AO150" s="50">
        <v>229994911</v>
      </c>
      <c r="AP150" s="37" t="s">
        <v>678</v>
      </c>
    </row>
    <row r="151" spans="1:42" customFormat="1" ht="63.75" x14ac:dyDescent="0.25">
      <c r="A151" s="36">
        <v>150</v>
      </c>
      <c r="B151" s="37" t="s">
        <v>224</v>
      </c>
      <c r="C151" s="37" t="s">
        <v>291</v>
      </c>
      <c r="D151" s="38" t="s">
        <v>2386</v>
      </c>
      <c r="E151" s="37" t="s">
        <v>797</v>
      </c>
      <c r="F151" s="37" t="s">
        <v>798</v>
      </c>
      <c r="G151" s="40" t="s">
        <v>799</v>
      </c>
      <c r="H151" s="62">
        <v>2022</v>
      </c>
      <c r="I151" s="87" t="s">
        <v>800</v>
      </c>
      <c r="J151" s="38" t="s">
        <v>801</v>
      </c>
      <c r="K151" s="37" t="s">
        <v>25</v>
      </c>
      <c r="L151" s="37" t="s">
        <v>706</v>
      </c>
      <c r="M151" s="37" t="s">
        <v>678</v>
      </c>
      <c r="N151" s="51" t="s">
        <v>802</v>
      </c>
      <c r="O151" s="37" t="s">
        <v>2112</v>
      </c>
      <c r="P151" s="51" t="s">
        <v>803</v>
      </c>
      <c r="Q151" s="58" t="s">
        <v>830</v>
      </c>
      <c r="R151" s="51" t="s">
        <v>831</v>
      </c>
      <c r="S151" s="58" t="s">
        <v>832</v>
      </c>
      <c r="T151" s="59" t="s">
        <v>833</v>
      </c>
      <c r="U151" s="58" t="s">
        <v>834</v>
      </c>
      <c r="V151" s="51" t="s">
        <v>835</v>
      </c>
      <c r="W151" s="58" t="s">
        <v>836</v>
      </c>
      <c r="X151" s="41" t="s">
        <v>1987</v>
      </c>
      <c r="Y151" s="37" t="s">
        <v>36</v>
      </c>
      <c r="Z151" s="36">
        <v>0</v>
      </c>
      <c r="AA151" s="36" t="s">
        <v>2185</v>
      </c>
      <c r="AB151" s="36" t="s">
        <v>2276</v>
      </c>
      <c r="AC151" s="37" t="s">
        <v>2187</v>
      </c>
      <c r="AD151" s="37" t="s">
        <v>716</v>
      </c>
      <c r="AE151" s="37" t="s">
        <v>706</v>
      </c>
      <c r="AF151" s="37" t="s">
        <v>2187</v>
      </c>
      <c r="AG151" s="152">
        <v>0</v>
      </c>
      <c r="AH151" s="4">
        <v>100</v>
      </c>
      <c r="AI151" s="8">
        <v>0</v>
      </c>
      <c r="AJ151" s="6">
        <v>0</v>
      </c>
      <c r="AK151" s="46">
        <v>0</v>
      </c>
      <c r="AL151" s="47">
        <v>2000000000</v>
      </c>
      <c r="AM151" s="48">
        <v>0</v>
      </c>
      <c r="AN151" s="49">
        <v>0</v>
      </c>
      <c r="AO151" s="50">
        <v>2000000000</v>
      </c>
      <c r="AP151" s="37" t="s">
        <v>678</v>
      </c>
    </row>
    <row r="152" spans="1:42" customFormat="1" ht="76.5" x14ac:dyDescent="0.25">
      <c r="A152" s="36">
        <v>151</v>
      </c>
      <c r="B152" s="37" t="s">
        <v>224</v>
      </c>
      <c r="C152" s="37" t="s">
        <v>291</v>
      </c>
      <c r="D152" s="38" t="s">
        <v>2386</v>
      </c>
      <c r="E152" s="37" t="s">
        <v>797</v>
      </c>
      <c r="F152" s="37" t="s">
        <v>798</v>
      </c>
      <c r="G152" s="36" t="s">
        <v>799</v>
      </c>
      <c r="H152" s="36">
        <v>2022</v>
      </c>
      <c r="I152" s="37" t="s">
        <v>800</v>
      </c>
      <c r="J152" s="38" t="s">
        <v>801</v>
      </c>
      <c r="K152" s="37" t="s">
        <v>25</v>
      </c>
      <c r="L152" s="37" t="s">
        <v>699</v>
      </c>
      <c r="M152" s="37" t="s">
        <v>678</v>
      </c>
      <c r="N152" s="36">
        <v>17</v>
      </c>
      <c r="O152" s="37" t="s">
        <v>680</v>
      </c>
      <c r="P152" s="51" t="s">
        <v>681</v>
      </c>
      <c r="Q152" s="58" t="s">
        <v>682</v>
      </c>
      <c r="R152" s="51">
        <v>1702032</v>
      </c>
      <c r="S152" s="58" t="s">
        <v>837</v>
      </c>
      <c r="T152" s="59" t="s">
        <v>838</v>
      </c>
      <c r="U152" s="58" t="s">
        <v>839</v>
      </c>
      <c r="V152" s="51" t="s">
        <v>840</v>
      </c>
      <c r="W152" s="58" t="s">
        <v>841</v>
      </c>
      <c r="X152" s="41" t="s">
        <v>2048</v>
      </c>
      <c r="Y152" s="37" t="s">
        <v>764</v>
      </c>
      <c r="Z152" s="36">
        <v>0</v>
      </c>
      <c r="AA152" s="36" t="s">
        <v>2185</v>
      </c>
      <c r="AB152" s="36" t="s">
        <v>2276</v>
      </c>
      <c r="AC152" s="37" t="s">
        <v>2187</v>
      </c>
      <c r="AD152" s="37" t="s">
        <v>842</v>
      </c>
      <c r="AE152" s="37" t="s">
        <v>706</v>
      </c>
      <c r="AF152" s="37" t="s">
        <v>2187</v>
      </c>
      <c r="AG152" s="152">
        <v>0</v>
      </c>
      <c r="AH152" s="4">
        <v>0.37</v>
      </c>
      <c r="AI152" s="8">
        <v>0.94</v>
      </c>
      <c r="AJ152" s="6">
        <v>1.69</v>
      </c>
      <c r="AK152" s="46">
        <v>0</v>
      </c>
      <c r="AL152" s="47">
        <v>400000000</v>
      </c>
      <c r="AM152" s="48">
        <v>1000000000</v>
      </c>
      <c r="AN152" s="49">
        <v>1800000000</v>
      </c>
      <c r="AO152" s="50">
        <v>3200000000</v>
      </c>
      <c r="AP152" s="37" t="s">
        <v>678</v>
      </c>
    </row>
    <row r="153" spans="1:42" customFormat="1" ht="76.5" x14ac:dyDescent="0.25">
      <c r="A153" s="36">
        <v>152</v>
      </c>
      <c r="B153" s="37" t="s">
        <v>224</v>
      </c>
      <c r="C153" s="37" t="s">
        <v>291</v>
      </c>
      <c r="D153" s="38" t="s">
        <v>2386</v>
      </c>
      <c r="E153" s="37" t="s">
        <v>797</v>
      </c>
      <c r="F153" s="37" t="s">
        <v>798</v>
      </c>
      <c r="G153" s="36" t="s">
        <v>799</v>
      </c>
      <c r="H153" s="36">
        <v>2022</v>
      </c>
      <c r="I153" s="37" t="s">
        <v>800</v>
      </c>
      <c r="J153" s="38" t="s">
        <v>801</v>
      </c>
      <c r="K153" s="37" t="s">
        <v>25</v>
      </c>
      <c r="L153" s="37" t="s">
        <v>706</v>
      </c>
      <c r="M153" s="37" t="s">
        <v>678</v>
      </c>
      <c r="N153" s="36">
        <v>17</v>
      </c>
      <c r="O153" s="37" t="s">
        <v>680</v>
      </c>
      <c r="P153" s="51" t="s">
        <v>743</v>
      </c>
      <c r="Q153" s="58" t="s">
        <v>744</v>
      </c>
      <c r="R153" s="51" t="s">
        <v>843</v>
      </c>
      <c r="S153" s="58" t="s">
        <v>844</v>
      </c>
      <c r="T153" s="59" t="s">
        <v>845</v>
      </c>
      <c r="U153" s="58" t="s">
        <v>846</v>
      </c>
      <c r="V153" s="51" t="s">
        <v>847</v>
      </c>
      <c r="W153" s="58" t="s">
        <v>844</v>
      </c>
      <c r="X153" s="41" t="s">
        <v>848</v>
      </c>
      <c r="Y153" s="37" t="s">
        <v>764</v>
      </c>
      <c r="Z153" s="36">
        <v>0</v>
      </c>
      <c r="AA153" s="36" t="s">
        <v>2185</v>
      </c>
      <c r="AB153" s="36" t="s">
        <v>2276</v>
      </c>
      <c r="AC153" s="37" t="s">
        <v>2187</v>
      </c>
      <c r="AD153" s="37" t="s">
        <v>842</v>
      </c>
      <c r="AE153" s="37" t="s">
        <v>706</v>
      </c>
      <c r="AF153" s="37" t="s">
        <v>2187</v>
      </c>
      <c r="AG153" s="152">
        <v>0</v>
      </c>
      <c r="AH153" s="4">
        <v>3</v>
      </c>
      <c r="AI153" s="8">
        <v>0</v>
      </c>
      <c r="AJ153" s="6">
        <v>0</v>
      </c>
      <c r="AK153" s="46">
        <v>0</v>
      </c>
      <c r="AL153" s="47">
        <v>400000000</v>
      </c>
      <c r="AM153" s="48">
        <v>0</v>
      </c>
      <c r="AN153" s="49">
        <v>0</v>
      </c>
      <c r="AO153" s="50">
        <v>400000000</v>
      </c>
      <c r="AP153" s="37" t="s">
        <v>678</v>
      </c>
    </row>
    <row r="154" spans="1:42" customFormat="1" ht="204" x14ac:dyDescent="0.25">
      <c r="A154" s="36">
        <v>153</v>
      </c>
      <c r="B154" s="37" t="s">
        <v>224</v>
      </c>
      <c r="C154" s="37" t="s">
        <v>291</v>
      </c>
      <c r="D154" s="38" t="s">
        <v>2386</v>
      </c>
      <c r="E154" s="37" t="s">
        <v>849</v>
      </c>
      <c r="F154" s="37" t="s">
        <v>850</v>
      </c>
      <c r="G154" s="36" t="s">
        <v>851</v>
      </c>
      <c r="H154" s="62">
        <v>2019</v>
      </c>
      <c r="I154" s="37" t="s">
        <v>852</v>
      </c>
      <c r="J154" s="38" t="s">
        <v>853</v>
      </c>
      <c r="K154" s="37" t="s">
        <v>25</v>
      </c>
      <c r="L154" s="37" t="s">
        <v>774</v>
      </c>
      <c r="M154" s="37" t="s">
        <v>678</v>
      </c>
      <c r="N154" s="36">
        <v>32</v>
      </c>
      <c r="O154" s="37" t="s">
        <v>854</v>
      </c>
      <c r="P154" s="36" t="s">
        <v>855</v>
      </c>
      <c r="Q154" s="37" t="s">
        <v>856</v>
      </c>
      <c r="R154" s="36" t="s">
        <v>857</v>
      </c>
      <c r="S154" s="37" t="s">
        <v>858</v>
      </c>
      <c r="T154" s="38" t="s">
        <v>859</v>
      </c>
      <c r="U154" s="37" t="s">
        <v>860</v>
      </c>
      <c r="V154" s="36" t="s">
        <v>861</v>
      </c>
      <c r="W154" s="37" t="s">
        <v>862</v>
      </c>
      <c r="X154" s="41" t="s">
        <v>863</v>
      </c>
      <c r="Y154" s="37" t="s">
        <v>36</v>
      </c>
      <c r="Z154" s="36">
        <v>240</v>
      </c>
      <c r="AA154" s="36" t="s">
        <v>2185</v>
      </c>
      <c r="AB154" s="36" t="s">
        <v>2283</v>
      </c>
      <c r="AC154" s="37" t="s">
        <v>2187</v>
      </c>
      <c r="AD154" s="37" t="s">
        <v>775</v>
      </c>
      <c r="AE154" s="37" t="s">
        <v>2280</v>
      </c>
      <c r="AF154" s="37" t="s">
        <v>2187</v>
      </c>
      <c r="AG154" s="19">
        <v>51</v>
      </c>
      <c r="AH154" s="20">
        <v>41</v>
      </c>
      <c r="AI154" s="21">
        <v>43</v>
      </c>
      <c r="AJ154" s="22">
        <v>45</v>
      </c>
      <c r="AK154" s="46">
        <v>1253887977</v>
      </c>
      <c r="AL154" s="47">
        <v>1006276258.36</v>
      </c>
      <c r="AM154" s="48">
        <v>1053964546.11</v>
      </c>
      <c r="AN154" s="49">
        <v>1103083482.49</v>
      </c>
      <c r="AO154" s="50">
        <v>4417212263.96</v>
      </c>
      <c r="AP154" s="37" t="s">
        <v>678</v>
      </c>
    </row>
    <row r="155" spans="1:42" customFormat="1" ht="204" x14ac:dyDescent="0.25">
      <c r="A155" s="36">
        <v>154</v>
      </c>
      <c r="B155" s="37" t="s">
        <v>224</v>
      </c>
      <c r="C155" s="37" t="s">
        <v>291</v>
      </c>
      <c r="D155" s="38" t="s">
        <v>2386</v>
      </c>
      <c r="E155" s="37" t="s">
        <v>849</v>
      </c>
      <c r="F155" s="37" t="s">
        <v>850</v>
      </c>
      <c r="G155" s="36" t="s">
        <v>851</v>
      </c>
      <c r="H155" s="62">
        <v>2019</v>
      </c>
      <c r="I155" s="37" t="s">
        <v>852</v>
      </c>
      <c r="J155" s="38" t="s">
        <v>853</v>
      </c>
      <c r="K155" s="37" t="s">
        <v>25</v>
      </c>
      <c r="L155" s="37" t="s">
        <v>774</v>
      </c>
      <c r="M155" s="37" t="s">
        <v>678</v>
      </c>
      <c r="N155" s="36">
        <v>32</v>
      </c>
      <c r="O155" s="37" t="s">
        <v>854</v>
      </c>
      <c r="P155" s="51" t="s">
        <v>855</v>
      </c>
      <c r="Q155" s="37" t="s">
        <v>856</v>
      </c>
      <c r="R155" s="51" t="s">
        <v>864</v>
      </c>
      <c r="S155" s="58" t="s">
        <v>865</v>
      </c>
      <c r="T155" s="59" t="s">
        <v>866</v>
      </c>
      <c r="U155" s="58" t="s">
        <v>860</v>
      </c>
      <c r="V155" s="51" t="s">
        <v>867</v>
      </c>
      <c r="W155" s="58" t="s">
        <v>868</v>
      </c>
      <c r="X155" s="41" t="s">
        <v>869</v>
      </c>
      <c r="Y155" s="37" t="s">
        <v>36</v>
      </c>
      <c r="Z155" s="36">
        <v>0</v>
      </c>
      <c r="AA155" s="36" t="s">
        <v>2185</v>
      </c>
      <c r="AB155" s="36" t="s">
        <v>2283</v>
      </c>
      <c r="AC155" s="37" t="s">
        <v>2187</v>
      </c>
      <c r="AD155" s="37" t="s">
        <v>775</v>
      </c>
      <c r="AE155" s="37" t="s">
        <v>2280</v>
      </c>
      <c r="AF155" s="37" t="s">
        <v>2187</v>
      </c>
      <c r="AG155" s="19">
        <v>20</v>
      </c>
      <c r="AH155" s="20">
        <v>20</v>
      </c>
      <c r="AI155" s="21">
        <v>20</v>
      </c>
      <c r="AJ155" s="22">
        <v>20</v>
      </c>
      <c r="AK155" s="46">
        <v>250000000</v>
      </c>
      <c r="AL155" s="47">
        <v>250000000</v>
      </c>
      <c r="AM155" s="48">
        <v>250000000</v>
      </c>
      <c r="AN155" s="49">
        <v>250000000</v>
      </c>
      <c r="AO155" s="50">
        <v>1000000000</v>
      </c>
      <c r="AP155" s="37" t="s">
        <v>678</v>
      </c>
    </row>
    <row r="156" spans="1:42" customFormat="1" ht="204" x14ac:dyDescent="0.25">
      <c r="A156" s="36">
        <v>155</v>
      </c>
      <c r="B156" s="37" t="s">
        <v>224</v>
      </c>
      <c r="C156" s="37" t="s">
        <v>291</v>
      </c>
      <c r="D156" s="38" t="s">
        <v>2386</v>
      </c>
      <c r="E156" s="37" t="s">
        <v>849</v>
      </c>
      <c r="F156" s="37" t="s">
        <v>850</v>
      </c>
      <c r="G156" s="36" t="s">
        <v>851</v>
      </c>
      <c r="H156" s="62">
        <v>2019</v>
      </c>
      <c r="I156" s="37" t="s">
        <v>852</v>
      </c>
      <c r="J156" s="38" t="s">
        <v>853</v>
      </c>
      <c r="K156" s="37" t="s">
        <v>25</v>
      </c>
      <c r="L156" s="37" t="s">
        <v>774</v>
      </c>
      <c r="M156" s="37" t="s">
        <v>678</v>
      </c>
      <c r="N156" s="36">
        <v>32</v>
      </c>
      <c r="O156" s="37" t="s">
        <v>854</v>
      </c>
      <c r="P156" s="36" t="s">
        <v>870</v>
      </c>
      <c r="Q156" s="37" t="s">
        <v>1887</v>
      </c>
      <c r="R156" s="36" t="s">
        <v>871</v>
      </c>
      <c r="S156" s="37" t="s">
        <v>872</v>
      </c>
      <c r="T156" s="38" t="s">
        <v>873</v>
      </c>
      <c r="U156" s="37" t="s">
        <v>369</v>
      </c>
      <c r="V156" s="36" t="s">
        <v>874</v>
      </c>
      <c r="W156" s="37" t="s">
        <v>875</v>
      </c>
      <c r="X156" s="41" t="s">
        <v>876</v>
      </c>
      <c r="Y156" s="37" t="s">
        <v>36</v>
      </c>
      <c r="Z156" s="36">
        <v>0</v>
      </c>
      <c r="AA156" s="36" t="s">
        <v>2185</v>
      </c>
      <c r="AB156" s="36" t="s">
        <v>2283</v>
      </c>
      <c r="AC156" s="37" t="s">
        <v>2187</v>
      </c>
      <c r="AD156" s="37" t="s">
        <v>775</v>
      </c>
      <c r="AE156" s="37" t="s">
        <v>2280</v>
      </c>
      <c r="AF156" s="37" t="s">
        <v>2187</v>
      </c>
      <c r="AG156" s="2">
        <v>0.2</v>
      </c>
      <c r="AH156" s="4">
        <v>0.5</v>
      </c>
      <c r="AI156" s="8">
        <v>0.3</v>
      </c>
      <c r="AJ156" s="6">
        <v>0</v>
      </c>
      <c r="AK156" s="46">
        <v>100000000</v>
      </c>
      <c r="AL156" s="47">
        <v>250000000</v>
      </c>
      <c r="AM156" s="48">
        <v>150000000</v>
      </c>
      <c r="AN156" s="49">
        <v>0</v>
      </c>
      <c r="AO156" s="50">
        <v>500000000</v>
      </c>
      <c r="AP156" s="37" t="s">
        <v>678</v>
      </c>
    </row>
    <row r="157" spans="1:42" customFormat="1" ht="153" x14ac:dyDescent="0.25">
      <c r="A157" s="36">
        <v>156</v>
      </c>
      <c r="B157" s="37" t="s">
        <v>224</v>
      </c>
      <c r="C157" s="37" t="s">
        <v>291</v>
      </c>
      <c r="D157" s="38" t="s">
        <v>2386</v>
      </c>
      <c r="E157" s="37" t="s">
        <v>849</v>
      </c>
      <c r="F157" s="37" t="s">
        <v>850</v>
      </c>
      <c r="G157" s="36" t="s">
        <v>851</v>
      </c>
      <c r="H157" s="62">
        <v>2019</v>
      </c>
      <c r="I157" s="37" t="s">
        <v>852</v>
      </c>
      <c r="J157" s="38" t="s">
        <v>853</v>
      </c>
      <c r="K157" s="37" t="s">
        <v>25</v>
      </c>
      <c r="L157" s="37" t="s">
        <v>877</v>
      </c>
      <c r="M157" s="37" t="s">
        <v>678</v>
      </c>
      <c r="N157" s="36">
        <v>32</v>
      </c>
      <c r="O157" s="37" t="s">
        <v>854</v>
      </c>
      <c r="P157" s="51" t="s">
        <v>878</v>
      </c>
      <c r="Q157" s="58" t="s">
        <v>879</v>
      </c>
      <c r="R157" s="51" t="s">
        <v>880</v>
      </c>
      <c r="S157" s="58" t="s">
        <v>881</v>
      </c>
      <c r="T157" s="59" t="s">
        <v>882</v>
      </c>
      <c r="U157" s="58" t="s">
        <v>358</v>
      </c>
      <c r="V157" s="51">
        <v>320500600</v>
      </c>
      <c r="W157" s="58" t="s">
        <v>883</v>
      </c>
      <c r="X157" s="37" t="s">
        <v>2049</v>
      </c>
      <c r="Y157" s="37" t="s">
        <v>36</v>
      </c>
      <c r="Z157" s="36">
        <v>0</v>
      </c>
      <c r="AA157" s="36" t="s">
        <v>2185</v>
      </c>
      <c r="AB157" s="36" t="s">
        <v>2283</v>
      </c>
      <c r="AC157" s="37" t="s">
        <v>2187</v>
      </c>
      <c r="AD157" s="37" t="s">
        <v>884</v>
      </c>
      <c r="AE157" s="37" t="s">
        <v>688</v>
      </c>
      <c r="AF157" s="37" t="s">
        <v>2187</v>
      </c>
      <c r="AG157" s="152">
        <v>0</v>
      </c>
      <c r="AH157" s="4">
        <v>2</v>
      </c>
      <c r="AI157" s="8">
        <v>2</v>
      </c>
      <c r="AJ157" s="6">
        <v>0</v>
      </c>
      <c r="AK157" s="46">
        <v>0</v>
      </c>
      <c r="AL157" s="47">
        <v>250000000</v>
      </c>
      <c r="AM157" s="48">
        <v>250000000</v>
      </c>
      <c r="AN157" s="49">
        <v>0</v>
      </c>
      <c r="AO157" s="50">
        <v>500000000</v>
      </c>
      <c r="AP157" s="37" t="s">
        <v>678</v>
      </c>
    </row>
    <row r="158" spans="1:42" customFormat="1" ht="63.75" x14ac:dyDescent="0.25">
      <c r="A158" s="36">
        <v>157</v>
      </c>
      <c r="B158" s="37" t="s">
        <v>224</v>
      </c>
      <c r="C158" s="37" t="s">
        <v>291</v>
      </c>
      <c r="D158" s="38" t="s">
        <v>2386</v>
      </c>
      <c r="E158" s="37" t="s">
        <v>849</v>
      </c>
      <c r="F158" s="37" t="s">
        <v>850</v>
      </c>
      <c r="G158" s="36" t="s">
        <v>851</v>
      </c>
      <c r="H158" s="62">
        <v>2019</v>
      </c>
      <c r="I158" s="37" t="s">
        <v>852</v>
      </c>
      <c r="J158" s="38" t="s">
        <v>853</v>
      </c>
      <c r="K158" s="37" t="s">
        <v>25</v>
      </c>
      <c r="L158" s="37"/>
      <c r="M158" s="37" t="s">
        <v>678</v>
      </c>
      <c r="N158" s="36" t="s">
        <v>896</v>
      </c>
      <c r="O158" s="38" t="s">
        <v>2139</v>
      </c>
      <c r="P158" s="36" t="s">
        <v>855</v>
      </c>
      <c r="Q158" s="38" t="s">
        <v>2140</v>
      </c>
      <c r="R158" s="36" t="s">
        <v>2141</v>
      </c>
      <c r="S158" s="38" t="s">
        <v>2142</v>
      </c>
      <c r="T158" s="38" t="s">
        <v>2143</v>
      </c>
      <c r="U158" s="38" t="s">
        <v>500</v>
      </c>
      <c r="V158" s="36" t="s">
        <v>2144</v>
      </c>
      <c r="W158" s="38" t="s">
        <v>2145</v>
      </c>
      <c r="X158" s="41" t="s">
        <v>2146</v>
      </c>
      <c r="Y158" s="37" t="s">
        <v>36</v>
      </c>
      <c r="Z158" s="36">
        <v>0</v>
      </c>
      <c r="AA158" s="36" t="s">
        <v>2185</v>
      </c>
      <c r="AB158" s="36" t="s">
        <v>2367</v>
      </c>
      <c r="AC158" s="37" t="s">
        <v>2187</v>
      </c>
      <c r="AD158" s="37"/>
      <c r="AE158" s="37" t="s">
        <v>2280</v>
      </c>
      <c r="AF158" s="37" t="s">
        <v>2187</v>
      </c>
      <c r="AG158" s="152">
        <v>0</v>
      </c>
      <c r="AH158" s="4">
        <v>0.4</v>
      </c>
      <c r="AI158" s="8">
        <v>0.4</v>
      </c>
      <c r="AJ158" s="6">
        <v>0.2</v>
      </c>
      <c r="AK158" s="46">
        <v>0</v>
      </c>
      <c r="AL158" s="47">
        <v>40000000</v>
      </c>
      <c r="AM158" s="48">
        <v>40000000</v>
      </c>
      <c r="AN158" s="49">
        <v>20000000</v>
      </c>
      <c r="AO158" s="50">
        <v>100000000</v>
      </c>
      <c r="AP158" s="37" t="s">
        <v>678</v>
      </c>
    </row>
    <row r="159" spans="1:42" customFormat="1" ht="140.25" x14ac:dyDescent="0.25">
      <c r="A159" s="36">
        <v>158</v>
      </c>
      <c r="B159" s="37" t="s">
        <v>224</v>
      </c>
      <c r="C159" s="37" t="s">
        <v>291</v>
      </c>
      <c r="D159" s="38" t="s">
        <v>2386</v>
      </c>
      <c r="E159" s="37" t="s">
        <v>849</v>
      </c>
      <c r="F159" s="37" t="s">
        <v>850</v>
      </c>
      <c r="G159" s="36" t="s">
        <v>851</v>
      </c>
      <c r="H159" s="62">
        <v>2019</v>
      </c>
      <c r="I159" s="37" t="s">
        <v>852</v>
      </c>
      <c r="J159" s="38" t="s">
        <v>853</v>
      </c>
      <c r="K159" s="37" t="s">
        <v>25</v>
      </c>
      <c r="L159" s="37" t="s">
        <v>730</v>
      </c>
      <c r="M159" s="37" t="s">
        <v>678</v>
      </c>
      <c r="N159" s="51" t="s">
        <v>785</v>
      </c>
      <c r="O159" s="37" t="s">
        <v>786</v>
      </c>
      <c r="P159" s="51" t="s">
        <v>787</v>
      </c>
      <c r="Q159" s="58" t="s">
        <v>788</v>
      </c>
      <c r="R159" s="51" t="s">
        <v>885</v>
      </c>
      <c r="S159" s="58" t="s">
        <v>886</v>
      </c>
      <c r="T159" s="59" t="s">
        <v>887</v>
      </c>
      <c r="U159" s="58" t="s">
        <v>888</v>
      </c>
      <c r="V159" s="51" t="s">
        <v>889</v>
      </c>
      <c r="W159" s="58" t="s">
        <v>890</v>
      </c>
      <c r="X159" s="41" t="s">
        <v>2115</v>
      </c>
      <c r="Y159" s="37" t="s">
        <v>764</v>
      </c>
      <c r="Z159" s="36">
        <v>0</v>
      </c>
      <c r="AA159" s="36" t="s">
        <v>2185</v>
      </c>
      <c r="AB159" s="36" t="s">
        <v>2283</v>
      </c>
      <c r="AC159" s="37" t="s">
        <v>2187</v>
      </c>
      <c r="AD159" s="37" t="s">
        <v>796</v>
      </c>
      <c r="AE159" s="37" t="s">
        <v>730</v>
      </c>
      <c r="AF159" s="37" t="s">
        <v>2187</v>
      </c>
      <c r="AG159" s="19">
        <v>2678</v>
      </c>
      <c r="AH159" s="20">
        <v>3482</v>
      </c>
      <c r="AI159" s="21">
        <v>3642</v>
      </c>
      <c r="AJ159" s="22">
        <v>5198</v>
      </c>
      <c r="AK159" s="46">
        <v>500000000</v>
      </c>
      <c r="AL159" s="47">
        <v>650000000</v>
      </c>
      <c r="AM159" s="48">
        <v>680000000</v>
      </c>
      <c r="AN159" s="49">
        <v>970000000</v>
      </c>
      <c r="AO159" s="50">
        <v>2800000000</v>
      </c>
      <c r="AP159" s="37" t="s">
        <v>678</v>
      </c>
    </row>
    <row r="160" spans="1:42" customFormat="1" ht="89.25" x14ac:dyDescent="0.25">
      <c r="A160" s="36">
        <v>159</v>
      </c>
      <c r="B160" s="37" t="s">
        <v>224</v>
      </c>
      <c r="C160" s="37" t="s">
        <v>291</v>
      </c>
      <c r="D160" s="38" t="s">
        <v>2386</v>
      </c>
      <c r="E160" s="37" t="s">
        <v>891</v>
      </c>
      <c r="F160" s="37" t="s">
        <v>892</v>
      </c>
      <c r="G160" s="40" t="s">
        <v>893</v>
      </c>
      <c r="H160" s="62">
        <v>2018</v>
      </c>
      <c r="I160" s="37" t="s">
        <v>894</v>
      </c>
      <c r="J160" s="38" t="s">
        <v>895</v>
      </c>
      <c r="K160" s="37" t="s">
        <v>25</v>
      </c>
      <c r="L160" s="37" t="s">
        <v>688</v>
      </c>
      <c r="M160" s="37" t="s">
        <v>678</v>
      </c>
      <c r="N160" s="51" t="s">
        <v>896</v>
      </c>
      <c r="O160" s="37" t="s">
        <v>854</v>
      </c>
      <c r="P160" s="51" t="s">
        <v>897</v>
      </c>
      <c r="Q160" s="58" t="s">
        <v>898</v>
      </c>
      <c r="R160" s="51">
        <v>3206004</v>
      </c>
      <c r="S160" s="58" t="s">
        <v>899</v>
      </c>
      <c r="T160" s="59" t="s">
        <v>900</v>
      </c>
      <c r="U160" s="58" t="s">
        <v>203</v>
      </c>
      <c r="V160" s="51" t="s">
        <v>901</v>
      </c>
      <c r="W160" s="58" t="s">
        <v>902</v>
      </c>
      <c r="X160" s="58" t="s">
        <v>903</v>
      </c>
      <c r="Y160" s="37" t="s">
        <v>36</v>
      </c>
      <c r="Z160" s="36">
        <v>0</v>
      </c>
      <c r="AA160" s="36" t="s">
        <v>2185</v>
      </c>
      <c r="AB160" s="36" t="s">
        <v>2283</v>
      </c>
      <c r="AC160" s="37" t="s">
        <v>2284</v>
      </c>
      <c r="AD160" s="37" t="s">
        <v>904</v>
      </c>
      <c r="AE160" s="37" t="s">
        <v>688</v>
      </c>
      <c r="AF160" s="37" t="s">
        <v>2187</v>
      </c>
      <c r="AG160" s="152">
        <v>0</v>
      </c>
      <c r="AH160" s="4">
        <v>300</v>
      </c>
      <c r="AI160" s="8">
        <v>300</v>
      </c>
      <c r="AJ160" s="6">
        <v>0</v>
      </c>
      <c r="AK160" s="46">
        <v>0</v>
      </c>
      <c r="AL160" s="47">
        <v>250000000</v>
      </c>
      <c r="AM160" s="48">
        <v>250000000</v>
      </c>
      <c r="AN160" s="49">
        <v>0</v>
      </c>
      <c r="AO160" s="50">
        <v>500000000</v>
      </c>
      <c r="AP160" s="37" t="s">
        <v>678</v>
      </c>
    </row>
    <row r="161" spans="1:44" customFormat="1" ht="89.25" x14ac:dyDescent="0.25">
      <c r="A161" s="36">
        <v>160</v>
      </c>
      <c r="B161" s="37" t="s">
        <v>224</v>
      </c>
      <c r="C161" s="37" t="s">
        <v>291</v>
      </c>
      <c r="D161" s="38" t="s">
        <v>2386</v>
      </c>
      <c r="E161" s="37" t="s">
        <v>891</v>
      </c>
      <c r="F161" s="37" t="s">
        <v>892</v>
      </c>
      <c r="G161" s="40" t="s">
        <v>893</v>
      </c>
      <c r="H161" s="62">
        <v>2018</v>
      </c>
      <c r="I161" s="37" t="s">
        <v>894</v>
      </c>
      <c r="J161" s="38" t="s">
        <v>895</v>
      </c>
      <c r="K161" s="37" t="s">
        <v>25</v>
      </c>
      <c r="L161" s="37" t="s">
        <v>688</v>
      </c>
      <c r="M161" s="37" t="s">
        <v>678</v>
      </c>
      <c r="N161" s="51" t="s">
        <v>896</v>
      </c>
      <c r="O161" s="37" t="s">
        <v>854</v>
      </c>
      <c r="P161" s="51" t="s">
        <v>855</v>
      </c>
      <c r="Q161" s="37" t="s">
        <v>856</v>
      </c>
      <c r="R161" s="51" t="s">
        <v>905</v>
      </c>
      <c r="S161" s="58" t="s">
        <v>906</v>
      </c>
      <c r="T161" s="59" t="s">
        <v>907</v>
      </c>
      <c r="U161" s="58" t="s">
        <v>908</v>
      </c>
      <c r="V161" s="51" t="s">
        <v>909</v>
      </c>
      <c r="W161" s="58" t="s">
        <v>910</v>
      </c>
      <c r="X161" s="58" t="s">
        <v>911</v>
      </c>
      <c r="Y161" s="37" t="s">
        <v>36</v>
      </c>
      <c r="Z161" s="36">
        <v>0</v>
      </c>
      <c r="AA161" s="36" t="s">
        <v>2185</v>
      </c>
      <c r="AB161" s="36" t="s">
        <v>2283</v>
      </c>
      <c r="AC161" s="37" t="s">
        <v>2187</v>
      </c>
      <c r="AD161" s="37" t="s">
        <v>904</v>
      </c>
      <c r="AE161" s="37" t="s">
        <v>688</v>
      </c>
      <c r="AF161" s="37" t="s">
        <v>2187</v>
      </c>
      <c r="AG161" s="152">
        <v>0</v>
      </c>
      <c r="AH161" s="4">
        <v>6666</v>
      </c>
      <c r="AI161" s="8">
        <v>6668</v>
      </c>
      <c r="AJ161" s="6">
        <v>6666</v>
      </c>
      <c r="AK161" s="46">
        <v>0</v>
      </c>
      <c r="AL161" s="47">
        <v>333333333.32999998</v>
      </c>
      <c r="AM161" s="48">
        <v>333333333.32999998</v>
      </c>
      <c r="AN161" s="49">
        <v>333333333.33999997</v>
      </c>
      <c r="AO161" s="50">
        <v>1000000000</v>
      </c>
      <c r="AP161" s="37" t="s">
        <v>678</v>
      </c>
    </row>
    <row r="162" spans="1:44" customFormat="1" ht="89.25" x14ac:dyDescent="0.25">
      <c r="A162" s="36">
        <v>161</v>
      </c>
      <c r="B162" s="37" t="s">
        <v>224</v>
      </c>
      <c r="C162" s="37" t="s">
        <v>291</v>
      </c>
      <c r="D162" s="38" t="s">
        <v>2386</v>
      </c>
      <c r="E162" s="37" t="s">
        <v>891</v>
      </c>
      <c r="F162" s="37" t="s">
        <v>892</v>
      </c>
      <c r="G162" s="40" t="s">
        <v>893</v>
      </c>
      <c r="H162" s="62">
        <v>2018</v>
      </c>
      <c r="I162" s="37" t="s">
        <v>894</v>
      </c>
      <c r="J162" s="38" t="s">
        <v>895</v>
      </c>
      <c r="K162" s="37" t="s">
        <v>25</v>
      </c>
      <c r="L162" s="37" t="s">
        <v>688</v>
      </c>
      <c r="M162" s="37" t="s">
        <v>678</v>
      </c>
      <c r="N162" s="51" t="s">
        <v>896</v>
      </c>
      <c r="O162" s="37" t="s">
        <v>854</v>
      </c>
      <c r="P162" s="51" t="s">
        <v>897</v>
      </c>
      <c r="Q162" s="58" t="s">
        <v>898</v>
      </c>
      <c r="R162" s="51" t="s">
        <v>912</v>
      </c>
      <c r="S162" s="58" t="s">
        <v>913</v>
      </c>
      <c r="T162" s="59" t="s">
        <v>914</v>
      </c>
      <c r="U162" s="58" t="s">
        <v>915</v>
      </c>
      <c r="V162" s="51" t="s">
        <v>916</v>
      </c>
      <c r="W162" s="58" t="s">
        <v>917</v>
      </c>
      <c r="X162" s="58" t="s">
        <v>2116</v>
      </c>
      <c r="Y162" s="37" t="s">
        <v>36</v>
      </c>
      <c r="Z162" s="36">
        <v>0</v>
      </c>
      <c r="AA162" s="36" t="s">
        <v>2185</v>
      </c>
      <c r="AB162" s="36" t="s">
        <v>2283</v>
      </c>
      <c r="AC162" s="37" t="s">
        <v>2187</v>
      </c>
      <c r="AD162" s="37" t="s">
        <v>904</v>
      </c>
      <c r="AE162" s="37" t="s">
        <v>688</v>
      </c>
      <c r="AF162" s="37" t="s">
        <v>2187</v>
      </c>
      <c r="AG162" s="19">
        <v>475</v>
      </c>
      <c r="AH162" s="20">
        <v>1425</v>
      </c>
      <c r="AI162" s="21">
        <v>0</v>
      </c>
      <c r="AJ162" s="22">
        <v>0</v>
      </c>
      <c r="AK162" s="46">
        <v>1562500000</v>
      </c>
      <c r="AL162" s="47">
        <v>4687500000</v>
      </c>
      <c r="AM162" s="48">
        <v>0</v>
      </c>
      <c r="AN162" s="49">
        <v>0</v>
      </c>
      <c r="AO162" s="50">
        <v>6250000000</v>
      </c>
      <c r="AP162" s="37" t="s">
        <v>678</v>
      </c>
    </row>
    <row r="163" spans="1:44" customFormat="1" ht="114.75" x14ac:dyDescent="0.25">
      <c r="A163" s="36">
        <v>162</v>
      </c>
      <c r="B163" s="37" t="s">
        <v>224</v>
      </c>
      <c r="C163" s="37" t="s">
        <v>291</v>
      </c>
      <c r="D163" s="38" t="s">
        <v>2386</v>
      </c>
      <c r="E163" s="37" t="s">
        <v>891</v>
      </c>
      <c r="F163" s="37" t="s">
        <v>892</v>
      </c>
      <c r="G163" s="40" t="s">
        <v>893</v>
      </c>
      <c r="H163" s="62">
        <v>2018</v>
      </c>
      <c r="I163" s="37" t="s">
        <v>894</v>
      </c>
      <c r="J163" s="38" t="s">
        <v>895</v>
      </c>
      <c r="K163" s="37" t="s">
        <v>25</v>
      </c>
      <c r="L163" s="37" t="s">
        <v>688</v>
      </c>
      <c r="M163" s="37" t="s">
        <v>678</v>
      </c>
      <c r="N163" s="51" t="s">
        <v>918</v>
      </c>
      <c r="O163" s="38" t="s">
        <v>1316</v>
      </c>
      <c r="P163" s="51" t="s">
        <v>919</v>
      </c>
      <c r="Q163" s="58" t="s">
        <v>920</v>
      </c>
      <c r="R163" s="51">
        <v>2102058</v>
      </c>
      <c r="S163" s="58" t="s">
        <v>921</v>
      </c>
      <c r="T163" s="59" t="s">
        <v>922</v>
      </c>
      <c r="U163" s="58" t="s">
        <v>834</v>
      </c>
      <c r="V163" s="51" t="s">
        <v>923</v>
      </c>
      <c r="W163" s="58" t="s">
        <v>921</v>
      </c>
      <c r="X163" s="58" t="s">
        <v>924</v>
      </c>
      <c r="Y163" s="37" t="s">
        <v>36</v>
      </c>
      <c r="Z163" s="36">
        <v>0</v>
      </c>
      <c r="AA163" s="36" t="s">
        <v>2185</v>
      </c>
      <c r="AB163" s="36" t="s">
        <v>2276</v>
      </c>
      <c r="AC163" s="37" t="s">
        <v>2187</v>
      </c>
      <c r="AD163" s="37" t="s">
        <v>925</v>
      </c>
      <c r="AE163" s="37" t="s">
        <v>688</v>
      </c>
      <c r="AF163" s="37" t="s">
        <v>2187</v>
      </c>
      <c r="AG163" s="152">
        <v>0</v>
      </c>
      <c r="AH163" s="4">
        <v>37.5</v>
      </c>
      <c r="AI163" s="8">
        <v>41.7</v>
      </c>
      <c r="AJ163" s="6">
        <v>70.8</v>
      </c>
      <c r="AK163" s="46">
        <v>0</v>
      </c>
      <c r="AL163" s="47">
        <v>250000000</v>
      </c>
      <c r="AM163" s="48">
        <v>278505200</v>
      </c>
      <c r="AN163" s="49">
        <v>471494800.38</v>
      </c>
      <c r="AO163" s="50">
        <v>1000000000.38</v>
      </c>
      <c r="AP163" s="37" t="s">
        <v>678</v>
      </c>
    </row>
    <row r="164" spans="1:44" customFormat="1" ht="63.75" x14ac:dyDescent="0.25">
      <c r="A164" s="36">
        <v>163</v>
      </c>
      <c r="B164" s="37" t="s">
        <v>224</v>
      </c>
      <c r="C164" s="37" t="s">
        <v>291</v>
      </c>
      <c r="D164" s="38" t="s">
        <v>2386</v>
      </c>
      <c r="E164" s="37" t="s">
        <v>926</v>
      </c>
      <c r="F164" s="37" t="s">
        <v>927</v>
      </c>
      <c r="G164" s="40" t="s">
        <v>928</v>
      </c>
      <c r="H164" s="62">
        <v>2018</v>
      </c>
      <c r="I164" s="37" t="s">
        <v>929</v>
      </c>
      <c r="J164" s="38" t="s">
        <v>930</v>
      </c>
      <c r="K164" s="37" t="s">
        <v>25</v>
      </c>
      <c r="L164" s="37" t="s">
        <v>931</v>
      </c>
      <c r="M164" s="37" t="s">
        <v>678</v>
      </c>
      <c r="N164" s="36">
        <v>17</v>
      </c>
      <c r="O164" s="37" t="s">
        <v>680</v>
      </c>
      <c r="P164" s="51" t="s">
        <v>681</v>
      </c>
      <c r="Q164" s="58" t="s">
        <v>682</v>
      </c>
      <c r="R164" s="51" t="s">
        <v>932</v>
      </c>
      <c r="S164" s="58" t="s">
        <v>683</v>
      </c>
      <c r="T164" s="59" t="s">
        <v>684</v>
      </c>
      <c r="U164" s="58" t="s">
        <v>685</v>
      </c>
      <c r="V164" s="51" t="s">
        <v>933</v>
      </c>
      <c r="W164" s="58" t="s">
        <v>686</v>
      </c>
      <c r="X164" s="58" t="s">
        <v>934</v>
      </c>
      <c r="Y164" s="37" t="s">
        <v>36</v>
      </c>
      <c r="Z164" s="36">
        <v>0</v>
      </c>
      <c r="AA164" s="36" t="s">
        <v>2185</v>
      </c>
      <c r="AB164" s="36" t="s">
        <v>2285</v>
      </c>
      <c r="AC164" s="37" t="s">
        <v>2284</v>
      </c>
      <c r="AD164" s="37" t="s">
        <v>687</v>
      </c>
      <c r="AE164" s="37" t="s">
        <v>688</v>
      </c>
      <c r="AF164" s="37" t="s">
        <v>2187</v>
      </c>
      <c r="AG164" s="152">
        <v>0</v>
      </c>
      <c r="AH164" s="4">
        <v>15</v>
      </c>
      <c r="AI164" s="8">
        <v>0</v>
      </c>
      <c r="AJ164" s="6">
        <v>0</v>
      </c>
      <c r="AK164" s="46">
        <v>0</v>
      </c>
      <c r="AL164" s="47">
        <v>1500000000</v>
      </c>
      <c r="AM164" s="48">
        <v>0</v>
      </c>
      <c r="AN164" s="49">
        <v>0</v>
      </c>
      <c r="AO164" s="50">
        <v>1500000000</v>
      </c>
      <c r="AP164" s="37" t="s">
        <v>678</v>
      </c>
    </row>
    <row r="165" spans="1:44" customFormat="1" ht="63.75" x14ac:dyDescent="0.25">
      <c r="A165" s="36">
        <v>164</v>
      </c>
      <c r="B165" s="37" t="s">
        <v>224</v>
      </c>
      <c r="C165" s="37" t="s">
        <v>291</v>
      </c>
      <c r="D165" s="38" t="s">
        <v>2386</v>
      </c>
      <c r="E165" s="37" t="s">
        <v>935</v>
      </c>
      <c r="F165" s="37" t="s">
        <v>936</v>
      </c>
      <c r="G165" s="40">
        <v>2.5999999999999999E-2</v>
      </c>
      <c r="H165" s="36">
        <v>2023</v>
      </c>
      <c r="I165" s="37" t="s">
        <v>937</v>
      </c>
      <c r="J165" s="38" t="s">
        <v>938</v>
      </c>
      <c r="K165" s="37" t="s">
        <v>25</v>
      </c>
      <c r="L165" s="37" t="s">
        <v>183</v>
      </c>
      <c r="M165" s="37" t="s">
        <v>2013</v>
      </c>
      <c r="N165" s="36">
        <v>45</v>
      </c>
      <c r="O165" s="37" t="s">
        <v>786</v>
      </c>
      <c r="P165" s="36" t="s">
        <v>941</v>
      </c>
      <c r="Q165" s="37" t="s">
        <v>942</v>
      </c>
      <c r="R165" s="36" t="s">
        <v>943</v>
      </c>
      <c r="S165" s="37" t="s">
        <v>201</v>
      </c>
      <c r="T165" s="38" t="s">
        <v>944</v>
      </c>
      <c r="U165" s="37" t="s">
        <v>2435</v>
      </c>
      <c r="V165" s="36">
        <v>450300200</v>
      </c>
      <c r="W165" s="37" t="s">
        <v>297</v>
      </c>
      <c r="X165" s="41" t="s">
        <v>945</v>
      </c>
      <c r="Y165" s="37" t="s">
        <v>36</v>
      </c>
      <c r="Z165" s="36">
        <v>0</v>
      </c>
      <c r="AA165" s="36" t="s">
        <v>2185</v>
      </c>
      <c r="AB165" s="37" t="s">
        <v>2218</v>
      </c>
      <c r="AC165" s="37" t="s">
        <v>2187</v>
      </c>
      <c r="AD165" s="37" t="s">
        <v>946</v>
      </c>
      <c r="AE165" s="37" t="s">
        <v>2212</v>
      </c>
      <c r="AF165" s="37" t="s">
        <v>2187</v>
      </c>
      <c r="AG165" s="27">
        <v>210</v>
      </c>
      <c r="AH165" s="28">
        <v>210</v>
      </c>
      <c r="AI165" s="29">
        <v>210</v>
      </c>
      <c r="AJ165" s="30">
        <v>210</v>
      </c>
      <c r="AK165" s="46">
        <v>363414301</v>
      </c>
      <c r="AL165" s="47">
        <v>384746720</v>
      </c>
      <c r="AM165" s="48">
        <v>399559469</v>
      </c>
      <c r="AN165" s="49">
        <v>414942509</v>
      </c>
      <c r="AO165" s="50">
        <v>1562662999</v>
      </c>
      <c r="AP165" s="37" t="s">
        <v>939</v>
      </c>
    </row>
    <row r="166" spans="1:44" customFormat="1" ht="63.75" x14ac:dyDescent="0.25">
      <c r="A166" s="36">
        <v>165</v>
      </c>
      <c r="B166" s="37" t="s">
        <v>224</v>
      </c>
      <c r="C166" s="37" t="s">
        <v>291</v>
      </c>
      <c r="D166" s="38" t="s">
        <v>2386</v>
      </c>
      <c r="E166" s="37" t="s">
        <v>935</v>
      </c>
      <c r="F166" s="37" t="s">
        <v>936</v>
      </c>
      <c r="G166" s="40">
        <v>2.5999999999999999E-2</v>
      </c>
      <c r="H166" s="36">
        <v>2023</v>
      </c>
      <c r="I166" s="37" t="s">
        <v>937</v>
      </c>
      <c r="J166" s="38" t="s">
        <v>938</v>
      </c>
      <c r="K166" s="37" t="s">
        <v>25</v>
      </c>
      <c r="L166" s="37" t="s">
        <v>183</v>
      </c>
      <c r="M166" s="37" t="s">
        <v>2013</v>
      </c>
      <c r="N166" s="36">
        <v>45</v>
      </c>
      <c r="O166" s="37" t="s">
        <v>786</v>
      </c>
      <c r="P166" s="36" t="s">
        <v>941</v>
      </c>
      <c r="Q166" s="37" t="s">
        <v>942</v>
      </c>
      <c r="R166" s="36" t="s">
        <v>947</v>
      </c>
      <c r="S166" s="37" t="s">
        <v>232</v>
      </c>
      <c r="T166" s="38" t="s">
        <v>948</v>
      </c>
      <c r="U166" s="37" t="s">
        <v>949</v>
      </c>
      <c r="V166" s="36" t="s">
        <v>950</v>
      </c>
      <c r="W166" s="37" t="s">
        <v>951</v>
      </c>
      <c r="X166" s="41" t="s">
        <v>2050</v>
      </c>
      <c r="Y166" s="37" t="s">
        <v>36</v>
      </c>
      <c r="Z166" s="36">
        <v>42</v>
      </c>
      <c r="AA166" s="36" t="s">
        <v>2185</v>
      </c>
      <c r="AB166" s="37" t="s">
        <v>2218</v>
      </c>
      <c r="AC166" s="36" t="s">
        <v>2187</v>
      </c>
      <c r="AD166" s="37" t="s">
        <v>946</v>
      </c>
      <c r="AE166" s="37" t="s">
        <v>2212</v>
      </c>
      <c r="AF166" s="37" t="s">
        <v>2187</v>
      </c>
      <c r="AG166" s="27">
        <v>42</v>
      </c>
      <c r="AH166" s="28">
        <v>42</v>
      </c>
      <c r="AI166" s="29">
        <v>42</v>
      </c>
      <c r="AJ166" s="30">
        <v>42</v>
      </c>
      <c r="AK166" s="46">
        <v>166297379</v>
      </c>
      <c r="AL166" s="47">
        <v>176059035</v>
      </c>
      <c r="AM166" s="48">
        <v>182837308</v>
      </c>
      <c r="AN166" s="49">
        <v>189876544</v>
      </c>
      <c r="AO166" s="50">
        <v>715070266</v>
      </c>
      <c r="AP166" s="37" t="s">
        <v>939</v>
      </c>
    </row>
    <row r="167" spans="1:44" customFormat="1" ht="63.75" x14ac:dyDescent="0.25">
      <c r="A167" s="36">
        <v>166</v>
      </c>
      <c r="B167" s="37" t="s">
        <v>224</v>
      </c>
      <c r="C167" s="37" t="s">
        <v>291</v>
      </c>
      <c r="D167" s="38" t="s">
        <v>2386</v>
      </c>
      <c r="E167" s="37" t="s">
        <v>935</v>
      </c>
      <c r="F167" s="37" t="s">
        <v>936</v>
      </c>
      <c r="G167" s="40">
        <v>2.5999999999999999E-2</v>
      </c>
      <c r="H167" s="36">
        <v>2023</v>
      </c>
      <c r="I167" s="37" t="s">
        <v>937</v>
      </c>
      <c r="J167" s="38" t="s">
        <v>938</v>
      </c>
      <c r="K167" s="37" t="s">
        <v>25</v>
      </c>
      <c r="L167" s="37" t="s">
        <v>183</v>
      </c>
      <c r="M167" s="37" t="s">
        <v>2013</v>
      </c>
      <c r="N167" s="36">
        <v>45</v>
      </c>
      <c r="O167" s="37" t="s">
        <v>786</v>
      </c>
      <c r="P167" s="36" t="s">
        <v>941</v>
      </c>
      <c r="Q167" s="37" t="s">
        <v>942</v>
      </c>
      <c r="R167" s="36" t="s">
        <v>952</v>
      </c>
      <c r="S167" s="37" t="s">
        <v>953</v>
      </c>
      <c r="T167" s="38" t="s">
        <v>954</v>
      </c>
      <c r="U167" s="37" t="s">
        <v>955</v>
      </c>
      <c r="V167" s="36">
        <v>450300400</v>
      </c>
      <c r="W167" s="37" t="s">
        <v>956</v>
      </c>
      <c r="X167" s="41" t="s">
        <v>957</v>
      </c>
      <c r="Y167" s="37" t="s">
        <v>36</v>
      </c>
      <c r="Z167" s="36">
        <v>42</v>
      </c>
      <c r="AA167" s="36" t="s">
        <v>2185</v>
      </c>
      <c r="AB167" s="37" t="s">
        <v>2218</v>
      </c>
      <c r="AC167" s="36" t="s">
        <v>2187</v>
      </c>
      <c r="AD167" s="37" t="s">
        <v>946</v>
      </c>
      <c r="AE167" s="37" t="s">
        <v>2191</v>
      </c>
      <c r="AF167" s="37" t="s">
        <v>2187</v>
      </c>
      <c r="AG167" s="27">
        <v>42</v>
      </c>
      <c r="AH167" s="28">
        <v>42</v>
      </c>
      <c r="AI167" s="29">
        <v>42</v>
      </c>
      <c r="AJ167" s="30">
        <v>42</v>
      </c>
      <c r="AK167" s="46">
        <v>1329860400</v>
      </c>
      <c r="AL167" s="47">
        <v>1407498205</v>
      </c>
      <c r="AM167" s="48">
        <v>1432487262</v>
      </c>
      <c r="AN167" s="49">
        <v>1457562408</v>
      </c>
      <c r="AO167" s="50">
        <v>5627408275</v>
      </c>
      <c r="AP167" s="37" t="s">
        <v>939</v>
      </c>
    </row>
    <row r="168" spans="1:44" customFormat="1" ht="63.75" x14ac:dyDescent="0.25">
      <c r="A168" s="36">
        <v>167</v>
      </c>
      <c r="B168" s="37" t="s">
        <v>224</v>
      </c>
      <c r="C168" s="37" t="s">
        <v>291</v>
      </c>
      <c r="D168" s="38" t="s">
        <v>2386</v>
      </c>
      <c r="E168" s="37" t="s">
        <v>935</v>
      </c>
      <c r="F168" s="37" t="s">
        <v>936</v>
      </c>
      <c r="G168" s="40">
        <v>2.5999999999999999E-2</v>
      </c>
      <c r="H168" s="36">
        <v>2023</v>
      </c>
      <c r="I168" s="37" t="s">
        <v>937</v>
      </c>
      <c r="J168" s="38" t="s">
        <v>938</v>
      </c>
      <c r="K168" s="37" t="s">
        <v>25</v>
      </c>
      <c r="L168" s="37" t="s">
        <v>183</v>
      </c>
      <c r="M168" s="37" t="s">
        <v>2013</v>
      </c>
      <c r="N168" s="36">
        <v>45</v>
      </c>
      <c r="O168" s="37" t="s">
        <v>786</v>
      </c>
      <c r="P168" s="36" t="s">
        <v>941</v>
      </c>
      <c r="Q168" s="37" t="s">
        <v>942</v>
      </c>
      <c r="R168" s="36" t="s">
        <v>958</v>
      </c>
      <c r="S168" s="37" t="s">
        <v>959</v>
      </c>
      <c r="T168" s="38" t="s">
        <v>960</v>
      </c>
      <c r="U168" s="37" t="s">
        <v>961</v>
      </c>
      <c r="V168" s="36" t="s">
        <v>962</v>
      </c>
      <c r="W168" s="37" t="s">
        <v>963</v>
      </c>
      <c r="X168" s="41" t="s">
        <v>964</v>
      </c>
      <c r="Y168" s="37" t="s">
        <v>36</v>
      </c>
      <c r="Z168" s="36">
        <v>19</v>
      </c>
      <c r="AA168" s="36" t="s">
        <v>2185</v>
      </c>
      <c r="AB168" s="37" t="s">
        <v>2213</v>
      </c>
      <c r="AC168" s="36" t="s">
        <v>2187</v>
      </c>
      <c r="AD168" s="37" t="s">
        <v>946</v>
      </c>
      <c r="AE168" s="37" t="s">
        <v>2191</v>
      </c>
      <c r="AF168" s="37" t="s">
        <v>2187</v>
      </c>
      <c r="AG168" s="27">
        <v>7</v>
      </c>
      <c r="AH168" s="28">
        <v>4</v>
      </c>
      <c r="AI168" s="29">
        <v>4</v>
      </c>
      <c r="AJ168" s="30">
        <v>4</v>
      </c>
      <c r="AK168" s="46">
        <v>1029573541</v>
      </c>
      <c r="AL168" s="47">
        <v>39188604693.839996</v>
      </c>
      <c r="AM168" s="48">
        <v>1126281984.8199999</v>
      </c>
      <c r="AN168" s="49">
        <v>1164743149.1199999</v>
      </c>
      <c r="AO168" s="50">
        <v>42509203368.779999</v>
      </c>
      <c r="AP168" s="37" t="s">
        <v>939</v>
      </c>
    </row>
    <row r="169" spans="1:44" customFormat="1" ht="63.75" x14ac:dyDescent="0.25">
      <c r="A169" s="36">
        <v>168</v>
      </c>
      <c r="B169" s="37" t="s">
        <v>224</v>
      </c>
      <c r="C169" s="37" t="s">
        <v>291</v>
      </c>
      <c r="D169" s="38" t="s">
        <v>2386</v>
      </c>
      <c r="E169" s="37" t="s">
        <v>935</v>
      </c>
      <c r="F169" s="37" t="s">
        <v>936</v>
      </c>
      <c r="G169" s="40">
        <v>2.5999999999999999E-2</v>
      </c>
      <c r="H169" s="36">
        <v>2023</v>
      </c>
      <c r="I169" s="37" t="s">
        <v>937</v>
      </c>
      <c r="J169" s="38" t="s">
        <v>938</v>
      </c>
      <c r="K169" s="37" t="s">
        <v>25</v>
      </c>
      <c r="L169" s="37" t="s">
        <v>183</v>
      </c>
      <c r="M169" s="37" t="s">
        <v>2013</v>
      </c>
      <c r="N169" s="36">
        <v>45</v>
      </c>
      <c r="O169" s="37" t="s">
        <v>786</v>
      </c>
      <c r="P169" s="36" t="s">
        <v>941</v>
      </c>
      <c r="Q169" s="37" t="s">
        <v>942</v>
      </c>
      <c r="R169" s="36" t="s">
        <v>958</v>
      </c>
      <c r="S169" s="37" t="s">
        <v>959</v>
      </c>
      <c r="T169" s="38" t="s">
        <v>960</v>
      </c>
      <c r="U169" s="38" t="s">
        <v>961</v>
      </c>
      <c r="V169" s="36" t="s">
        <v>962</v>
      </c>
      <c r="W169" s="37" t="s">
        <v>963</v>
      </c>
      <c r="X169" s="41" t="s">
        <v>2064</v>
      </c>
      <c r="Y169" s="37" t="s">
        <v>36</v>
      </c>
      <c r="Z169" s="36">
        <v>0</v>
      </c>
      <c r="AA169" s="36" t="s">
        <v>2185</v>
      </c>
      <c r="AB169" s="37" t="s">
        <v>2213</v>
      </c>
      <c r="AC169" s="36" t="s">
        <v>2187</v>
      </c>
      <c r="AD169" s="37" t="s">
        <v>946</v>
      </c>
      <c r="AE169" s="37" t="s">
        <v>2191</v>
      </c>
      <c r="AF169" s="37" t="s">
        <v>2187</v>
      </c>
      <c r="AG169" s="27">
        <v>1</v>
      </c>
      <c r="AH169" s="28">
        <v>1</v>
      </c>
      <c r="AI169" s="29">
        <v>1</v>
      </c>
      <c r="AJ169" s="30">
        <v>1</v>
      </c>
      <c r="AK169" s="46">
        <v>697682676</v>
      </c>
      <c r="AL169" s="47">
        <v>5938636649</v>
      </c>
      <c r="AM169" s="48">
        <v>767074160</v>
      </c>
      <c r="AN169" s="49">
        <v>796606515</v>
      </c>
      <c r="AO169" s="50">
        <v>8200000000</v>
      </c>
      <c r="AP169" s="37" t="s">
        <v>939</v>
      </c>
      <c r="AR169" s="149"/>
    </row>
    <row r="170" spans="1:44" customFormat="1" ht="63.75" x14ac:dyDescent="0.25">
      <c r="A170" s="36">
        <v>169</v>
      </c>
      <c r="B170" s="37" t="s">
        <v>224</v>
      </c>
      <c r="C170" s="37" t="s">
        <v>291</v>
      </c>
      <c r="D170" s="38" t="s">
        <v>2386</v>
      </c>
      <c r="E170" s="37" t="s">
        <v>935</v>
      </c>
      <c r="F170" s="37" t="s">
        <v>936</v>
      </c>
      <c r="G170" s="40">
        <v>2.5999999999999999E-2</v>
      </c>
      <c r="H170" s="36">
        <v>2023</v>
      </c>
      <c r="I170" s="37" t="s">
        <v>937</v>
      </c>
      <c r="J170" s="38" t="s">
        <v>938</v>
      </c>
      <c r="K170" s="37" t="s">
        <v>25</v>
      </c>
      <c r="L170" s="37" t="s">
        <v>183</v>
      </c>
      <c r="M170" s="37" t="s">
        <v>2013</v>
      </c>
      <c r="N170" s="36">
        <v>45</v>
      </c>
      <c r="O170" s="37" t="s">
        <v>786</v>
      </c>
      <c r="P170" s="36" t="s">
        <v>941</v>
      </c>
      <c r="Q170" s="37" t="s">
        <v>942</v>
      </c>
      <c r="R170" s="36" t="s">
        <v>965</v>
      </c>
      <c r="S170" s="37" t="s">
        <v>966</v>
      </c>
      <c r="T170" s="38" t="s">
        <v>967</v>
      </c>
      <c r="U170" s="37" t="s">
        <v>968</v>
      </c>
      <c r="V170" s="36" t="s">
        <v>969</v>
      </c>
      <c r="W170" s="37" t="s">
        <v>970</v>
      </c>
      <c r="X170" s="41" t="s">
        <v>2051</v>
      </c>
      <c r="Y170" s="37" t="s">
        <v>36</v>
      </c>
      <c r="Z170" s="36">
        <v>0</v>
      </c>
      <c r="AA170" s="36" t="s">
        <v>2185</v>
      </c>
      <c r="AB170" s="37" t="s">
        <v>2213</v>
      </c>
      <c r="AC170" s="36" t="s">
        <v>2187</v>
      </c>
      <c r="AD170" s="37" t="s">
        <v>946</v>
      </c>
      <c r="AE170" s="37" t="s">
        <v>2212</v>
      </c>
      <c r="AF170" s="37" t="s">
        <v>2187</v>
      </c>
      <c r="AG170" s="27">
        <v>1</v>
      </c>
      <c r="AH170" s="28">
        <v>1</v>
      </c>
      <c r="AI170" s="29">
        <v>1</v>
      </c>
      <c r="AJ170" s="30">
        <v>1</v>
      </c>
      <c r="AK170" s="46">
        <v>2465121782</v>
      </c>
      <c r="AL170" s="47">
        <v>2609824433</v>
      </c>
      <c r="AM170" s="48">
        <v>2710302674</v>
      </c>
      <c r="AN170" s="49">
        <v>2814649327</v>
      </c>
      <c r="AO170" s="50">
        <v>10599898216</v>
      </c>
      <c r="AP170" s="37" t="s">
        <v>939</v>
      </c>
    </row>
    <row r="171" spans="1:44" customFormat="1" ht="63.75" x14ac:dyDescent="0.25">
      <c r="A171" s="36">
        <v>170</v>
      </c>
      <c r="B171" s="37" t="s">
        <v>224</v>
      </c>
      <c r="C171" s="37" t="s">
        <v>291</v>
      </c>
      <c r="D171" s="38" t="s">
        <v>2386</v>
      </c>
      <c r="E171" s="37" t="s">
        <v>935</v>
      </c>
      <c r="F171" s="37" t="s">
        <v>936</v>
      </c>
      <c r="G171" s="40">
        <v>2.5999999999999999E-2</v>
      </c>
      <c r="H171" s="36">
        <v>2023</v>
      </c>
      <c r="I171" s="37" t="s">
        <v>937</v>
      </c>
      <c r="J171" s="38" t="s">
        <v>938</v>
      </c>
      <c r="K171" s="37" t="s">
        <v>25</v>
      </c>
      <c r="L171" s="37" t="s">
        <v>183</v>
      </c>
      <c r="M171" s="37" t="s">
        <v>2013</v>
      </c>
      <c r="N171" s="36">
        <v>45</v>
      </c>
      <c r="O171" s="37" t="s">
        <v>786</v>
      </c>
      <c r="P171" s="36" t="s">
        <v>941</v>
      </c>
      <c r="Q171" s="37" t="s">
        <v>942</v>
      </c>
      <c r="R171" s="36" t="s">
        <v>971</v>
      </c>
      <c r="S171" s="37" t="s">
        <v>768</v>
      </c>
      <c r="T171" s="38" t="s">
        <v>769</v>
      </c>
      <c r="U171" s="37" t="s">
        <v>500</v>
      </c>
      <c r="V171" s="36">
        <v>450302302</v>
      </c>
      <c r="W171" s="37" t="s">
        <v>972</v>
      </c>
      <c r="X171" s="41" t="s">
        <v>973</v>
      </c>
      <c r="Y171" s="37" t="s">
        <v>36</v>
      </c>
      <c r="Z171" s="36">
        <v>1</v>
      </c>
      <c r="AA171" s="36" t="s">
        <v>2192</v>
      </c>
      <c r="AB171" s="37" t="s">
        <v>2213</v>
      </c>
      <c r="AC171" s="36" t="s">
        <v>2187</v>
      </c>
      <c r="AD171" s="37" t="s">
        <v>946</v>
      </c>
      <c r="AE171" s="37" t="s">
        <v>2191</v>
      </c>
      <c r="AF171" s="37" t="s">
        <v>2187</v>
      </c>
      <c r="AG171" s="27">
        <v>1</v>
      </c>
      <c r="AH171" s="28">
        <v>1</v>
      </c>
      <c r="AI171" s="29">
        <v>1</v>
      </c>
      <c r="AJ171" s="30">
        <v>1</v>
      </c>
      <c r="AK171" s="46">
        <v>79227920</v>
      </c>
      <c r="AL171" s="47">
        <v>83878599</v>
      </c>
      <c r="AM171" s="48">
        <v>87107925</v>
      </c>
      <c r="AN171" s="49">
        <v>90461580</v>
      </c>
      <c r="AO171" s="50">
        <v>340676024</v>
      </c>
      <c r="AP171" s="37" t="s">
        <v>939</v>
      </c>
      <c r="AR171" s="149"/>
    </row>
    <row r="172" spans="1:44" customFormat="1" ht="63.75" x14ac:dyDescent="0.25">
      <c r="A172" s="36">
        <v>171</v>
      </c>
      <c r="B172" s="37" t="s">
        <v>224</v>
      </c>
      <c r="C172" s="37" t="s">
        <v>291</v>
      </c>
      <c r="D172" s="38" t="s">
        <v>2386</v>
      </c>
      <c r="E172" s="37" t="s">
        <v>935</v>
      </c>
      <c r="F172" s="37" t="s">
        <v>936</v>
      </c>
      <c r="G172" s="40">
        <v>2.5999999999999999E-2</v>
      </c>
      <c r="H172" s="36">
        <v>2023</v>
      </c>
      <c r="I172" s="37" t="s">
        <v>937</v>
      </c>
      <c r="J172" s="38" t="s">
        <v>938</v>
      </c>
      <c r="K172" s="37" t="s">
        <v>25</v>
      </c>
      <c r="L172" s="37" t="s">
        <v>183</v>
      </c>
      <c r="M172" s="37" t="s">
        <v>2013</v>
      </c>
      <c r="N172" s="36" t="s">
        <v>785</v>
      </c>
      <c r="O172" s="37" t="s">
        <v>786</v>
      </c>
      <c r="P172" s="36" t="s">
        <v>941</v>
      </c>
      <c r="Q172" s="37" t="s">
        <v>942</v>
      </c>
      <c r="R172" s="36" t="s">
        <v>2052</v>
      </c>
      <c r="S172" s="37" t="s">
        <v>2053</v>
      </c>
      <c r="T172" s="38" t="s">
        <v>2054</v>
      </c>
      <c r="U172" s="38" t="s">
        <v>2055</v>
      </c>
      <c r="V172" s="36" t="s">
        <v>2056</v>
      </c>
      <c r="W172" s="37" t="s">
        <v>2057</v>
      </c>
      <c r="X172" s="41" t="s">
        <v>2058</v>
      </c>
      <c r="Y172" s="37" t="s">
        <v>36</v>
      </c>
      <c r="Z172" s="36">
        <v>0</v>
      </c>
      <c r="AA172" s="36" t="s">
        <v>2185</v>
      </c>
      <c r="AB172" s="37" t="s">
        <v>2213</v>
      </c>
      <c r="AC172" s="36" t="s">
        <v>2187</v>
      </c>
      <c r="AD172" s="37" t="s">
        <v>946</v>
      </c>
      <c r="AE172" s="37" t="s">
        <v>2212</v>
      </c>
      <c r="AF172" s="37" t="s">
        <v>2187</v>
      </c>
      <c r="AG172" s="27">
        <v>1</v>
      </c>
      <c r="AH172" s="28">
        <v>1</v>
      </c>
      <c r="AI172" s="29">
        <v>1</v>
      </c>
      <c r="AJ172" s="30">
        <v>1</v>
      </c>
      <c r="AK172" s="46">
        <v>1000000000</v>
      </c>
      <c r="AL172" s="47">
        <v>1058700000</v>
      </c>
      <c r="AM172" s="48">
        <v>1099459950</v>
      </c>
      <c r="AN172" s="49">
        <v>1141789158</v>
      </c>
      <c r="AO172" s="50">
        <v>4299949108</v>
      </c>
      <c r="AP172" s="37" t="s">
        <v>939</v>
      </c>
    </row>
    <row r="173" spans="1:44" customFormat="1" ht="63.75" x14ac:dyDescent="0.25">
      <c r="A173" s="36">
        <v>172</v>
      </c>
      <c r="B173" s="37" t="s">
        <v>224</v>
      </c>
      <c r="C173" s="37" t="s">
        <v>291</v>
      </c>
      <c r="D173" s="38" t="s">
        <v>2386</v>
      </c>
      <c r="E173" s="37" t="s">
        <v>935</v>
      </c>
      <c r="F173" s="37" t="s">
        <v>936</v>
      </c>
      <c r="G173" s="40">
        <v>2.5999999999999999E-2</v>
      </c>
      <c r="H173" s="36">
        <v>2023</v>
      </c>
      <c r="I173" s="37" t="s">
        <v>937</v>
      </c>
      <c r="J173" s="38" t="s">
        <v>938</v>
      </c>
      <c r="K173" s="37" t="s">
        <v>25</v>
      </c>
      <c r="L173" s="37" t="s">
        <v>183</v>
      </c>
      <c r="M173" s="37" t="s">
        <v>2013</v>
      </c>
      <c r="N173" s="36" t="s">
        <v>785</v>
      </c>
      <c r="O173" s="37" t="s">
        <v>786</v>
      </c>
      <c r="P173" s="36" t="s">
        <v>941</v>
      </c>
      <c r="Q173" s="37" t="s">
        <v>942</v>
      </c>
      <c r="R173" s="36" t="s">
        <v>971</v>
      </c>
      <c r="S173" s="37" t="s">
        <v>768</v>
      </c>
      <c r="T173" s="38" t="s">
        <v>769</v>
      </c>
      <c r="U173" s="38" t="s">
        <v>500</v>
      </c>
      <c r="V173" s="36" t="s">
        <v>2059</v>
      </c>
      <c r="W173" s="37" t="s">
        <v>771</v>
      </c>
      <c r="X173" s="41" t="s">
        <v>2060</v>
      </c>
      <c r="Y173" s="37" t="s">
        <v>36</v>
      </c>
      <c r="Z173" s="36">
        <v>0</v>
      </c>
      <c r="AA173" s="36" t="s">
        <v>2185</v>
      </c>
      <c r="AB173" s="37" t="s">
        <v>2187</v>
      </c>
      <c r="AC173" s="36" t="s">
        <v>2187</v>
      </c>
      <c r="AD173" s="37" t="s">
        <v>2214</v>
      </c>
      <c r="AE173" s="37" t="s">
        <v>2212</v>
      </c>
      <c r="AF173" s="37" t="s">
        <v>2187</v>
      </c>
      <c r="AG173" s="27">
        <v>1</v>
      </c>
      <c r="AH173" s="28">
        <v>1</v>
      </c>
      <c r="AI173" s="29">
        <v>1</v>
      </c>
      <c r="AJ173" s="30">
        <v>1</v>
      </c>
      <c r="AK173" s="46">
        <v>30400000</v>
      </c>
      <c r="AL173" s="47">
        <v>66258189</v>
      </c>
      <c r="AM173" s="48">
        <v>68809129</v>
      </c>
      <c r="AN173" s="49">
        <v>71458281</v>
      </c>
      <c r="AO173" s="50">
        <v>236925599</v>
      </c>
      <c r="AP173" s="37" t="s">
        <v>939</v>
      </c>
    </row>
    <row r="174" spans="1:44" customFormat="1" ht="63.75" x14ac:dyDescent="0.25">
      <c r="A174" s="36">
        <v>173</v>
      </c>
      <c r="B174" s="37" t="s">
        <v>224</v>
      </c>
      <c r="C174" s="37" t="s">
        <v>291</v>
      </c>
      <c r="D174" s="38" t="s">
        <v>2386</v>
      </c>
      <c r="E174" s="37" t="s">
        <v>935</v>
      </c>
      <c r="F174" s="37" t="s">
        <v>936</v>
      </c>
      <c r="G174" s="40">
        <v>2.5999999999999999E-2</v>
      </c>
      <c r="H174" s="36">
        <v>2023</v>
      </c>
      <c r="I174" s="37" t="s">
        <v>937</v>
      </c>
      <c r="J174" s="38" t="s">
        <v>938</v>
      </c>
      <c r="K174" s="37" t="s">
        <v>25</v>
      </c>
      <c r="L174" s="37" t="s">
        <v>183</v>
      </c>
      <c r="M174" s="37" t="s">
        <v>2013</v>
      </c>
      <c r="N174" s="36" t="s">
        <v>785</v>
      </c>
      <c r="O174" s="37" t="s">
        <v>786</v>
      </c>
      <c r="P174" s="36" t="s">
        <v>941</v>
      </c>
      <c r="Q174" s="37" t="s">
        <v>942</v>
      </c>
      <c r="R174" s="36" t="s">
        <v>2061</v>
      </c>
      <c r="S174" s="37" t="s">
        <v>1543</v>
      </c>
      <c r="T174" s="38" t="s">
        <v>2368</v>
      </c>
      <c r="U174" s="38" t="s">
        <v>500</v>
      </c>
      <c r="V174" s="36" t="s">
        <v>2062</v>
      </c>
      <c r="W174" s="37" t="s">
        <v>1546</v>
      </c>
      <c r="X174" s="41" t="s">
        <v>2063</v>
      </c>
      <c r="Y174" s="37" t="s">
        <v>36</v>
      </c>
      <c r="Z174" s="36">
        <v>0</v>
      </c>
      <c r="AA174" s="36" t="s">
        <v>2185</v>
      </c>
      <c r="AB174" s="37" t="s">
        <v>2187</v>
      </c>
      <c r="AC174" s="36" t="s">
        <v>2187</v>
      </c>
      <c r="AD174" s="37" t="s">
        <v>2214</v>
      </c>
      <c r="AE174" s="37" t="s">
        <v>2212</v>
      </c>
      <c r="AF174" s="37" t="s">
        <v>2187</v>
      </c>
      <c r="AG174" s="27">
        <v>1</v>
      </c>
      <c r="AH174" s="28">
        <v>1</v>
      </c>
      <c r="AI174" s="29">
        <v>1</v>
      </c>
      <c r="AJ174" s="30">
        <v>1</v>
      </c>
      <c r="AK174" s="46">
        <v>30400000</v>
      </c>
      <c r="AL174" s="47">
        <v>32184480</v>
      </c>
      <c r="AM174" s="48">
        <v>33423582</v>
      </c>
      <c r="AN174" s="49">
        <v>34710390</v>
      </c>
      <c r="AO174" s="50">
        <v>130718452</v>
      </c>
      <c r="AP174" s="37" t="s">
        <v>939</v>
      </c>
    </row>
    <row r="175" spans="1:44" customFormat="1" ht="63.75" x14ac:dyDescent="0.25">
      <c r="A175" s="36">
        <v>174</v>
      </c>
      <c r="B175" s="37" t="s">
        <v>224</v>
      </c>
      <c r="C175" s="37" t="s">
        <v>291</v>
      </c>
      <c r="D175" s="38" t="s">
        <v>2386</v>
      </c>
      <c r="E175" s="37" t="s">
        <v>935</v>
      </c>
      <c r="F175" s="37" t="s">
        <v>936</v>
      </c>
      <c r="G175" s="40">
        <v>2.5999999999999999E-2</v>
      </c>
      <c r="H175" s="36">
        <v>2023</v>
      </c>
      <c r="I175" s="37" t="s">
        <v>937</v>
      </c>
      <c r="J175" s="38" t="s">
        <v>938</v>
      </c>
      <c r="K175" s="37" t="s">
        <v>25</v>
      </c>
      <c r="L175" s="37" t="s">
        <v>183</v>
      </c>
      <c r="M175" s="37" t="s">
        <v>2013</v>
      </c>
      <c r="N175" s="36">
        <v>45</v>
      </c>
      <c r="O175" s="37" t="s">
        <v>786</v>
      </c>
      <c r="P175" s="36" t="s">
        <v>941</v>
      </c>
      <c r="Q175" s="37" t="s">
        <v>942</v>
      </c>
      <c r="R175" s="36" t="s">
        <v>974</v>
      </c>
      <c r="S175" s="37" t="s">
        <v>975</v>
      </c>
      <c r="T175" s="38" t="s">
        <v>976</v>
      </c>
      <c r="U175" s="37" t="s">
        <v>203</v>
      </c>
      <c r="V175" s="36">
        <v>450302800</v>
      </c>
      <c r="W175" s="37" t="s">
        <v>977</v>
      </c>
      <c r="X175" s="41" t="s">
        <v>978</v>
      </c>
      <c r="Y175" s="37" t="s">
        <v>36</v>
      </c>
      <c r="Z175" s="36">
        <v>0</v>
      </c>
      <c r="AA175" s="36" t="s">
        <v>2185</v>
      </c>
      <c r="AB175" s="37" t="s">
        <v>2215</v>
      </c>
      <c r="AC175" s="36" t="s">
        <v>2187</v>
      </c>
      <c r="AD175" s="37" t="s">
        <v>2216</v>
      </c>
      <c r="AE175" s="37" t="s">
        <v>2217</v>
      </c>
      <c r="AF175" s="37" t="s">
        <v>2187</v>
      </c>
      <c r="AG175" s="27">
        <v>2500</v>
      </c>
      <c r="AH175" s="28">
        <v>2500</v>
      </c>
      <c r="AI175" s="29">
        <v>2500</v>
      </c>
      <c r="AJ175" s="30">
        <v>2500</v>
      </c>
      <c r="AK175" s="46">
        <v>689600000</v>
      </c>
      <c r="AL175" s="47">
        <v>724979521</v>
      </c>
      <c r="AM175" s="48">
        <v>752891233</v>
      </c>
      <c r="AN175" s="49">
        <v>781877545</v>
      </c>
      <c r="AO175" s="50">
        <v>2949348299</v>
      </c>
      <c r="AP175" s="37" t="s">
        <v>939</v>
      </c>
    </row>
    <row r="176" spans="1:44" customFormat="1" ht="63.75" x14ac:dyDescent="0.25">
      <c r="A176" s="36">
        <v>175</v>
      </c>
      <c r="B176" s="37" t="s">
        <v>224</v>
      </c>
      <c r="C176" s="37" t="s">
        <v>291</v>
      </c>
      <c r="D176" s="38" t="s">
        <v>2386</v>
      </c>
      <c r="E176" s="37" t="s">
        <v>891</v>
      </c>
      <c r="F176" s="37" t="s">
        <v>892</v>
      </c>
      <c r="G176" s="40" t="s">
        <v>893</v>
      </c>
      <c r="H176" s="62">
        <v>2018</v>
      </c>
      <c r="I176" s="37" t="s">
        <v>894</v>
      </c>
      <c r="J176" s="38" t="s">
        <v>895</v>
      </c>
      <c r="K176" s="37" t="s">
        <v>25</v>
      </c>
      <c r="L176" s="37" t="s">
        <v>979</v>
      </c>
      <c r="M176" s="37" t="s">
        <v>678</v>
      </c>
      <c r="N176" s="36">
        <v>32</v>
      </c>
      <c r="O176" s="37" t="s">
        <v>854</v>
      </c>
      <c r="P176" s="36">
        <v>3206</v>
      </c>
      <c r="Q176" s="37" t="s">
        <v>898</v>
      </c>
      <c r="R176" s="36">
        <v>3206003</v>
      </c>
      <c r="S176" s="37" t="s">
        <v>980</v>
      </c>
      <c r="T176" s="38" t="s">
        <v>981</v>
      </c>
      <c r="U176" s="37" t="s">
        <v>982</v>
      </c>
      <c r="V176" s="36">
        <v>320600300</v>
      </c>
      <c r="W176" s="37" t="s">
        <v>983</v>
      </c>
      <c r="X176" s="41" t="s">
        <v>984</v>
      </c>
      <c r="Y176" s="37" t="s">
        <v>36</v>
      </c>
      <c r="Z176" s="36">
        <v>0</v>
      </c>
      <c r="AA176" s="36" t="s">
        <v>2185</v>
      </c>
      <c r="AB176" s="37" t="s">
        <v>2218</v>
      </c>
      <c r="AC176" s="36" t="s">
        <v>2187</v>
      </c>
      <c r="AD176" s="37" t="s">
        <v>985</v>
      </c>
      <c r="AE176" s="37" t="s">
        <v>2219</v>
      </c>
      <c r="AF176" s="37" t="s">
        <v>2187</v>
      </c>
      <c r="AG176" s="27">
        <v>1</v>
      </c>
      <c r="AH176" s="28">
        <v>1</v>
      </c>
      <c r="AI176" s="29">
        <v>1</v>
      </c>
      <c r="AJ176" s="30">
        <v>1</v>
      </c>
      <c r="AK176" s="46">
        <v>364000000</v>
      </c>
      <c r="AL176" s="47">
        <v>385366800</v>
      </c>
      <c r="AM176" s="48">
        <v>400203422</v>
      </c>
      <c r="AN176" s="49">
        <v>415611254</v>
      </c>
      <c r="AO176" s="50">
        <v>1565181476</v>
      </c>
      <c r="AP176" s="37" t="s">
        <v>939</v>
      </c>
    </row>
    <row r="177" spans="1:42" customFormat="1" ht="63.75" x14ac:dyDescent="0.25">
      <c r="A177" s="36">
        <v>176</v>
      </c>
      <c r="B177" s="37" t="s">
        <v>224</v>
      </c>
      <c r="C177" s="37" t="s">
        <v>291</v>
      </c>
      <c r="D177" s="38" t="s">
        <v>2386</v>
      </c>
      <c r="E177" s="37" t="s">
        <v>891</v>
      </c>
      <c r="F177" s="37" t="s">
        <v>892</v>
      </c>
      <c r="G177" s="40" t="s">
        <v>893</v>
      </c>
      <c r="H177" s="62">
        <v>2018</v>
      </c>
      <c r="I177" s="37" t="s">
        <v>894</v>
      </c>
      <c r="J177" s="38" t="s">
        <v>895</v>
      </c>
      <c r="K177" s="37" t="s">
        <v>25</v>
      </c>
      <c r="L177" s="37" t="s">
        <v>979</v>
      </c>
      <c r="M177" s="37" t="s">
        <v>678</v>
      </c>
      <c r="N177" s="36">
        <v>32</v>
      </c>
      <c r="O177" s="37" t="s">
        <v>854</v>
      </c>
      <c r="P177" s="36">
        <v>3206</v>
      </c>
      <c r="Q177" s="37" t="s">
        <v>898</v>
      </c>
      <c r="R177" s="36">
        <v>3206004</v>
      </c>
      <c r="S177" s="37" t="s">
        <v>899</v>
      </c>
      <c r="T177" s="38" t="s">
        <v>900</v>
      </c>
      <c r="U177" s="37" t="s">
        <v>986</v>
      </c>
      <c r="V177" s="36">
        <v>320600400</v>
      </c>
      <c r="W177" s="37" t="s">
        <v>902</v>
      </c>
      <c r="X177" s="41" t="s">
        <v>987</v>
      </c>
      <c r="Y177" s="37" t="s">
        <v>36</v>
      </c>
      <c r="Z177" s="36">
        <v>0</v>
      </c>
      <c r="AA177" s="36" t="s">
        <v>2185</v>
      </c>
      <c r="AB177" s="37" t="s">
        <v>2218</v>
      </c>
      <c r="AC177" s="36" t="s">
        <v>2187</v>
      </c>
      <c r="AD177" s="37" t="s">
        <v>985</v>
      </c>
      <c r="AE177" s="37" t="s">
        <v>2219</v>
      </c>
      <c r="AF177" s="37" t="s">
        <v>2187</v>
      </c>
      <c r="AG177" s="27">
        <v>21</v>
      </c>
      <c r="AH177" s="28">
        <v>21</v>
      </c>
      <c r="AI177" s="29">
        <v>21</v>
      </c>
      <c r="AJ177" s="30">
        <v>21</v>
      </c>
      <c r="AK177" s="46">
        <v>30400000</v>
      </c>
      <c r="AL177" s="47">
        <v>32184480</v>
      </c>
      <c r="AM177" s="48">
        <v>33423582</v>
      </c>
      <c r="AN177" s="49">
        <v>34710390</v>
      </c>
      <c r="AO177" s="50">
        <v>130718452</v>
      </c>
      <c r="AP177" s="37" t="s">
        <v>939</v>
      </c>
    </row>
    <row r="178" spans="1:42" customFormat="1" ht="63.75" x14ac:dyDescent="0.25">
      <c r="A178" s="36">
        <v>177</v>
      </c>
      <c r="B178" s="37" t="s">
        <v>224</v>
      </c>
      <c r="C178" s="37" t="s">
        <v>291</v>
      </c>
      <c r="D178" s="38" t="s">
        <v>2386</v>
      </c>
      <c r="E178" s="37" t="s">
        <v>891</v>
      </c>
      <c r="F178" s="37" t="s">
        <v>892</v>
      </c>
      <c r="G178" s="40" t="s">
        <v>893</v>
      </c>
      <c r="H178" s="62">
        <v>2018</v>
      </c>
      <c r="I178" s="37" t="s">
        <v>894</v>
      </c>
      <c r="J178" s="38" t="s">
        <v>895</v>
      </c>
      <c r="K178" s="37" t="s">
        <v>25</v>
      </c>
      <c r="L178" s="37" t="s">
        <v>979</v>
      </c>
      <c r="M178" s="37" t="s">
        <v>678</v>
      </c>
      <c r="N178" s="36">
        <v>32</v>
      </c>
      <c r="O178" s="37" t="s">
        <v>854</v>
      </c>
      <c r="P178" s="36">
        <v>3206</v>
      </c>
      <c r="Q178" s="37" t="s">
        <v>898</v>
      </c>
      <c r="R178" s="36">
        <v>3206008</v>
      </c>
      <c r="S178" s="37" t="s">
        <v>988</v>
      </c>
      <c r="T178" s="38" t="s">
        <v>989</v>
      </c>
      <c r="U178" s="37" t="s">
        <v>990</v>
      </c>
      <c r="V178" s="36">
        <v>320600800</v>
      </c>
      <c r="W178" s="37" t="s">
        <v>991</v>
      </c>
      <c r="X178" s="41" t="s">
        <v>992</v>
      </c>
      <c r="Y178" s="37" t="s">
        <v>36</v>
      </c>
      <c r="Z178" s="36">
        <v>0</v>
      </c>
      <c r="AA178" s="36" t="s">
        <v>2192</v>
      </c>
      <c r="AB178" s="37" t="s">
        <v>2218</v>
      </c>
      <c r="AC178" s="36" t="s">
        <v>2187</v>
      </c>
      <c r="AD178" s="37" t="s">
        <v>985</v>
      </c>
      <c r="AE178" s="37" t="s">
        <v>2219</v>
      </c>
      <c r="AF178" s="37" t="s">
        <v>2187</v>
      </c>
      <c r="AG178" s="27">
        <v>42</v>
      </c>
      <c r="AH178" s="28">
        <v>42</v>
      </c>
      <c r="AI178" s="29">
        <v>42</v>
      </c>
      <c r="AJ178" s="30">
        <v>42</v>
      </c>
      <c r="AK178" s="46">
        <v>30400000</v>
      </c>
      <c r="AL178" s="47">
        <v>32184480</v>
      </c>
      <c r="AM178" s="48">
        <v>33423582</v>
      </c>
      <c r="AN178" s="49">
        <v>34710390</v>
      </c>
      <c r="AO178" s="50">
        <v>130718452</v>
      </c>
      <c r="AP178" s="37" t="s">
        <v>939</v>
      </c>
    </row>
    <row r="179" spans="1:42" customFormat="1" ht="54.95" customHeight="1" x14ac:dyDescent="0.25">
      <c r="A179" s="36">
        <v>178</v>
      </c>
      <c r="B179" s="66" t="s">
        <v>630</v>
      </c>
      <c r="C179" s="66" t="s">
        <v>314</v>
      </c>
      <c r="D179" s="38" t="s">
        <v>2385</v>
      </c>
      <c r="E179" s="66" t="s">
        <v>993</v>
      </c>
      <c r="F179" s="66" t="s">
        <v>994</v>
      </c>
      <c r="G179" s="92">
        <v>0.29299999999999998</v>
      </c>
      <c r="H179" s="67">
        <v>2022</v>
      </c>
      <c r="I179" s="66" t="s">
        <v>995</v>
      </c>
      <c r="J179" s="68" t="s">
        <v>996</v>
      </c>
      <c r="K179" s="66" t="s">
        <v>25</v>
      </c>
      <c r="L179" s="66"/>
      <c r="M179" s="69" t="s">
        <v>997</v>
      </c>
      <c r="N179" s="93" t="s">
        <v>2427</v>
      </c>
      <c r="O179" s="94" t="s">
        <v>2428</v>
      </c>
      <c r="P179" s="169" t="s">
        <v>2429</v>
      </c>
      <c r="Q179" s="95" t="s">
        <v>2430</v>
      </c>
      <c r="R179" s="169" t="s">
        <v>2436</v>
      </c>
      <c r="S179" s="95" t="s">
        <v>768</v>
      </c>
      <c r="T179" s="95" t="s">
        <v>769</v>
      </c>
      <c r="U179" s="95" t="s">
        <v>2437</v>
      </c>
      <c r="V179" s="169" t="s">
        <v>2438</v>
      </c>
      <c r="W179" s="96" t="s">
        <v>771</v>
      </c>
      <c r="X179" s="69" t="s">
        <v>998</v>
      </c>
      <c r="Y179" s="66" t="s">
        <v>36</v>
      </c>
      <c r="Z179" s="36">
        <v>1</v>
      </c>
      <c r="AA179" s="36" t="s">
        <v>2185</v>
      </c>
      <c r="AB179" s="36" t="s">
        <v>2184</v>
      </c>
      <c r="AC179" s="37" t="s">
        <v>2187</v>
      </c>
      <c r="AD179" s="37" t="s">
        <v>999</v>
      </c>
      <c r="AE179" s="37" t="s">
        <v>2329</v>
      </c>
      <c r="AF179" s="36" t="s">
        <v>2187</v>
      </c>
      <c r="AG179" s="151">
        <v>0</v>
      </c>
      <c r="AH179" s="102">
        <v>1</v>
      </c>
      <c r="AI179" s="103">
        <v>0</v>
      </c>
      <c r="AJ179" s="104">
        <v>0</v>
      </c>
      <c r="AK179" s="46">
        <v>0</v>
      </c>
      <c r="AL179" s="47">
        <v>21174000</v>
      </c>
      <c r="AM179" s="48">
        <v>0</v>
      </c>
      <c r="AN179" s="49">
        <v>0</v>
      </c>
      <c r="AO179" s="50">
        <v>21174000</v>
      </c>
      <c r="AP179" s="66" t="s">
        <v>997</v>
      </c>
    </row>
    <row r="180" spans="1:42" customFormat="1" ht="54.95" customHeight="1" x14ac:dyDescent="0.25">
      <c r="A180" s="36">
        <v>179</v>
      </c>
      <c r="B180" s="66" t="s">
        <v>630</v>
      </c>
      <c r="C180" s="66" t="s">
        <v>314</v>
      </c>
      <c r="D180" s="38" t="s">
        <v>2385</v>
      </c>
      <c r="E180" s="66" t="s">
        <v>993</v>
      </c>
      <c r="F180" s="66" t="s">
        <v>994</v>
      </c>
      <c r="G180" s="92">
        <v>0.29299999999999998</v>
      </c>
      <c r="H180" s="67">
        <v>2022</v>
      </c>
      <c r="I180" s="66" t="s">
        <v>995</v>
      </c>
      <c r="J180" s="68" t="s">
        <v>996</v>
      </c>
      <c r="K180" s="66" t="s">
        <v>25</v>
      </c>
      <c r="L180" s="66"/>
      <c r="M180" s="69" t="s">
        <v>997</v>
      </c>
      <c r="N180" s="93" t="s">
        <v>2427</v>
      </c>
      <c r="O180" s="94" t="s">
        <v>2428</v>
      </c>
      <c r="P180" s="169" t="s">
        <v>2439</v>
      </c>
      <c r="Q180" s="95" t="s">
        <v>2440</v>
      </c>
      <c r="R180" s="169" t="s">
        <v>2441</v>
      </c>
      <c r="S180" s="95" t="s">
        <v>1000</v>
      </c>
      <c r="T180" s="95" t="s">
        <v>2442</v>
      </c>
      <c r="U180" s="95" t="s">
        <v>2437</v>
      </c>
      <c r="V180" s="169" t="s">
        <v>2443</v>
      </c>
      <c r="W180" s="96" t="s">
        <v>829</v>
      </c>
      <c r="X180" s="69" t="s">
        <v>1001</v>
      </c>
      <c r="Y180" s="66" t="s">
        <v>36</v>
      </c>
      <c r="Z180" s="36">
        <v>0</v>
      </c>
      <c r="AA180" s="36" t="s">
        <v>2185</v>
      </c>
      <c r="AB180" s="36" t="s">
        <v>2184</v>
      </c>
      <c r="AC180" s="37" t="s">
        <v>2187</v>
      </c>
      <c r="AD180" s="37" t="s">
        <v>999</v>
      </c>
      <c r="AE180" s="37" t="s">
        <v>2329</v>
      </c>
      <c r="AF180" s="36" t="s">
        <v>2187</v>
      </c>
      <c r="AG180" s="151">
        <v>0</v>
      </c>
      <c r="AH180" s="102">
        <v>0</v>
      </c>
      <c r="AI180" s="103">
        <v>0.9</v>
      </c>
      <c r="AJ180" s="104">
        <v>0.1</v>
      </c>
      <c r="AK180" s="46">
        <v>0</v>
      </c>
      <c r="AL180" s="47">
        <v>0</v>
      </c>
      <c r="AM180" s="48">
        <v>313745680.5</v>
      </c>
      <c r="AN180" s="49">
        <v>57089457.899999999</v>
      </c>
      <c r="AO180" s="50">
        <v>370835138.39999998</v>
      </c>
      <c r="AP180" s="66" t="s">
        <v>997</v>
      </c>
    </row>
    <row r="181" spans="1:42" customFormat="1" ht="54.95" customHeight="1" x14ac:dyDescent="0.25">
      <c r="A181" s="36">
        <v>180</v>
      </c>
      <c r="B181" s="66" t="s">
        <v>630</v>
      </c>
      <c r="C181" s="66" t="s">
        <v>314</v>
      </c>
      <c r="D181" s="38" t="s">
        <v>2385</v>
      </c>
      <c r="E181" s="66" t="s">
        <v>993</v>
      </c>
      <c r="F181" s="66" t="s">
        <v>994</v>
      </c>
      <c r="G181" s="92">
        <v>0.29299999999999998</v>
      </c>
      <c r="H181" s="67">
        <v>2022</v>
      </c>
      <c r="I181" s="66" t="s">
        <v>995</v>
      </c>
      <c r="J181" s="68" t="s">
        <v>996</v>
      </c>
      <c r="K181" s="66" t="s">
        <v>25</v>
      </c>
      <c r="L181" s="66"/>
      <c r="M181" s="69" t="s">
        <v>997</v>
      </c>
      <c r="N181" s="93" t="s">
        <v>2427</v>
      </c>
      <c r="O181" s="94" t="s">
        <v>2428</v>
      </c>
      <c r="P181" s="169" t="s">
        <v>2439</v>
      </c>
      <c r="Q181" s="95" t="s">
        <v>2440</v>
      </c>
      <c r="R181" s="169" t="s">
        <v>2444</v>
      </c>
      <c r="S181" s="95" t="s">
        <v>232</v>
      </c>
      <c r="T181" s="95" t="s">
        <v>2445</v>
      </c>
      <c r="U181" s="95" t="s">
        <v>1414</v>
      </c>
      <c r="V181" s="169" t="s">
        <v>2446</v>
      </c>
      <c r="W181" s="96" t="s">
        <v>235</v>
      </c>
      <c r="X181" s="69" t="s">
        <v>1002</v>
      </c>
      <c r="Y181" s="66" t="s">
        <v>36</v>
      </c>
      <c r="Z181" s="36">
        <v>16</v>
      </c>
      <c r="AA181" s="36" t="s">
        <v>2192</v>
      </c>
      <c r="AB181" s="36" t="s">
        <v>2184</v>
      </c>
      <c r="AC181" s="37" t="s">
        <v>2187</v>
      </c>
      <c r="AD181" s="37" t="s">
        <v>999</v>
      </c>
      <c r="AE181" s="37" t="s">
        <v>2329</v>
      </c>
      <c r="AF181" s="36" t="s">
        <v>2187</v>
      </c>
      <c r="AG181" s="97">
        <v>12</v>
      </c>
      <c r="AH181" s="98">
        <v>12</v>
      </c>
      <c r="AI181" s="99">
        <v>12</v>
      </c>
      <c r="AJ181" s="100">
        <v>12</v>
      </c>
      <c r="AK181" s="46">
        <v>54117400</v>
      </c>
      <c r="AL181" s="47">
        <v>57294091.380000003</v>
      </c>
      <c r="AM181" s="48">
        <v>59499913.899999999</v>
      </c>
      <c r="AN181" s="49">
        <v>61790660.579999998</v>
      </c>
      <c r="AO181" s="50">
        <v>232702065.86000001</v>
      </c>
      <c r="AP181" s="66" t="s">
        <v>997</v>
      </c>
    </row>
    <row r="182" spans="1:42" customFormat="1" ht="54.95" customHeight="1" x14ac:dyDescent="0.25">
      <c r="A182" s="36">
        <v>181</v>
      </c>
      <c r="B182" s="66" t="s">
        <v>630</v>
      </c>
      <c r="C182" s="66" t="s">
        <v>314</v>
      </c>
      <c r="D182" s="38" t="s">
        <v>2385</v>
      </c>
      <c r="E182" s="66" t="s">
        <v>993</v>
      </c>
      <c r="F182" s="66" t="s">
        <v>994</v>
      </c>
      <c r="G182" s="92">
        <v>0.29299999999999998</v>
      </c>
      <c r="H182" s="67">
        <v>2022</v>
      </c>
      <c r="I182" s="66" t="s">
        <v>995</v>
      </c>
      <c r="J182" s="68" t="s">
        <v>996</v>
      </c>
      <c r="K182" s="66" t="s">
        <v>25</v>
      </c>
      <c r="L182" s="66"/>
      <c r="M182" s="69" t="s">
        <v>997</v>
      </c>
      <c r="N182" s="93" t="s">
        <v>2427</v>
      </c>
      <c r="O182" s="94" t="s">
        <v>2428</v>
      </c>
      <c r="P182" s="169" t="s">
        <v>2439</v>
      </c>
      <c r="Q182" s="95" t="s">
        <v>2440</v>
      </c>
      <c r="R182" s="169" t="s">
        <v>2447</v>
      </c>
      <c r="S182" s="95" t="s">
        <v>2448</v>
      </c>
      <c r="T182" s="95" t="s">
        <v>2449</v>
      </c>
      <c r="U182" s="95" t="s">
        <v>2450</v>
      </c>
      <c r="V182" s="169" t="s">
        <v>2451</v>
      </c>
      <c r="W182" s="96" t="s">
        <v>2452</v>
      </c>
      <c r="X182" s="69" t="s">
        <v>1003</v>
      </c>
      <c r="Y182" s="66" t="s">
        <v>36</v>
      </c>
      <c r="Z182" s="36">
        <v>0</v>
      </c>
      <c r="AA182" s="36" t="s">
        <v>2185</v>
      </c>
      <c r="AB182" s="36" t="s">
        <v>2184</v>
      </c>
      <c r="AC182" s="37" t="s">
        <v>2187</v>
      </c>
      <c r="AD182" s="37" t="s">
        <v>999</v>
      </c>
      <c r="AE182" s="37" t="s">
        <v>2329</v>
      </c>
      <c r="AF182" s="36" t="s">
        <v>2187</v>
      </c>
      <c r="AG182" s="151">
        <v>0</v>
      </c>
      <c r="AH182" s="102">
        <v>0.5</v>
      </c>
      <c r="AI182" s="103">
        <v>0.5</v>
      </c>
      <c r="AJ182" s="104">
        <v>0</v>
      </c>
      <c r="AK182" s="46">
        <v>0</v>
      </c>
      <c r="AL182" s="47">
        <v>5293500</v>
      </c>
      <c r="AM182" s="48">
        <v>5708946</v>
      </c>
      <c r="AN182" s="49">
        <v>0</v>
      </c>
      <c r="AO182" s="50">
        <v>11002446</v>
      </c>
      <c r="AP182" s="66" t="s">
        <v>997</v>
      </c>
    </row>
    <row r="183" spans="1:42" customFormat="1" ht="54.95" customHeight="1" x14ac:dyDescent="0.25">
      <c r="A183" s="36">
        <v>182</v>
      </c>
      <c r="B183" s="66" t="s">
        <v>630</v>
      </c>
      <c r="C183" s="66" t="s">
        <v>314</v>
      </c>
      <c r="D183" s="38" t="s">
        <v>2385</v>
      </c>
      <c r="E183" s="66" t="s">
        <v>993</v>
      </c>
      <c r="F183" s="66" t="s">
        <v>994</v>
      </c>
      <c r="G183" s="92">
        <v>0.29299999999999998</v>
      </c>
      <c r="H183" s="67">
        <v>2022</v>
      </c>
      <c r="I183" s="66" t="s">
        <v>995</v>
      </c>
      <c r="J183" s="68" t="s">
        <v>996</v>
      </c>
      <c r="K183" s="66" t="s">
        <v>25</v>
      </c>
      <c r="L183" s="66"/>
      <c r="M183" s="69" t="s">
        <v>997</v>
      </c>
      <c r="N183" s="93" t="s">
        <v>2427</v>
      </c>
      <c r="O183" s="94" t="s">
        <v>2428</v>
      </c>
      <c r="P183" s="169" t="s">
        <v>2429</v>
      </c>
      <c r="Q183" s="95" t="s">
        <v>2430</v>
      </c>
      <c r="R183" s="169" t="s">
        <v>2453</v>
      </c>
      <c r="S183" s="95" t="s">
        <v>2454</v>
      </c>
      <c r="T183" s="95" t="s">
        <v>2455</v>
      </c>
      <c r="U183" s="95" t="s">
        <v>369</v>
      </c>
      <c r="V183" s="169" t="s">
        <v>2456</v>
      </c>
      <c r="W183" s="96" t="s">
        <v>2457</v>
      </c>
      <c r="X183" s="69" t="s">
        <v>1004</v>
      </c>
      <c r="Y183" s="66" t="s">
        <v>36</v>
      </c>
      <c r="Z183" s="36">
        <v>0</v>
      </c>
      <c r="AA183" s="36" t="s">
        <v>2185</v>
      </c>
      <c r="AB183" s="36" t="s">
        <v>2184</v>
      </c>
      <c r="AC183" s="37" t="s">
        <v>2187</v>
      </c>
      <c r="AD183" s="37" t="s">
        <v>999</v>
      </c>
      <c r="AE183" s="37" t="s">
        <v>2329</v>
      </c>
      <c r="AF183" s="36" t="s">
        <v>2187</v>
      </c>
      <c r="AG183" s="97">
        <v>1</v>
      </c>
      <c r="AH183" s="98">
        <v>1</v>
      </c>
      <c r="AI183" s="99">
        <v>1</v>
      </c>
      <c r="AJ183" s="100">
        <v>1</v>
      </c>
      <c r="AK183" s="46">
        <v>64000000</v>
      </c>
      <c r="AL183" s="47">
        <v>67756800</v>
      </c>
      <c r="AM183" s="48">
        <v>70365436.799999997</v>
      </c>
      <c r="AN183" s="49">
        <v>73074506.120000005</v>
      </c>
      <c r="AO183" s="50">
        <v>275196742.92000002</v>
      </c>
      <c r="AP183" s="66" t="s">
        <v>997</v>
      </c>
    </row>
    <row r="184" spans="1:42" customFormat="1" ht="54.95" customHeight="1" x14ac:dyDescent="0.25">
      <c r="A184" s="36">
        <v>183</v>
      </c>
      <c r="B184" s="66" t="s">
        <v>630</v>
      </c>
      <c r="C184" s="66" t="s">
        <v>314</v>
      </c>
      <c r="D184" s="38" t="s">
        <v>2385</v>
      </c>
      <c r="E184" s="66" t="s">
        <v>993</v>
      </c>
      <c r="F184" s="66" t="s">
        <v>994</v>
      </c>
      <c r="G184" s="92">
        <v>0.29299999999999998</v>
      </c>
      <c r="H184" s="67">
        <v>2022</v>
      </c>
      <c r="I184" s="66" t="s">
        <v>995</v>
      </c>
      <c r="J184" s="68" t="s">
        <v>996</v>
      </c>
      <c r="K184" s="66" t="s">
        <v>25</v>
      </c>
      <c r="L184" s="66"/>
      <c r="M184" s="69" t="s">
        <v>997</v>
      </c>
      <c r="N184" s="93" t="s">
        <v>2427</v>
      </c>
      <c r="O184" s="94" t="s">
        <v>2428</v>
      </c>
      <c r="P184" s="169" t="s">
        <v>2429</v>
      </c>
      <c r="Q184" s="95" t="s">
        <v>2430</v>
      </c>
      <c r="R184" s="169" t="s">
        <v>2458</v>
      </c>
      <c r="S184" s="95" t="s">
        <v>2459</v>
      </c>
      <c r="T184" s="96" t="s">
        <v>2460</v>
      </c>
      <c r="U184" s="91" t="s">
        <v>1009</v>
      </c>
      <c r="V184" s="93" t="s">
        <v>2461</v>
      </c>
      <c r="W184" s="91" t="s">
        <v>2462</v>
      </c>
      <c r="X184" s="69" t="s">
        <v>1005</v>
      </c>
      <c r="Y184" s="66" t="s">
        <v>36</v>
      </c>
      <c r="Z184" s="36">
        <v>2</v>
      </c>
      <c r="AA184" s="36" t="s">
        <v>2185</v>
      </c>
      <c r="AB184" s="36" t="s">
        <v>2184</v>
      </c>
      <c r="AC184" s="37" t="s">
        <v>2187</v>
      </c>
      <c r="AD184" s="37" t="s">
        <v>999</v>
      </c>
      <c r="AE184" s="37" t="s">
        <v>2329</v>
      </c>
      <c r="AF184" s="36" t="s">
        <v>2187</v>
      </c>
      <c r="AG184" s="101">
        <v>0.3</v>
      </c>
      <c r="AH184" s="102">
        <v>0.7</v>
      </c>
      <c r="AI184" s="103">
        <v>1</v>
      </c>
      <c r="AJ184" s="104">
        <v>1</v>
      </c>
      <c r="AK184" s="46">
        <v>20000000</v>
      </c>
      <c r="AL184" s="47">
        <v>21174000</v>
      </c>
      <c r="AM184" s="48">
        <v>21989199</v>
      </c>
      <c r="AN184" s="49">
        <v>22835783.16</v>
      </c>
      <c r="AO184" s="50">
        <v>85998982.159999996</v>
      </c>
      <c r="AP184" s="66" t="s">
        <v>997</v>
      </c>
    </row>
    <row r="185" spans="1:42" customFormat="1" ht="54.95" customHeight="1" x14ac:dyDescent="0.25">
      <c r="A185" s="36">
        <v>184</v>
      </c>
      <c r="B185" s="66" t="s">
        <v>630</v>
      </c>
      <c r="C185" s="66" t="s">
        <v>314</v>
      </c>
      <c r="D185" s="38" t="s">
        <v>2385</v>
      </c>
      <c r="E185" s="66" t="s">
        <v>993</v>
      </c>
      <c r="F185" s="66" t="s">
        <v>994</v>
      </c>
      <c r="G185" s="92">
        <v>0.29299999999999998</v>
      </c>
      <c r="H185" s="67">
        <v>2022</v>
      </c>
      <c r="I185" s="66" t="s">
        <v>995</v>
      </c>
      <c r="J185" s="68" t="s">
        <v>996</v>
      </c>
      <c r="K185" s="66" t="s">
        <v>25</v>
      </c>
      <c r="L185" s="66"/>
      <c r="M185" s="69" t="s">
        <v>997</v>
      </c>
      <c r="N185" s="67">
        <v>39</v>
      </c>
      <c r="O185" s="105" t="s">
        <v>1890</v>
      </c>
      <c r="P185" s="67">
        <v>3906</v>
      </c>
      <c r="Q185" s="66" t="s">
        <v>1006</v>
      </c>
      <c r="R185" s="67">
        <v>3906006</v>
      </c>
      <c r="S185" s="66" t="s">
        <v>1007</v>
      </c>
      <c r="T185" s="68" t="s">
        <v>1008</v>
      </c>
      <c r="U185" s="66" t="s">
        <v>1009</v>
      </c>
      <c r="V185" s="67">
        <v>390600600</v>
      </c>
      <c r="W185" s="66" t="s">
        <v>1010</v>
      </c>
      <c r="X185" s="106" t="s">
        <v>1011</v>
      </c>
      <c r="Y185" s="66" t="s">
        <v>36</v>
      </c>
      <c r="Z185" s="36">
        <v>0</v>
      </c>
      <c r="AA185" s="36" t="s">
        <v>2185</v>
      </c>
      <c r="AB185" s="36" t="s">
        <v>2184</v>
      </c>
      <c r="AC185" s="37" t="s">
        <v>2187</v>
      </c>
      <c r="AD185" s="37" t="s">
        <v>999</v>
      </c>
      <c r="AE185" s="37" t="s">
        <v>2329</v>
      </c>
      <c r="AF185" s="36" t="s">
        <v>2187</v>
      </c>
      <c r="AG185" s="151">
        <v>0</v>
      </c>
      <c r="AH185" s="102">
        <v>0.3</v>
      </c>
      <c r="AI185" s="103">
        <v>0.4</v>
      </c>
      <c r="AJ185" s="104">
        <v>0.3</v>
      </c>
      <c r="AK185" s="46">
        <v>0</v>
      </c>
      <c r="AL185" s="47">
        <v>52935000</v>
      </c>
      <c r="AM185" s="48">
        <v>54972997.5</v>
      </c>
      <c r="AN185" s="49">
        <v>57089457.899999999</v>
      </c>
      <c r="AO185" s="50">
        <v>164997455.40000001</v>
      </c>
      <c r="AP185" s="66" t="s">
        <v>997</v>
      </c>
    </row>
    <row r="186" spans="1:42" customFormat="1" ht="54.95" customHeight="1" x14ac:dyDescent="0.25">
      <c r="A186" s="36">
        <v>185</v>
      </c>
      <c r="B186" s="66" t="s">
        <v>630</v>
      </c>
      <c r="C186" s="66" t="s">
        <v>314</v>
      </c>
      <c r="D186" s="38" t="s">
        <v>2385</v>
      </c>
      <c r="E186" s="66" t="s">
        <v>993</v>
      </c>
      <c r="F186" s="66" t="s">
        <v>994</v>
      </c>
      <c r="G186" s="92">
        <v>0.29299999999999998</v>
      </c>
      <c r="H186" s="67">
        <v>2022</v>
      </c>
      <c r="I186" s="66" t="s">
        <v>995</v>
      </c>
      <c r="J186" s="68" t="s">
        <v>996</v>
      </c>
      <c r="K186" s="66" t="s">
        <v>25</v>
      </c>
      <c r="L186" s="66"/>
      <c r="M186" s="69" t="s">
        <v>997</v>
      </c>
      <c r="N186" s="93" t="s">
        <v>2427</v>
      </c>
      <c r="O186" s="107" t="s">
        <v>2428</v>
      </c>
      <c r="P186" s="93" t="s">
        <v>2429</v>
      </c>
      <c r="Q186" s="91" t="s">
        <v>2430</v>
      </c>
      <c r="R186" s="93" t="s">
        <v>2463</v>
      </c>
      <c r="S186" s="91" t="s">
        <v>2464</v>
      </c>
      <c r="T186" s="108" t="s">
        <v>2465</v>
      </c>
      <c r="U186" s="91" t="s">
        <v>324</v>
      </c>
      <c r="V186" s="93" t="s">
        <v>2466</v>
      </c>
      <c r="W186" s="91" t="s">
        <v>2467</v>
      </c>
      <c r="X186" s="69" t="s">
        <v>1012</v>
      </c>
      <c r="Y186" s="66" t="s">
        <v>36</v>
      </c>
      <c r="Z186" s="36">
        <v>0</v>
      </c>
      <c r="AA186" s="36" t="s">
        <v>2192</v>
      </c>
      <c r="AB186" s="36" t="s">
        <v>2184</v>
      </c>
      <c r="AC186" s="37" t="s">
        <v>2187</v>
      </c>
      <c r="AD186" s="37" t="s">
        <v>999</v>
      </c>
      <c r="AE186" s="37" t="s">
        <v>2329</v>
      </c>
      <c r="AF186" s="36" t="s">
        <v>2187</v>
      </c>
      <c r="AG186" s="97">
        <v>8</v>
      </c>
      <c r="AH186" s="98">
        <v>8</v>
      </c>
      <c r="AI186" s="99">
        <v>8</v>
      </c>
      <c r="AJ186" s="100">
        <v>8</v>
      </c>
      <c r="AK186" s="46">
        <v>50000000</v>
      </c>
      <c r="AL186" s="47">
        <v>52935000</v>
      </c>
      <c r="AM186" s="48">
        <v>54972997.5</v>
      </c>
      <c r="AN186" s="49">
        <v>57089457.899999999</v>
      </c>
      <c r="AO186" s="50">
        <v>214997455.40000001</v>
      </c>
      <c r="AP186" s="66" t="s">
        <v>997</v>
      </c>
    </row>
    <row r="187" spans="1:42" customFormat="1" ht="54.95" customHeight="1" x14ac:dyDescent="0.25">
      <c r="A187" s="36">
        <v>186</v>
      </c>
      <c r="B187" s="66" t="s">
        <v>630</v>
      </c>
      <c r="C187" s="66" t="s">
        <v>314</v>
      </c>
      <c r="D187" s="38" t="s">
        <v>2385</v>
      </c>
      <c r="E187" s="66" t="s">
        <v>993</v>
      </c>
      <c r="F187" s="66" t="s">
        <v>994</v>
      </c>
      <c r="G187" s="92">
        <v>0.29299999999999998</v>
      </c>
      <c r="H187" s="67">
        <v>2022</v>
      </c>
      <c r="I187" s="66" t="s">
        <v>995</v>
      </c>
      <c r="J187" s="68" t="s">
        <v>996</v>
      </c>
      <c r="K187" s="66" t="s">
        <v>25</v>
      </c>
      <c r="L187" s="66"/>
      <c r="M187" s="69" t="s">
        <v>997</v>
      </c>
      <c r="N187" s="93" t="s">
        <v>2427</v>
      </c>
      <c r="O187" s="94" t="s">
        <v>2428</v>
      </c>
      <c r="P187" s="169" t="s">
        <v>2429</v>
      </c>
      <c r="Q187" s="95" t="s">
        <v>2430</v>
      </c>
      <c r="R187" s="169" t="s">
        <v>2431</v>
      </c>
      <c r="S187" s="95" t="s">
        <v>2432</v>
      </c>
      <c r="T187" s="95" t="s">
        <v>2433</v>
      </c>
      <c r="U187" s="95" t="s">
        <v>1009</v>
      </c>
      <c r="V187" s="169" t="s">
        <v>2434</v>
      </c>
      <c r="W187" s="95" t="s">
        <v>1010</v>
      </c>
      <c r="X187" s="69" t="s">
        <v>1013</v>
      </c>
      <c r="Y187" s="66" t="s">
        <v>36</v>
      </c>
      <c r="Z187" s="36">
        <v>0</v>
      </c>
      <c r="AA187" s="36" t="s">
        <v>2185</v>
      </c>
      <c r="AB187" s="36" t="s">
        <v>2184</v>
      </c>
      <c r="AC187" s="37" t="s">
        <v>2187</v>
      </c>
      <c r="AD187" s="37" t="s">
        <v>999</v>
      </c>
      <c r="AE187" s="37" t="s">
        <v>2329</v>
      </c>
      <c r="AF187" s="36" t="s">
        <v>2187</v>
      </c>
      <c r="AG187" s="101">
        <v>0.3</v>
      </c>
      <c r="AH187" s="102">
        <v>0.7</v>
      </c>
      <c r="AI187" s="103">
        <v>1</v>
      </c>
      <c r="AJ187" s="104">
        <v>1</v>
      </c>
      <c r="AK187" s="46">
        <v>40000000</v>
      </c>
      <c r="AL187" s="47">
        <v>42348000</v>
      </c>
      <c r="AM187" s="48">
        <v>43978398</v>
      </c>
      <c r="AN187" s="49">
        <v>45671566.32</v>
      </c>
      <c r="AO187" s="50">
        <v>171997964.31999999</v>
      </c>
      <c r="AP187" s="66" t="s">
        <v>997</v>
      </c>
    </row>
    <row r="188" spans="1:42" customFormat="1" ht="89.25" x14ac:dyDescent="0.25">
      <c r="A188" s="36">
        <v>187</v>
      </c>
      <c r="B188" s="66" t="s">
        <v>630</v>
      </c>
      <c r="C188" s="66" t="s">
        <v>314</v>
      </c>
      <c r="D188" s="38" t="s">
        <v>2385</v>
      </c>
      <c r="E188" s="66" t="s">
        <v>315</v>
      </c>
      <c r="F188" s="66" t="s">
        <v>316</v>
      </c>
      <c r="G188" s="92">
        <v>3.6999999999999998E-2</v>
      </c>
      <c r="H188" s="67">
        <v>2023</v>
      </c>
      <c r="I188" s="66" t="s">
        <v>317</v>
      </c>
      <c r="J188" s="68" t="s">
        <v>1014</v>
      </c>
      <c r="K188" s="66" t="s">
        <v>25</v>
      </c>
      <c r="L188" s="66"/>
      <c r="M188" s="69" t="s">
        <v>997</v>
      </c>
      <c r="N188" s="67">
        <v>35</v>
      </c>
      <c r="O188" s="66" t="s">
        <v>319</v>
      </c>
      <c r="P188" s="67">
        <v>3502</v>
      </c>
      <c r="Q188" s="66" t="s">
        <v>320</v>
      </c>
      <c r="R188" s="67">
        <v>3502017</v>
      </c>
      <c r="S188" s="66" t="s">
        <v>1015</v>
      </c>
      <c r="T188" s="68" t="s">
        <v>1016</v>
      </c>
      <c r="U188" s="66" t="s">
        <v>203</v>
      </c>
      <c r="V188" s="67">
        <v>350201700</v>
      </c>
      <c r="W188" s="66" t="s">
        <v>1017</v>
      </c>
      <c r="X188" s="69" t="s">
        <v>1018</v>
      </c>
      <c r="Y188" s="66" t="s">
        <v>36</v>
      </c>
      <c r="Z188" s="36">
        <v>7</v>
      </c>
      <c r="AA188" s="36" t="s">
        <v>2185</v>
      </c>
      <c r="AB188" s="36" t="s">
        <v>2330</v>
      </c>
      <c r="AC188" s="36" t="s">
        <v>2331</v>
      </c>
      <c r="AD188" s="37" t="s">
        <v>263</v>
      </c>
      <c r="AE188" s="37" t="s">
        <v>2329</v>
      </c>
      <c r="AF188" s="36" t="s">
        <v>2187</v>
      </c>
      <c r="AG188" s="151">
        <v>0</v>
      </c>
      <c r="AH188" s="102">
        <v>3</v>
      </c>
      <c r="AI188" s="103">
        <v>3</v>
      </c>
      <c r="AJ188" s="104">
        <v>4</v>
      </c>
      <c r="AK188" s="46">
        <v>0</v>
      </c>
      <c r="AL188" s="47">
        <v>100000000</v>
      </c>
      <c r="AM188" s="48">
        <v>103850000</v>
      </c>
      <c r="AN188" s="49">
        <v>107848225</v>
      </c>
      <c r="AO188" s="50">
        <v>311698225</v>
      </c>
      <c r="AP188" s="66" t="s">
        <v>997</v>
      </c>
    </row>
    <row r="189" spans="1:42" customFormat="1" ht="89.25" x14ac:dyDescent="0.25">
      <c r="A189" s="36">
        <v>188</v>
      </c>
      <c r="B189" s="66" t="s">
        <v>630</v>
      </c>
      <c r="C189" s="66" t="s">
        <v>314</v>
      </c>
      <c r="D189" s="38" t="s">
        <v>2385</v>
      </c>
      <c r="E189" s="66" t="s">
        <v>315</v>
      </c>
      <c r="F189" s="66" t="s">
        <v>316</v>
      </c>
      <c r="G189" s="92">
        <v>3.6999999999999998E-2</v>
      </c>
      <c r="H189" s="67">
        <v>2023</v>
      </c>
      <c r="I189" s="66" t="s">
        <v>317</v>
      </c>
      <c r="J189" s="68" t="s">
        <v>1014</v>
      </c>
      <c r="K189" s="67" t="s">
        <v>25</v>
      </c>
      <c r="L189" s="66" t="s">
        <v>679</v>
      </c>
      <c r="M189" s="69" t="s">
        <v>997</v>
      </c>
      <c r="N189" s="67">
        <v>41</v>
      </c>
      <c r="O189" s="37" t="s">
        <v>2112</v>
      </c>
      <c r="P189" s="67">
        <v>4103</v>
      </c>
      <c r="Q189" s="66" t="s">
        <v>830</v>
      </c>
      <c r="R189" s="67">
        <v>4103059</v>
      </c>
      <c r="S189" s="66" t="s">
        <v>1019</v>
      </c>
      <c r="T189" s="68" t="s">
        <v>1020</v>
      </c>
      <c r="U189" s="66" t="s">
        <v>834</v>
      </c>
      <c r="V189" s="67">
        <v>410305900</v>
      </c>
      <c r="W189" s="66" t="s">
        <v>1021</v>
      </c>
      <c r="X189" s="106" t="s">
        <v>1022</v>
      </c>
      <c r="Y189" s="67" t="s">
        <v>36</v>
      </c>
      <c r="Z189" s="36">
        <v>6</v>
      </c>
      <c r="AA189" s="36" t="s">
        <v>2185</v>
      </c>
      <c r="AB189" s="36" t="s">
        <v>2332</v>
      </c>
      <c r="AC189" s="36"/>
      <c r="AD189" s="37" t="s">
        <v>2333</v>
      </c>
      <c r="AE189" s="37" t="s">
        <v>2329</v>
      </c>
      <c r="AF189" s="36" t="s">
        <v>2191</v>
      </c>
      <c r="AG189" s="97">
        <v>4</v>
      </c>
      <c r="AH189" s="98">
        <v>3</v>
      </c>
      <c r="AI189" s="99">
        <v>3</v>
      </c>
      <c r="AJ189" s="100">
        <v>2</v>
      </c>
      <c r="AK189" s="46">
        <v>30000000</v>
      </c>
      <c r="AL189" s="47">
        <v>93465000</v>
      </c>
      <c r="AM189" s="48">
        <v>98322064.5</v>
      </c>
      <c r="AN189" s="49">
        <v>102107463.98</v>
      </c>
      <c r="AO189" s="50">
        <v>323894528.48000002</v>
      </c>
      <c r="AP189" s="66" t="s">
        <v>997</v>
      </c>
    </row>
    <row r="190" spans="1:42" customFormat="1" ht="102" customHeight="1" x14ac:dyDescent="0.25">
      <c r="A190" s="36">
        <v>189</v>
      </c>
      <c r="B190" s="66" t="s">
        <v>630</v>
      </c>
      <c r="C190" s="66" t="s">
        <v>314</v>
      </c>
      <c r="D190" s="38" t="s">
        <v>2385</v>
      </c>
      <c r="E190" s="66" t="s">
        <v>315</v>
      </c>
      <c r="F190" s="66" t="s">
        <v>316</v>
      </c>
      <c r="G190" s="92">
        <v>3.6999999999999998E-2</v>
      </c>
      <c r="H190" s="67">
        <v>2023</v>
      </c>
      <c r="I190" s="66" t="s">
        <v>317</v>
      </c>
      <c r="J190" s="68" t="s">
        <v>1014</v>
      </c>
      <c r="K190" s="67" t="s">
        <v>25</v>
      </c>
      <c r="L190" s="66" t="s">
        <v>679</v>
      </c>
      <c r="M190" s="69" t="s">
        <v>997</v>
      </c>
      <c r="N190" s="67">
        <v>36</v>
      </c>
      <c r="O190" s="37" t="s">
        <v>1023</v>
      </c>
      <c r="P190" s="67">
        <v>3602</v>
      </c>
      <c r="Q190" s="66" t="s">
        <v>1024</v>
      </c>
      <c r="R190" s="67">
        <v>3602032</v>
      </c>
      <c r="S190" s="66" t="s">
        <v>1025</v>
      </c>
      <c r="T190" s="68" t="s">
        <v>1026</v>
      </c>
      <c r="U190" s="66" t="s">
        <v>1027</v>
      </c>
      <c r="V190" s="67">
        <v>360203200</v>
      </c>
      <c r="W190" s="66" t="s">
        <v>1028</v>
      </c>
      <c r="X190" s="69" t="s">
        <v>1029</v>
      </c>
      <c r="Y190" s="37" t="s">
        <v>36</v>
      </c>
      <c r="Z190" s="36">
        <v>309</v>
      </c>
      <c r="AA190" s="36" t="s">
        <v>2192</v>
      </c>
      <c r="AB190" s="36" t="s">
        <v>2334</v>
      </c>
      <c r="AC190" s="167" t="s">
        <v>2494</v>
      </c>
      <c r="AD190" s="37" t="s">
        <v>263</v>
      </c>
      <c r="AE190" s="37" t="s">
        <v>2335</v>
      </c>
      <c r="AF190" s="36" t="s">
        <v>2187</v>
      </c>
      <c r="AG190" s="97">
        <v>300</v>
      </c>
      <c r="AH190" s="98">
        <v>300</v>
      </c>
      <c r="AI190" s="99">
        <v>300</v>
      </c>
      <c r="AJ190" s="100">
        <v>300</v>
      </c>
      <c r="AK190" s="46">
        <v>100000000</v>
      </c>
      <c r="AL190" s="47">
        <v>444654000</v>
      </c>
      <c r="AM190" s="48">
        <v>461773179</v>
      </c>
      <c r="AN190" s="49">
        <v>479551446.38999999</v>
      </c>
      <c r="AO190" s="50">
        <v>1485978625.3900001</v>
      </c>
      <c r="AP190" s="66" t="s">
        <v>997</v>
      </c>
    </row>
    <row r="191" spans="1:42" customFormat="1" ht="89.25" x14ac:dyDescent="0.25">
      <c r="A191" s="36">
        <v>190</v>
      </c>
      <c r="B191" s="66" t="s">
        <v>630</v>
      </c>
      <c r="C191" s="66" t="s">
        <v>314</v>
      </c>
      <c r="D191" s="38" t="s">
        <v>2385</v>
      </c>
      <c r="E191" s="66" t="s">
        <v>315</v>
      </c>
      <c r="F191" s="66" t="s">
        <v>316</v>
      </c>
      <c r="G191" s="92">
        <v>3.6999999999999998E-2</v>
      </c>
      <c r="H191" s="67">
        <v>2023</v>
      </c>
      <c r="I191" s="66" t="s">
        <v>1030</v>
      </c>
      <c r="J191" s="68" t="s">
        <v>1014</v>
      </c>
      <c r="K191" s="66" t="s">
        <v>25</v>
      </c>
      <c r="L191" s="66"/>
      <c r="M191" s="69" t="s">
        <v>997</v>
      </c>
      <c r="N191" s="67">
        <v>36</v>
      </c>
      <c r="O191" s="37" t="s">
        <v>1023</v>
      </c>
      <c r="P191" s="67">
        <v>3604</v>
      </c>
      <c r="Q191" s="66" t="s">
        <v>1031</v>
      </c>
      <c r="R191" s="67">
        <v>3604016</v>
      </c>
      <c r="S191" s="58" t="s">
        <v>619</v>
      </c>
      <c r="T191" s="59" t="s">
        <v>1032</v>
      </c>
      <c r="U191" s="58" t="s">
        <v>500</v>
      </c>
      <c r="V191" s="51" t="s">
        <v>1033</v>
      </c>
      <c r="W191" s="58" t="s">
        <v>621</v>
      </c>
      <c r="X191" s="69" t="s">
        <v>1034</v>
      </c>
      <c r="Y191" s="67" t="s">
        <v>36</v>
      </c>
      <c r="Z191" s="36">
        <v>0</v>
      </c>
      <c r="AA191" s="36" t="s">
        <v>2185</v>
      </c>
      <c r="AB191" s="36" t="s">
        <v>2184</v>
      </c>
      <c r="AC191" s="37" t="s">
        <v>2187</v>
      </c>
      <c r="AD191" s="37" t="s">
        <v>263</v>
      </c>
      <c r="AE191" s="37" t="s">
        <v>2335</v>
      </c>
      <c r="AF191" s="36" t="s">
        <v>2187</v>
      </c>
      <c r="AG191" s="101">
        <v>0.6</v>
      </c>
      <c r="AH191" s="102">
        <v>0.4</v>
      </c>
      <c r="AI191" s="103">
        <v>0</v>
      </c>
      <c r="AJ191" s="104">
        <v>0</v>
      </c>
      <c r="AK191" s="46">
        <v>15000000</v>
      </c>
      <c r="AL191" s="47">
        <v>15880500</v>
      </c>
      <c r="AM191" s="48">
        <v>0</v>
      </c>
      <c r="AN191" s="49">
        <v>0</v>
      </c>
      <c r="AO191" s="50">
        <v>30880500</v>
      </c>
      <c r="AP191" s="66" t="s">
        <v>997</v>
      </c>
    </row>
    <row r="192" spans="1:42" customFormat="1" ht="89.25" x14ac:dyDescent="0.25">
      <c r="A192" s="36">
        <v>191</v>
      </c>
      <c r="B192" s="66" t="s">
        <v>630</v>
      </c>
      <c r="C192" s="66" t="s">
        <v>314</v>
      </c>
      <c r="D192" s="38" t="s">
        <v>2385</v>
      </c>
      <c r="E192" s="66" t="s">
        <v>315</v>
      </c>
      <c r="F192" s="66" t="s">
        <v>316</v>
      </c>
      <c r="G192" s="92">
        <v>3.6999999999999998E-2</v>
      </c>
      <c r="H192" s="67">
        <v>2023</v>
      </c>
      <c r="I192" s="66" t="s">
        <v>1030</v>
      </c>
      <c r="J192" s="68" t="s">
        <v>1014</v>
      </c>
      <c r="K192" s="66" t="s">
        <v>25</v>
      </c>
      <c r="L192" s="66"/>
      <c r="M192" s="69" t="s">
        <v>997</v>
      </c>
      <c r="N192" s="67">
        <v>21</v>
      </c>
      <c r="O192" s="38" t="s">
        <v>1316</v>
      </c>
      <c r="P192" s="67">
        <v>2104</v>
      </c>
      <c r="Q192" s="66" t="s">
        <v>1035</v>
      </c>
      <c r="R192" s="67">
        <v>2104010</v>
      </c>
      <c r="S192" s="66" t="s">
        <v>1036</v>
      </c>
      <c r="T192" s="68" t="s">
        <v>1037</v>
      </c>
      <c r="U192" s="109" t="s">
        <v>203</v>
      </c>
      <c r="V192" s="67">
        <v>210401000</v>
      </c>
      <c r="W192" s="66" t="s">
        <v>1038</v>
      </c>
      <c r="X192" s="69" t="s">
        <v>1039</v>
      </c>
      <c r="Y192" s="66" t="s">
        <v>36</v>
      </c>
      <c r="Z192" s="36">
        <v>1105</v>
      </c>
      <c r="AA192" s="36" t="s">
        <v>2185</v>
      </c>
      <c r="AB192" s="36" t="s">
        <v>2369</v>
      </c>
      <c r="AC192" s="37" t="s">
        <v>2187</v>
      </c>
      <c r="AD192" s="37" t="s">
        <v>999</v>
      </c>
      <c r="AE192" s="37" t="s">
        <v>2329</v>
      </c>
      <c r="AF192" s="36" t="s">
        <v>2187</v>
      </c>
      <c r="AG192" s="97">
        <v>130</v>
      </c>
      <c r="AH192" s="98">
        <v>450</v>
      </c>
      <c r="AI192" s="99">
        <v>455</v>
      </c>
      <c r="AJ192" s="100">
        <v>465</v>
      </c>
      <c r="AK192" s="46">
        <v>83700000</v>
      </c>
      <c r="AL192" s="47">
        <v>177226380</v>
      </c>
      <c r="AM192" s="48">
        <v>184049596</v>
      </c>
      <c r="AN192" s="49">
        <v>191135505</v>
      </c>
      <c r="AO192" s="50">
        <v>636111481</v>
      </c>
      <c r="AP192" s="66" t="s">
        <v>997</v>
      </c>
    </row>
    <row r="193" spans="1:42" customFormat="1" ht="89.25" x14ac:dyDescent="0.25">
      <c r="A193" s="36">
        <v>192</v>
      </c>
      <c r="B193" s="66" t="s">
        <v>630</v>
      </c>
      <c r="C193" s="66" t="s">
        <v>314</v>
      </c>
      <c r="D193" s="38" t="s">
        <v>2385</v>
      </c>
      <c r="E193" s="66" t="s">
        <v>1040</v>
      </c>
      <c r="F193" s="66" t="s">
        <v>1059</v>
      </c>
      <c r="G193" s="67">
        <v>1125</v>
      </c>
      <c r="H193" s="67">
        <v>2023</v>
      </c>
      <c r="I193" s="66" t="s">
        <v>1041</v>
      </c>
      <c r="J193" s="68" t="s">
        <v>1042</v>
      </c>
      <c r="K193" s="67" t="s">
        <v>36</v>
      </c>
      <c r="L193" s="66" t="s">
        <v>679</v>
      </c>
      <c r="M193" s="69" t="s">
        <v>997</v>
      </c>
      <c r="N193" s="67">
        <v>35</v>
      </c>
      <c r="O193" s="66" t="s">
        <v>319</v>
      </c>
      <c r="P193" s="36" t="s">
        <v>1043</v>
      </c>
      <c r="Q193" s="37" t="s">
        <v>320</v>
      </c>
      <c r="R193" s="36" t="s">
        <v>1044</v>
      </c>
      <c r="S193" s="37" t="s">
        <v>1045</v>
      </c>
      <c r="T193" s="38" t="s">
        <v>1046</v>
      </c>
      <c r="U193" s="37" t="s">
        <v>685</v>
      </c>
      <c r="V193" s="36" t="s">
        <v>1047</v>
      </c>
      <c r="W193" s="37" t="s">
        <v>1048</v>
      </c>
      <c r="X193" s="37" t="s">
        <v>2370</v>
      </c>
      <c r="Y193" s="67" t="s">
        <v>36</v>
      </c>
      <c r="Z193" s="36">
        <v>0</v>
      </c>
      <c r="AA193" s="36" t="s">
        <v>2336</v>
      </c>
      <c r="AB193" s="36" t="s">
        <v>2330</v>
      </c>
      <c r="AC193" s="37" t="s">
        <v>2187</v>
      </c>
      <c r="AD193" s="37" t="s">
        <v>263</v>
      </c>
      <c r="AE193" s="37" t="s">
        <v>2329</v>
      </c>
      <c r="AF193" s="36" t="s">
        <v>2187</v>
      </c>
      <c r="AG193" s="71">
        <v>0.25</v>
      </c>
      <c r="AH193" s="53">
        <v>0.25</v>
      </c>
      <c r="AI193" s="54">
        <v>0.25</v>
      </c>
      <c r="AJ193" s="55">
        <v>0.25</v>
      </c>
      <c r="AK193" s="46">
        <v>239600000</v>
      </c>
      <c r="AL193" s="47">
        <v>253664520</v>
      </c>
      <c r="AM193" s="48">
        <v>263430604</v>
      </c>
      <c r="AN193" s="49">
        <v>273572683</v>
      </c>
      <c r="AO193" s="50">
        <v>1030267807</v>
      </c>
      <c r="AP193" s="66" t="s">
        <v>997</v>
      </c>
    </row>
    <row r="194" spans="1:42" customFormat="1" ht="89.25" x14ac:dyDescent="0.25">
      <c r="A194" s="36">
        <v>193</v>
      </c>
      <c r="B194" s="66" t="s">
        <v>630</v>
      </c>
      <c r="C194" s="66" t="s">
        <v>314</v>
      </c>
      <c r="D194" s="38" t="s">
        <v>2385</v>
      </c>
      <c r="E194" s="66" t="s">
        <v>1040</v>
      </c>
      <c r="F194" s="66" t="s">
        <v>1059</v>
      </c>
      <c r="G194" s="67">
        <v>1125</v>
      </c>
      <c r="H194" s="67">
        <v>2023</v>
      </c>
      <c r="I194" s="66" t="s">
        <v>1041</v>
      </c>
      <c r="J194" s="68" t="s">
        <v>1042</v>
      </c>
      <c r="K194" s="67" t="s">
        <v>36</v>
      </c>
      <c r="L194" s="66" t="s">
        <v>679</v>
      </c>
      <c r="M194" s="69" t="s">
        <v>997</v>
      </c>
      <c r="N194" s="67">
        <v>35</v>
      </c>
      <c r="O194" s="66" t="s">
        <v>319</v>
      </c>
      <c r="P194" s="36" t="s">
        <v>1043</v>
      </c>
      <c r="Q194" s="37" t="s">
        <v>320</v>
      </c>
      <c r="R194" s="36" t="s">
        <v>1049</v>
      </c>
      <c r="S194" s="37" t="s">
        <v>1050</v>
      </c>
      <c r="T194" s="38" t="s">
        <v>1051</v>
      </c>
      <c r="U194" s="37" t="s">
        <v>1052</v>
      </c>
      <c r="V194" s="36" t="s">
        <v>1053</v>
      </c>
      <c r="W194" s="37" t="s">
        <v>1054</v>
      </c>
      <c r="X194" s="38" t="s">
        <v>2171</v>
      </c>
      <c r="Y194" s="67" t="s">
        <v>36</v>
      </c>
      <c r="Z194" s="36">
        <v>0</v>
      </c>
      <c r="AA194" s="36" t="s">
        <v>2336</v>
      </c>
      <c r="AB194" s="36" t="s">
        <v>2330</v>
      </c>
      <c r="AC194" s="37" t="s">
        <v>2187</v>
      </c>
      <c r="AD194" s="37" t="s">
        <v>263</v>
      </c>
      <c r="AE194" s="37" t="s">
        <v>2329</v>
      </c>
      <c r="AF194" s="36" t="s">
        <v>2187</v>
      </c>
      <c r="AG194" s="42">
        <v>2</v>
      </c>
      <c r="AH194" s="43">
        <v>4</v>
      </c>
      <c r="AI194" s="44">
        <v>5</v>
      </c>
      <c r="AJ194" s="45">
        <v>0</v>
      </c>
      <c r="AK194" s="46">
        <v>500000000</v>
      </c>
      <c r="AL194" s="47">
        <v>415400000</v>
      </c>
      <c r="AM194" s="48">
        <v>431392900</v>
      </c>
      <c r="AN194" s="49">
        <v>0</v>
      </c>
      <c r="AO194" s="50">
        <v>1346792900</v>
      </c>
      <c r="AP194" s="66" t="s">
        <v>997</v>
      </c>
    </row>
    <row r="195" spans="1:42" customFormat="1" ht="89.25" x14ac:dyDescent="0.25">
      <c r="A195" s="36">
        <v>194</v>
      </c>
      <c r="B195" s="66" t="s">
        <v>630</v>
      </c>
      <c r="C195" s="66" t="s">
        <v>314</v>
      </c>
      <c r="D195" s="38" t="s">
        <v>2385</v>
      </c>
      <c r="E195" s="66" t="s">
        <v>1040</v>
      </c>
      <c r="F195" s="66" t="s">
        <v>1059</v>
      </c>
      <c r="G195" s="67">
        <v>1125</v>
      </c>
      <c r="H195" s="67">
        <v>2023</v>
      </c>
      <c r="I195" s="66" t="s">
        <v>1041</v>
      </c>
      <c r="J195" s="68" t="s">
        <v>1042</v>
      </c>
      <c r="K195" s="66" t="s">
        <v>36</v>
      </c>
      <c r="L195" s="66"/>
      <c r="M195" s="69" t="s">
        <v>997</v>
      </c>
      <c r="N195" s="67">
        <v>35</v>
      </c>
      <c r="O195" s="66" t="s">
        <v>319</v>
      </c>
      <c r="P195" s="67">
        <v>3502</v>
      </c>
      <c r="Q195" s="37" t="s">
        <v>320</v>
      </c>
      <c r="R195" s="67">
        <v>3502039</v>
      </c>
      <c r="S195" s="66" t="s">
        <v>1055</v>
      </c>
      <c r="T195" s="68" t="s">
        <v>1056</v>
      </c>
      <c r="U195" s="66" t="s">
        <v>156</v>
      </c>
      <c r="V195" s="67">
        <v>350203900</v>
      </c>
      <c r="W195" s="66" t="s">
        <v>1057</v>
      </c>
      <c r="X195" s="69" t="s">
        <v>1058</v>
      </c>
      <c r="Y195" s="67" t="s">
        <v>36</v>
      </c>
      <c r="Z195" s="36">
        <v>38</v>
      </c>
      <c r="AA195" s="36" t="s">
        <v>2336</v>
      </c>
      <c r="AB195" s="36" t="s">
        <v>2330</v>
      </c>
      <c r="AC195" s="36" t="s">
        <v>2331</v>
      </c>
      <c r="AD195" s="37" t="s">
        <v>263</v>
      </c>
      <c r="AE195" s="37" t="s">
        <v>2329</v>
      </c>
      <c r="AF195" s="36" t="s">
        <v>2187</v>
      </c>
      <c r="AG195" s="151">
        <v>0</v>
      </c>
      <c r="AH195" s="102">
        <v>10</v>
      </c>
      <c r="AI195" s="103">
        <v>15</v>
      </c>
      <c r="AJ195" s="104">
        <v>5</v>
      </c>
      <c r="AK195" s="46">
        <v>0</v>
      </c>
      <c r="AL195" s="47">
        <v>600257100</v>
      </c>
      <c r="AM195" s="48">
        <v>1215400000</v>
      </c>
      <c r="AN195" s="49">
        <v>431392900</v>
      </c>
      <c r="AO195" s="50">
        <v>2247050000</v>
      </c>
      <c r="AP195" s="66" t="s">
        <v>997</v>
      </c>
    </row>
    <row r="196" spans="1:42" customFormat="1" ht="89.25" x14ac:dyDescent="0.25">
      <c r="A196" s="36">
        <v>195</v>
      </c>
      <c r="B196" s="66" t="s">
        <v>630</v>
      </c>
      <c r="C196" s="66" t="s">
        <v>314</v>
      </c>
      <c r="D196" s="38" t="s">
        <v>2385</v>
      </c>
      <c r="E196" s="66" t="s">
        <v>1040</v>
      </c>
      <c r="F196" s="66" t="s">
        <v>1059</v>
      </c>
      <c r="G196" s="67">
        <v>1125</v>
      </c>
      <c r="H196" s="67">
        <v>2023</v>
      </c>
      <c r="I196" s="66" t="s">
        <v>1041</v>
      </c>
      <c r="J196" s="68" t="s">
        <v>1042</v>
      </c>
      <c r="K196" s="66" t="s">
        <v>36</v>
      </c>
      <c r="L196" s="66"/>
      <c r="M196" s="69" t="s">
        <v>997</v>
      </c>
      <c r="N196" s="67">
        <v>35</v>
      </c>
      <c r="O196" s="66" t="s">
        <v>319</v>
      </c>
      <c r="P196" s="67">
        <v>3502</v>
      </c>
      <c r="Q196" s="37" t="s">
        <v>320</v>
      </c>
      <c r="R196" s="67">
        <v>3502045</v>
      </c>
      <c r="S196" s="66" t="s">
        <v>1060</v>
      </c>
      <c r="T196" s="68" t="s">
        <v>1061</v>
      </c>
      <c r="U196" s="66" t="s">
        <v>203</v>
      </c>
      <c r="V196" s="67">
        <v>350204500</v>
      </c>
      <c r="W196" s="66" t="s">
        <v>297</v>
      </c>
      <c r="X196" s="37" t="s">
        <v>2079</v>
      </c>
      <c r="Y196" s="67" t="s">
        <v>36</v>
      </c>
      <c r="Z196" s="36">
        <v>581</v>
      </c>
      <c r="AA196" s="36" t="s">
        <v>2336</v>
      </c>
      <c r="AB196" s="36" t="s">
        <v>2330</v>
      </c>
      <c r="AC196" s="36" t="s">
        <v>2331</v>
      </c>
      <c r="AD196" s="37" t="s">
        <v>263</v>
      </c>
      <c r="AE196" s="37" t="s">
        <v>2329</v>
      </c>
      <c r="AF196" s="36" t="s">
        <v>2187</v>
      </c>
      <c r="AG196" s="97">
        <v>50</v>
      </c>
      <c r="AH196" s="98">
        <v>200</v>
      </c>
      <c r="AI196" s="99">
        <v>200</v>
      </c>
      <c r="AJ196" s="100">
        <v>50</v>
      </c>
      <c r="AK196" s="46">
        <v>6600000</v>
      </c>
      <c r="AL196" s="47">
        <v>21000000</v>
      </c>
      <c r="AM196" s="48">
        <v>21808500</v>
      </c>
      <c r="AN196" s="49">
        <v>22648127</v>
      </c>
      <c r="AO196" s="50">
        <v>72056627</v>
      </c>
      <c r="AP196" s="66" t="s">
        <v>997</v>
      </c>
    </row>
    <row r="197" spans="1:42" customFormat="1" ht="89.25" x14ac:dyDescent="0.25">
      <c r="A197" s="36">
        <v>196</v>
      </c>
      <c r="B197" s="66" t="s">
        <v>630</v>
      </c>
      <c r="C197" s="66" t="s">
        <v>314</v>
      </c>
      <c r="D197" s="38" t="s">
        <v>2385</v>
      </c>
      <c r="E197" s="66" t="s">
        <v>1040</v>
      </c>
      <c r="F197" s="66" t="s">
        <v>1059</v>
      </c>
      <c r="G197" s="67">
        <v>1125</v>
      </c>
      <c r="H197" s="67">
        <v>2023</v>
      </c>
      <c r="I197" s="66" t="s">
        <v>1041</v>
      </c>
      <c r="J197" s="68" t="s">
        <v>1042</v>
      </c>
      <c r="K197" s="66" t="s">
        <v>36</v>
      </c>
      <c r="L197" s="66"/>
      <c r="M197" s="69" t="s">
        <v>997</v>
      </c>
      <c r="N197" s="67">
        <v>35</v>
      </c>
      <c r="O197" s="66" t="s">
        <v>319</v>
      </c>
      <c r="P197" s="67">
        <v>3502</v>
      </c>
      <c r="Q197" s="37" t="s">
        <v>320</v>
      </c>
      <c r="R197" s="67">
        <v>3502046</v>
      </c>
      <c r="S197" s="66" t="s">
        <v>1062</v>
      </c>
      <c r="T197" s="68" t="s">
        <v>1063</v>
      </c>
      <c r="U197" s="66" t="s">
        <v>358</v>
      </c>
      <c r="V197" s="67">
        <v>350204600</v>
      </c>
      <c r="W197" s="66" t="s">
        <v>883</v>
      </c>
      <c r="X197" s="69" t="s">
        <v>2071</v>
      </c>
      <c r="Y197" s="66" t="s">
        <v>36</v>
      </c>
      <c r="Z197" s="36">
        <v>11</v>
      </c>
      <c r="AA197" s="36" t="s">
        <v>2336</v>
      </c>
      <c r="AB197" s="36" t="s">
        <v>2330</v>
      </c>
      <c r="AC197" s="36" t="s">
        <v>2331</v>
      </c>
      <c r="AD197" s="37" t="s">
        <v>263</v>
      </c>
      <c r="AE197" s="37" t="s">
        <v>2329</v>
      </c>
      <c r="AF197" s="36" t="s">
        <v>2187</v>
      </c>
      <c r="AG197" s="97">
        <v>1</v>
      </c>
      <c r="AH197" s="98">
        <v>2</v>
      </c>
      <c r="AI197" s="99">
        <v>2</v>
      </c>
      <c r="AJ197" s="100">
        <v>3</v>
      </c>
      <c r="AK197" s="46">
        <v>267400000</v>
      </c>
      <c r="AL197" s="47">
        <v>571356380</v>
      </c>
      <c r="AM197" s="48">
        <v>774103601</v>
      </c>
      <c r="AN197" s="49">
        <v>803906589</v>
      </c>
      <c r="AO197" s="50">
        <v>2416766570</v>
      </c>
      <c r="AP197" s="66" t="s">
        <v>997</v>
      </c>
    </row>
    <row r="198" spans="1:42" customFormat="1" ht="89.25" x14ac:dyDescent="0.25">
      <c r="A198" s="36">
        <v>197</v>
      </c>
      <c r="B198" s="66" t="s">
        <v>630</v>
      </c>
      <c r="C198" s="66" t="s">
        <v>314</v>
      </c>
      <c r="D198" s="38" t="s">
        <v>2385</v>
      </c>
      <c r="E198" s="66" t="s">
        <v>1040</v>
      </c>
      <c r="F198" s="66" t="s">
        <v>1059</v>
      </c>
      <c r="G198" s="67">
        <v>1125</v>
      </c>
      <c r="H198" s="67">
        <v>2023</v>
      </c>
      <c r="I198" s="66" t="s">
        <v>1041</v>
      </c>
      <c r="J198" s="68" t="s">
        <v>1042</v>
      </c>
      <c r="K198" s="67" t="s">
        <v>36</v>
      </c>
      <c r="L198" s="66" t="s">
        <v>679</v>
      </c>
      <c r="M198" s="69" t="s">
        <v>997</v>
      </c>
      <c r="N198" s="67">
        <v>35</v>
      </c>
      <c r="O198" s="66" t="s">
        <v>319</v>
      </c>
      <c r="P198" s="67" t="s">
        <v>1043</v>
      </c>
      <c r="Q198" s="37" t="s">
        <v>320</v>
      </c>
      <c r="R198" s="67" t="s">
        <v>1064</v>
      </c>
      <c r="S198" s="66" t="s">
        <v>1065</v>
      </c>
      <c r="T198" s="68" t="s">
        <v>1066</v>
      </c>
      <c r="U198" s="66" t="s">
        <v>1067</v>
      </c>
      <c r="V198" s="67">
        <v>350209300</v>
      </c>
      <c r="W198" s="66" t="s">
        <v>1068</v>
      </c>
      <c r="X198" s="69" t="s">
        <v>2072</v>
      </c>
      <c r="Y198" s="67" t="s">
        <v>36</v>
      </c>
      <c r="Z198" s="36">
        <v>0</v>
      </c>
      <c r="AA198" s="36" t="s">
        <v>2336</v>
      </c>
      <c r="AB198" s="36" t="s">
        <v>2330</v>
      </c>
      <c r="AC198" s="37" t="s">
        <v>2187</v>
      </c>
      <c r="AD198" s="37" t="s">
        <v>263</v>
      </c>
      <c r="AE198" s="37" t="s">
        <v>2329</v>
      </c>
      <c r="AF198" s="36" t="s">
        <v>2187</v>
      </c>
      <c r="AG198" s="151">
        <v>0</v>
      </c>
      <c r="AH198" s="102">
        <v>0.33</v>
      </c>
      <c r="AI198" s="103">
        <v>0.33</v>
      </c>
      <c r="AJ198" s="104">
        <v>0.34</v>
      </c>
      <c r="AK198" s="46">
        <v>0</v>
      </c>
      <c r="AL198" s="47">
        <v>40000000</v>
      </c>
      <c r="AM198" s="48">
        <v>41540000</v>
      </c>
      <c r="AN198" s="49">
        <v>43139290</v>
      </c>
      <c r="AO198" s="50">
        <v>124679290</v>
      </c>
      <c r="AP198" s="66" t="s">
        <v>997</v>
      </c>
    </row>
    <row r="199" spans="1:42" customFormat="1" ht="89.25" x14ac:dyDescent="0.25">
      <c r="A199" s="36">
        <v>198</v>
      </c>
      <c r="B199" s="66" t="s">
        <v>630</v>
      </c>
      <c r="C199" s="66" t="s">
        <v>314</v>
      </c>
      <c r="D199" s="38" t="s">
        <v>2385</v>
      </c>
      <c r="E199" s="66" t="s">
        <v>1040</v>
      </c>
      <c r="F199" s="66" t="s">
        <v>1059</v>
      </c>
      <c r="G199" s="67">
        <v>1125</v>
      </c>
      <c r="H199" s="67">
        <v>2023</v>
      </c>
      <c r="I199" s="66" t="s">
        <v>1041</v>
      </c>
      <c r="J199" s="68" t="s">
        <v>1042</v>
      </c>
      <c r="K199" s="66" t="s">
        <v>36</v>
      </c>
      <c r="L199" s="66"/>
      <c r="M199" s="69" t="s">
        <v>997</v>
      </c>
      <c r="N199" s="67">
        <v>35</v>
      </c>
      <c r="O199" s="66" t="s">
        <v>319</v>
      </c>
      <c r="P199" s="67">
        <v>3502</v>
      </c>
      <c r="Q199" s="37" t="s">
        <v>320</v>
      </c>
      <c r="R199" s="67">
        <v>3502047</v>
      </c>
      <c r="S199" s="66" t="s">
        <v>768</v>
      </c>
      <c r="T199" s="68" t="s">
        <v>1069</v>
      </c>
      <c r="U199" s="66" t="s">
        <v>500</v>
      </c>
      <c r="V199" s="67">
        <v>350204700</v>
      </c>
      <c r="W199" s="66" t="s">
        <v>771</v>
      </c>
      <c r="X199" s="69" t="s">
        <v>1070</v>
      </c>
      <c r="Y199" s="66" t="s">
        <v>36</v>
      </c>
      <c r="Z199" s="36">
        <v>36</v>
      </c>
      <c r="AA199" s="36" t="s">
        <v>2336</v>
      </c>
      <c r="AB199" s="36" t="s">
        <v>2330</v>
      </c>
      <c r="AC199" s="37" t="s">
        <v>2187</v>
      </c>
      <c r="AD199" s="37" t="s">
        <v>263</v>
      </c>
      <c r="AE199" s="37" t="s">
        <v>2329</v>
      </c>
      <c r="AF199" s="36" t="s">
        <v>2187</v>
      </c>
      <c r="AG199" s="151">
        <v>0</v>
      </c>
      <c r="AH199" s="102">
        <v>5</v>
      </c>
      <c r="AI199" s="103">
        <v>5</v>
      </c>
      <c r="AJ199" s="104">
        <v>5</v>
      </c>
      <c r="AK199" s="46">
        <v>0</v>
      </c>
      <c r="AL199" s="47">
        <v>105000000</v>
      </c>
      <c r="AM199" s="48">
        <v>109042500</v>
      </c>
      <c r="AN199" s="49">
        <v>113240637</v>
      </c>
      <c r="AO199" s="50">
        <v>327283137</v>
      </c>
      <c r="AP199" s="66" t="s">
        <v>997</v>
      </c>
    </row>
    <row r="200" spans="1:42" customFormat="1" ht="89.25" x14ac:dyDescent="0.25">
      <c r="A200" s="36">
        <v>199</v>
      </c>
      <c r="B200" s="66" t="s">
        <v>630</v>
      </c>
      <c r="C200" s="66" t="s">
        <v>314</v>
      </c>
      <c r="D200" s="38" t="s">
        <v>2385</v>
      </c>
      <c r="E200" s="66" t="s">
        <v>1040</v>
      </c>
      <c r="F200" s="66" t="s">
        <v>1059</v>
      </c>
      <c r="G200" s="67">
        <v>1125</v>
      </c>
      <c r="H200" s="67">
        <v>2023</v>
      </c>
      <c r="I200" s="66" t="s">
        <v>1041</v>
      </c>
      <c r="J200" s="68" t="s">
        <v>1042</v>
      </c>
      <c r="K200" s="66" t="s">
        <v>36</v>
      </c>
      <c r="L200" s="66"/>
      <c r="M200" s="69" t="s">
        <v>997</v>
      </c>
      <c r="N200" s="67">
        <v>35</v>
      </c>
      <c r="O200" s="66" t="s">
        <v>319</v>
      </c>
      <c r="P200" s="67">
        <v>3502</v>
      </c>
      <c r="Q200" s="37" t="s">
        <v>320</v>
      </c>
      <c r="R200" s="67">
        <v>3502049</v>
      </c>
      <c r="S200" s="66" t="s">
        <v>1071</v>
      </c>
      <c r="T200" s="68" t="s">
        <v>1072</v>
      </c>
      <c r="U200" s="66" t="s">
        <v>1073</v>
      </c>
      <c r="V200" s="67">
        <v>350204900</v>
      </c>
      <c r="W200" s="66" t="s">
        <v>1074</v>
      </c>
      <c r="X200" s="69" t="s">
        <v>1075</v>
      </c>
      <c r="Y200" s="66" t="s">
        <v>36</v>
      </c>
      <c r="Z200" s="36">
        <v>0</v>
      </c>
      <c r="AA200" s="36" t="s">
        <v>2336</v>
      </c>
      <c r="AB200" s="36" t="s">
        <v>2330</v>
      </c>
      <c r="AC200" s="36" t="s">
        <v>2331</v>
      </c>
      <c r="AD200" s="37" t="s">
        <v>263</v>
      </c>
      <c r="AE200" s="37" t="s">
        <v>2329</v>
      </c>
      <c r="AF200" s="36" t="s">
        <v>2187</v>
      </c>
      <c r="AG200" s="101">
        <v>0.5</v>
      </c>
      <c r="AH200" s="102">
        <v>1.5</v>
      </c>
      <c r="AI200" s="103">
        <v>3</v>
      </c>
      <c r="AJ200" s="104">
        <v>2</v>
      </c>
      <c r="AK200" s="46">
        <v>298310673</v>
      </c>
      <c r="AL200" s="47">
        <v>1150000000</v>
      </c>
      <c r="AM200" s="48">
        <v>1551925000</v>
      </c>
      <c r="AN200" s="49">
        <v>1479924113</v>
      </c>
      <c r="AO200" s="50">
        <v>4480159786</v>
      </c>
      <c r="AP200" s="66" t="s">
        <v>997</v>
      </c>
    </row>
    <row r="201" spans="1:42" customFormat="1" ht="89.25" x14ac:dyDescent="0.25">
      <c r="A201" s="36">
        <v>200</v>
      </c>
      <c r="B201" s="66" t="s">
        <v>630</v>
      </c>
      <c r="C201" s="66" t="s">
        <v>314</v>
      </c>
      <c r="D201" s="38" t="s">
        <v>2385</v>
      </c>
      <c r="E201" s="66" t="s">
        <v>1040</v>
      </c>
      <c r="F201" s="66" t="s">
        <v>1059</v>
      </c>
      <c r="G201" s="67">
        <v>1125</v>
      </c>
      <c r="H201" s="67">
        <v>2023</v>
      </c>
      <c r="I201" s="66" t="s">
        <v>1041</v>
      </c>
      <c r="J201" s="68" t="s">
        <v>1042</v>
      </c>
      <c r="K201" s="67" t="s">
        <v>36</v>
      </c>
      <c r="L201" s="66" t="s">
        <v>679</v>
      </c>
      <c r="M201" s="69" t="s">
        <v>997</v>
      </c>
      <c r="N201" s="67">
        <v>35</v>
      </c>
      <c r="O201" s="66" t="s">
        <v>319</v>
      </c>
      <c r="P201" s="67">
        <v>3502</v>
      </c>
      <c r="Q201" s="37" t="s">
        <v>320</v>
      </c>
      <c r="R201" s="67">
        <v>3502110</v>
      </c>
      <c r="S201" s="66" t="s">
        <v>554</v>
      </c>
      <c r="T201" s="68" t="s">
        <v>1076</v>
      </c>
      <c r="U201" s="66" t="s">
        <v>188</v>
      </c>
      <c r="V201" s="67">
        <v>350211000</v>
      </c>
      <c r="W201" s="66" t="s">
        <v>189</v>
      </c>
      <c r="X201" s="37" t="s">
        <v>2134</v>
      </c>
      <c r="Y201" s="67" t="s">
        <v>36</v>
      </c>
      <c r="Z201" s="36">
        <v>0</v>
      </c>
      <c r="AA201" s="36" t="s">
        <v>2336</v>
      </c>
      <c r="AB201" s="36" t="s">
        <v>2330</v>
      </c>
      <c r="AC201" s="37" t="s">
        <v>2187</v>
      </c>
      <c r="AD201" s="37" t="s">
        <v>263</v>
      </c>
      <c r="AE201" s="37" t="s">
        <v>2329</v>
      </c>
      <c r="AF201" s="36" t="s">
        <v>2187</v>
      </c>
      <c r="AG201" s="151">
        <v>0</v>
      </c>
      <c r="AH201" s="102">
        <v>2</v>
      </c>
      <c r="AI201" s="103">
        <v>2</v>
      </c>
      <c r="AJ201" s="104">
        <v>1</v>
      </c>
      <c r="AK201" s="46">
        <v>0</v>
      </c>
      <c r="AL201" s="47">
        <v>600000000</v>
      </c>
      <c r="AM201" s="48">
        <v>603850000</v>
      </c>
      <c r="AN201" s="49">
        <v>107848225</v>
      </c>
      <c r="AO201" s="50">
        <v>1311698225</v>
      </c>
      <c r="AP201" s="66" t="s">
        <v>997</v>
      </c>
    </row>
    <row r="202" spans="1:42" customFormat="1" ht="89.25" x14ac:dyDescent="0.25">
      <c r="A202" s="36">
        <v>201</v>
      </c>
      <c r="B202" s="66" t="s">
        <v>630</v>
      </c>
      <c r="C202" s="66" t="s">
        <v>314</v>
      </c>
      <c r="D202" s="38" t="s">
        <v>2385</v>
      </c>
      <c r="E202" s="66" t="s">
        <v>1040</v>
      </c>
      <c r="F202" s="66" t="s">
        <v>1059</v>
      </c>
      <c r="G202" s="67">
        <v>1125</v>
      </c>
      <c r="H202" s="67">
        <v>2023</v>
      </c>
      <c r="I202" s="66" t="s">
        <v>1041</v>
      </c>
      <c r="J202" s="68" t="s">
        <v>1042</v>
      </c>
      <c r="K202" s="66" t="s">
        <v>36</v>
      </c>
      <c r="L202" s="66"/>
      <c r="M202" s="69" t="s">
        <v>997</v>
      </c>
      <c r="N202" s="67">
        <v>35</v>
      </c>
      <c r="O202" s="66" t="s">
        <v>319</v>
      </c>
      <c r="P202" s="67">
        <v>3502</v>
      </c>
      <c r="Q202" s="37" t="s">
        <v>320</v>
      </c>
      <c r="R202" s="67">
        <v>3502017</v>
      </c>
      <c r="S202" s="66" t="s">
        <v>1015</v>
      </c>
      <c r="T202" s="68" t="s">
        <v>1016</v>
      </c>
      <c r="U202" s="66" t="s">
        <v>324</v>
      </c>
      <c r="V202" s="67">
        <v>350201703</v>
      </c>
      <c r="W202" s="66" t="s">
        <v>1077</v>
      </c>
      <c r="X202" s="106" t="s">
        <v>1078</v>
      </c>
      <c r="Y202" s="66" t="s">
        <v>36</v>
      </c>
      <c r="Z202" s="36">
        <v>30</v>
      </c>
      <c r="AA202" s="36" t="s">
        <v>2336</v>
      </c>
      <c r="AB202" s="36" t="s">
        <v>2337</v>
      </c>
      <c r="AC202" s="36" t="s">
        <v>2371</v>
      </c>
      <c r="AD202" s="37" t="s">
        <v>2333</v>
      </c>
      <c r="AE202" s="37" t="s">
        <v>2329</v>
      </c>
      <c r="AF202" s="36" t="s">
        <v>2187</v>
      </c>
      <c r="AG202" s="97">
        <v>14</v>
      </c>
      <c r="AH202" s="98">
        <v>12</v>
      </c>
      <c r="AI202" s="99">
        <v>12</v>
      </c>
      <c r="AJ202" s="100">
        <v>12</v>
      </c>
      <c r="AK202" s="46">
        <v>220000000</v>
      </c>
      <c r="AL202" s="47">
        <v>685410000</v>
      </c>
      <c r="AM202" s="48">
        <v>722182246.5</v>
      </c>
      <c r="AN202" s="49">
        <v>749986262.99000001</v>
      </c>
      <c r="AO202" s="50">
        <v>2377578509.4899998</v>
      </c>
      <c r="AP202" s="66" t="s">
        <v>997</v>
      </c>
    </row>
    <row r="203" spans="1:42" customFormat="1" ht="89.25" x14ac:dyDescent="0.25">
      <c r="A203" s="36">
        <v>202</v>
      </c>
      <c r="B203" s="66" t="s">
        <v>630</v>
      </c>
      <c r="C203" s="66" t="s">
        <v>314</v>
      </c>
      <c r="D203" s="38" t="s">
        <v>2385</v>
      </c>
      <c r="E203" s="66" t="s">
        <v>1040</v>
      </c>
      <c r="F203" s="66" t="s">
        <v>1059</v>
      </c>
      <c r="G203" s="67">
        <v>1125</v>
      </c>
      <c r="H203" s="67">
        <v>2023</v>
      </c>
      <c r="I203" s="66" t="s">
        <v>1041</v>
      </c>
      <c r="J203" s="68" t="s">
        <v>1042</v>
      </c>
      <c r="K203" s="66" t="s">
        <v>36</v>
      </c>
      <c r="L203" s="66"/>
      <c r="M203" s="69" t="s">
        <v>318</v>
      </c>
      <c r="N203" s="67">
        <v>35</v>
      </c>
      <c r="O203" s="66" t="s">
        <v>319</v>
      </c>
      <c r="P203" s="67">
        <v>3502</v>
      </c>
      <c r="Q203" s="37" t="s">
        <v>320</v>
      </c>
      <c r="R203" s="67">
        <v>3502047</v>
      </c>
      <c r="S203" s="66" t="s">
        <v>768</v>
      </c>
      <c r="T203" s="68" t="s">
        <v>1079</v>
      </c>
      <c r="U203" s="66" t="s">
        <v>500</v>
      </c>
      <c r="V203" s="67">
        <v>350204700</v>
      </c>
      <c r="W203" s="66" t="s">
        <v>771</v>
      </c>
      <c r="X203" s="38" t="s">
        <v>2172</v>
      </c>
      <c r="Y203" s="66" t="s">
        <v>36</v>
      </c>
      <c r="Z203" s="36">
        <v>0</v>
      </c>
      <c r="AA203" s="36" t="s">
        <v>2185</v>
      </c>
      <c r="AB203" s="37" t="s">
        <v>2338</v>
      </c>
      <c r="AC203" s="37" t="s">
        <v>2187</v>
      </c>
      <c r="AD203" s="37" t="s">
        <v>263</v>
      </c>
      <c r="AE203" s="37" t="s">
        <v>2335</v>
      </c>
      <c r="AF203" s="36" t="s">
        <v>2187</v>
      </c>
      <c r="AG203" s="151">
        <v>0</v>
      </c>
      <c r="AH203" s="102">
        <v>0</v>
      </c>
      <c r="AI203" s="103">
        <v>0.5</v>
      </c>
      <c r="AJ203" s="104">
        <v>0.5</v>
      </c>
      <c r="AK203" s="46">
        <v>0</v>
      </c>
      <c r="AL203" s="47">
        <v>0</v>
      </c>
      <c r="AM203" s="48">
        <v>124445012.75</v>
      </c>
      <c r="AN203" s="49">
        <v>129236145.73999999</v>
      </c>
      <c r="AO203" s="50">
        <v>253681158.49000001</v>
      </c>
      <c r="AP203" s="66" t="s">
        <v>997</v>
      </c>
    </row>
    <row r="204" spans="1:42" customFormat="1" ht="89.25" x14ac:dyDescent="0.25">
      <c r="A204" s="36">
        <v>203</v>
      </c>
      <c r="B204" s="66" t="s">
        <v>630</v>
      </c>
      <c r="C204" s="66" t="s">
        <v>314</v>
      </c>
      <c r="D204" s="38" t="s">
        <v>2385</v>
      </c>
      <c r="E204" s="66" t="s">
        <v>1040</v>
      </c>
      <c r="F204" s="66" t="s">
        <v>1059</v>
      </c>
      <c r="G204" s="67">
        <v>1125</v>
      </c>
      <c r="H204" s="67">
        <v>2023</v>
      </c>
      <c r="I204" s="66" t="s">
        <v>1041</v>
      </c>
      <c r="J204" s="68" t="s">
        <v>1042</v>
      </c>
      <c r="K204" s="66" t="s">
        <v>36</v>
      </c>
      <c r="L204" s="66"/>
      <c r="M204" s="69" t="s">
        <v>318</v>
      </c>
      <c r="N204" s="67">
        <v>35</v>
      </c>
      <c r="O204" s="66" t="s">
        <v>319</v>
      </c>
      <c r="P204" s="67">
        <v>3502</v>
      </c>
      <c r="Q204" s="37" t="s">
        <v>320</v>
      </c>
      <c r="R204" s="67">
        <v>3502010</v>
      </c>
      <c r="S204" s="66" t="s">
        <v>1080</v>
      </c>
      <c r="T204" s="68" t="s">
        <v>1081</v>
      </c>
      <c r="U204" s="66" t="s">
        <v>685</v>
      </c>
      <c r="V204" s="67">
        <v>350201000</v>
      </c>
      <c r="W204" s="66" t="s">
        <v>1082</v>
      </c>
      <c r="X204" s="106" t="s">
        <v>1083</v>
      </c>
      <c r="Y204" s="66" t="s">
        <v>36</v>
      </c>
      <c r="Z204" s="36">
        <v>0</v>
      </c>
      <c r="AA204" s="36" t="s">
        <v>2339</v>
      </c>
      <c r="AB204" s="37" t="s">
        <v>2340</v>
      </c>
      <c r="AC204" s="37" t="s">
        <v>2372</v>
      </c>
      <c r="AD204" s="37" t="s">
        <v>2333</v>
      </c>
      <c r="AE204" s="37" t="s">
        <v>2329</v>
      </c>
      <c r="AF204" s="36" t="s">
        <v>2191</v>
      </c>
      <c r="AG204" s="151">
        <v>0</v>
      </c>
      <c r="AH204" s="102">
        <v>1</v>
      </c>
      <c r="AI204" s="103">
        <v>1</v>
      </c>
      <c r="AJ204" s="104">
        <v>1</v>
      </c>
      <c r="AK204" s="46">
        <v>0</v>
      </c>
      <c r="AL204" s="47">
        <v>300000000</v>
      </c>
      <c r="AM204" s="48">
        <v>315590000</v>
      </c>
      <c r="AN204" s="49">
        <v>327740215</v>
      </c>
      <c r="AO204" s="50">
        <v>943330215</v>
      </c>
      <c r="AP204" s="66" t="s">
        <v>997</v>
      </c>
    </row>
    <row r="205" spans="1:42" customFormat="1" ht="89.25" x14ac:dyDescent="0.25">
      <c r="A205" s="36">
        <v>204</v>
      </c>
      <c r="B205" s="66" t="s">
        <v>630</v>
      </c>
      <c r="C205" s="66" t="s">
        <v>314</v>
      </c>
      <c r="D205" s="38" t="s">
        <v>2385</v>
      </c>
      <c r="E205" s="66" t="s">
        <v>1040</v>
      </c>
      <c r="F205" s="66" t="s">
        <v>1059</v>
      </c>
      <c r="G205" s="67">
        <v>1125</v>
      </c>
      <c r="H205" s="67">
        <v>2023</v>
      </c>
      <c r="I205" s="66" t="s">
        <v>1041</v>
      </c>
      <c r="J205" s="68" t="s">
        <v>1042</v>
      </c>
      <c r="K205" s="67" t="s">
        <v>36</v>
      </c>
      <c r="L205" s="66" t="s">
        <v>679</v>
      </c>
      <c r="M205" s="69" t="s">
        <v>997</v>
      </c>
      <c r="N205" s="67">
        <v>41</v>
      </c>
      <c r="O205" s="37" t="s">
        <v>2112</v>
      </c>
      <c r="P205" s="67">
        <v>4103</v>
      </c>
      <c r="Q205" s="66" t="s">
        <v>830</v>
      </c>
      <c r="R205" s="67">
        <v>4103059</v>
      </c>
      <c r="S205" s="66" t="s">
        <v>1019</v>
      </c>
      <c r="T205" s="68" t="s">
        <v>1020</v>
      </c>
      <c r="U205" s="66" t="s">
        <v>834</v>
      </c>
      <c r="V205" s="67">
        <v>410305900</v>
      </c>
      <c r="W205" s="66" t="s">
        <v>1021</v>
      </c>
      <c r="X205" s="106" t="s">
        <v>1084</v>
      </c>
      <c r="Y205" s="67" t="s">
        <v>36</v>
      </c>
      <c r="Z205" s="36">
        <v>4</v>
      </c>
      <c r="AA205" s="36" t="s">
        <v>2185</v>
      </c>
      <c r="AB205" s="36" t="s">
        <v>2341</v>
      </c>
      <c r="AC205" s="36"/>
      <c r="AD205" s="37" t="s">
        <v>2333</v>
      </c>
      <c r="AE205" s="37" t="s">
        <v>2329</v>
      </c>
      <c r="AF205" s="36" t="s">
        <v>2187</v>
      </c>
      <c r="AG205" s="97">
        <v>2</v>
      </c>
      <c r="AH205" s="98">
        <v>2</v>
      </c>
      <c r="AI205" s="99">
        <v>2</v>
      </c>
      <c r="AJ205" s="100">
        <v>1</v>
      </c>
      <c r="AK205" s="46">
        <v>132000000</v>
      </c>
      <c r="AL205" s="47">
        <v>137082000</v>
      </c>
      <c r="AM205" s="48">
        <v>144436449.30000001</v>
      </c>
      <c r="AN205" s="49">
        <v>149997252.59999999</v>
      </c>
      <c r="AO205" s="50">
        <v>563515701.89999998</v>
      </c>
      <c r="AP205" s="66" t="s">
        <v>997</v>
      </c>
    </row>
    <row r="206" spans="1:42" customFormat="1" ht="89.25" x14ac:dyDescent="0.25">
      <c r="A206" s="36">
        <v>205</v>
      </c>
      <c r="B206" s="66" t="s">
        <v>630</v>
      </c>
      <c r="C206" s="66" t="s">
        <v>314</v>
      </c>
      <c r="D206" s="38" t="s">
        <v>2385</v>
      </c>
      <c r="E206" s="66" t="s">
        <v>1040</v>
      </c>
      <c r="F206" s="66" t="s">
        <v>1059</v>
      </c>
      <c r="G206" s="67">
        <v>1125</v>
      </c>
      <c r="H206" s="67">
        <v>2023</v>
      </c>
      <c r="I206" s="66" t="s">
        <v>1041</v>
      </c>
      <c r="J206" s="68" t="s">
        <v>1042</v>
      </c>
      <c r="K206" s="66" t="s">
        <v>36</v>
      </c>
      <c r="L206" s="66"/>
      <c r="M206" s="69" t="s">
        <v>997</v>
      </c>
      <c r="N206" s="67">
        <v>35</v>
      </c>
      <c r="O206" s="66" t="s">
        <v>319</v>
      </c>
      <c r="P206" s="110">
        <v>3502</v>
      </c>
      <c r="Q206" s="37" t="s">
        <v>320</v>
      </c>
      <c r="R206" s="110">
        <v>3502007</v>
      </c>
      <c r="S206" s="66" t="s">
        <v>1085</v>
      </c>
      <c r="T206" s="68" t="s">
        <v>1086</v>
      </c>
      <c r="U206" s="66" t="s">
        <v>1087</v>
      </c>
      <c r="V206" s="110">
        <v>350200700</v>
      </c>
      <c r="W206" s="66" t="s">
        <v>1088</v>
      </c>
      <c r="X206" s="106" t="s">
        <v>1089</v>
      </c>
      <c r="Y206" s="37" t="s">
        <v>36</v>
      </c>
      <c r="Z206" s="36">
        <v>0</v>
      </c>
      <c r="AA206" s="36" t="s">
        <v>2185</v>
      </c>
      <c r="AB206" s="36" t="s">
        <v>2184</v>
      </c>
      <c r="AC206" s="37" t="s">
        <v>2187</v>
      </c>
      <c r="AD206" s="37" t="s">
        <v>2342</v>
      </c>
      <c r="AE206" s="37" t="s">
        <v>2329</v>
      </c>
      <c r="AF206" s="36" t="s">
        <v>2187</v>
      </c>
      <c r="AG206" s="151">
        <v>0</v>
      </c>
      <c r="AH206" s="102">
        <v>2</v>
      </c>
      <c r="AI206" s="103">
        <v>1</v>
      </c>
      <c r="AJ206" s="104">
        <v>0</v>
      </c>
      <c r="AK206" s="46">
        <v>0</v>
      </c>
      <c r="AL206" s="47">
        <v>101150315</v>
      </c>
      <c r="AM206" s="48">
        <v>105044602.13</v>
      </c>
      <c r="AN206" s="49">
        <v>0</v>
      </c>
      <c r="AO206" s="50">
        <v>206194917.13</v>
      </c>
      <c r="AP206" s="66" t="s">
        <v>997</v>
      </c>
    </row>
    <row r="207" spans="1:42" customFormat="1" ht="89.25" x14ac:dyDescent="0.25">
      <c r="A207" s="36">
        <v>206</v>
      </c>
      <c r="B207" s="66" t="s">
        <v>630</v>
      </c>
      <c r="C207" s="66" t="s">
        <v>314</v>
      </c>
      <c r="D207" s="38" t="s">
        <v>2385</v>
      </c>
      <c r="E207" s="66" t="s">
        <v>1040</v>
      </c>
      <c r="F207" s="66" t="s">
        <v>1059</v>
      </c>
      <c r="G207" s="67">
        <v>1125</v>
      </c>
      <c r="H207" s="67">
        <v>2023</v>
      </c>
      <c r="I207" s="66" t="s">
        <v>1041</v>
      </c>
      <c r="J207" s="68" t="s">
        <v>1042</v>
      </c>
      <c r="K207" s="66" t="s">
        <v>36</v>
      </c>
      <c r="L207" s="66"/>
      <c r="M207" s="69" t="s">
        <v>997</v>
      </c>
      <c r="N207" s="67">
        <v>35</v>
      </c>
      <c r="O207" s="66" t="s">
        <v>319</v>
      </c>
      <c r="P207" s="110">
        <v>3502</v>
      </c>
      <c r="Q207" s="37" t="s">
        <v>320</v>
      </c>
      <c r="R207" s="110">
        <v>3502008</v>
      </c>
      <c r="S207" s="66" t="s">
        <v>1090</v>
      </c>
      <c r="T207" s="68" t="s">
        <v>1091</v>
      </c>
      <c r="U207" s="66" t="s">
        <v>685</v>
      </c>
      <c r="V207" s="110">
        <v>350200800</v>
      </c>
      <c r="W207" s="66" t="s">
        <v>1092</v>
      </c>
      <c r="X207" s="106" t="s">
        <v>1093</v>
      </c>
      <c r="Y207" s="37" t="s">
        <v>36</v>
      </c>
      <c r="Z207" s="36">
        <v>0</v>
      </c>
      <c r="AA207" s="36" t="s">
        <v>2185</v>
      </c>
      <c r="AB207" s="36" t="s">
        <v>2184</v>
      </c>
      <c r="AC207" s="37" t="s">
        <v>2187</v>
      </c>
      <c r="AD207" s="37" t="s">
        <v>2342</v>
      </c>
      <c r="AE207" s="37" t="s">
        <v>2329</v>
      </c>
      <c r="AF207" s="36" t="s">
        <v>2187</v>
      </c>
      <c r="AG207" s="151">
        <v>0</v>
      </c>
      <c r="AH207" s="102">
        <v>0.3</v>
      </c>
      <c r="AI207" s="103">
        <v>0.4</v>
      </c>
      <c r="AJ207" s="104">
        <v>0.3</v>
      </c>
      <c r="AK207" s="46">
        <v>0</v>
      </c>
      <c r="AL207" s="47">
        <v>69632464</v>
      </c>
      <c r="AM207" s="48">
        <v>72313313.859999999</v>
      </c>
      <c r="AN207" s="49">
        <v>75097376.450000003</v>
      </c>
      <c r="AO207" s="50">
        <v>217043154.31</v>
      </c>
      <c r="AP207" s="66" t="s">
        <v>997</v>
      </c>
    </row>
    <row r="208" spans="1:42" customFormat="1" ht="89.25" x14ac:dyDescent="0.25">
      <c r="A208" s="36">
        <v>207</v>
      </c>
      <c r="B208" s="66" t="s">
        <v>630</v>
      </c>
      <c r="C208" s="66" t="s">
        <v>314</v>
      </c>
      <c r="D208" s="38" t="s">
        <v>2385</v>
      </c>
      <c r="E208" s="66" t="s">
        <v>1040</v>
      </c>
      <c r="F208" s="66" t="s">
        <v>1059</v>
      </c>
      <c r="G208" s="67">
        <v>1125</v>
      </c>
      <c r="H208" s="67">
        <v>2023</v>
      </c>
      <c r="I208" s="66" t="s">
        <v>1041</v>
      </c>
      <c r="J208" s="68" t="s">
        <v>1042</v>
      </c>
      <c r="K208" s="66" t="s">
        <v>36</v>
      </c>
      <c r="L208" s="66"/>
      <c r="M208" s="69" t="s">
        <v>997</v>
      </c>
      <c r="N208" s="67">
        <v>35</v>
      </c>
      <c r="O208" s="66" t="s">
        <v>319</v>
      </c>
      <c r="P208" s="110">
        <v>3502</v>
      </c>
      <c r="Q208" s="37" t="s">
        <v>320</v>
      </c>
      <c r="R208" s="110">
        <v>3502004</v>
      </c>
      <c r="S208" s="66" t="s">
        <v>322</v>
      </c>
      <c r="T208" s="68" t="s">
        <v>323</v>
      </c>
      <c r="U208" s="66" t="s">
        <v>324</v>
      </c>
      <c r="V208" s="110">
        <v>350200400</v>
      </c>
      <c r="W208" s="66" t="s">
        <v>326</v>
      </c>
      <c r="X208" s="106" t="s">
        <v>1094</v>
      </c>
      <c r="Y208" s="37" t="s">
        <v>36</v>
      </c>
      <c r="Z208" s="36">
        <v>0</v>
      </c>
      <c r="AA208" s="36" t="s">
        <v>2185</v>
      </c>
      <c r="AB208" s="36" t="s">
        <v>2184</v>
      </c>
      <c r="AC208" s="37" t="s">
        <v>2187</v>
      </c>
      <c r="AD208" s="37" t="s">
        <v>263</v>
      </c>
      <c r="AE208" s="37" t="s">
        <v>2329</v>
      </c>
      <c r="AF208" s="36" t="s">
        <v>2187</v>
      </c>
      <c r="AG208" s="97">
        <v>10</v>
      </c>
      <c r="AH208" s="98">
        <v>30</v>
      </c>
      <c r="AI208" s="99">
        <v>30</v>
      </c>
      <c r="AJ208" s="100">
        <v>30</v>
      </c>
      <c r="AK208" s="46">
        <v>80000000</v>
      </c>
      <c r="AL208" s="47">
        <v>84696000</v>
      </c>
      <c r="AM208" s="48">
        <v>87956796</v>
      </c>
      <c r="AN208" s="49">
        <v>91343132.650000006</v>
      </c>
      <c r="AO208" s="50">
        <v>343995928.64999998</v>
      </c>
      <c r="AP208" s="66" t="s">
        <v>997</v>
      </c>
    </row>
    <row r="209" spans="1:42" customFormat="1" ht="89.25" x14ac:dyDescent="0.25">
      <c r="A209" s="36">
        <v>208</v>
      </c>
      <c r="B209" s="66" t="s">
        <v>630</v>
      </c>
      <c r="C209" s="66" t="s">
        <v>314</v>
      </c>
      <c r="D209" s="38" t="s">
        <v>2385</v>
      </c>
      <c r="E209" s="66" t="s">
        <v>1040</v>
      </c>
      <c r="F209" s="66" t="s">
        <v>1059</v>
      </c>
      <c r="G209" s="67">
        <v>1125</v>
      </c>
      <c r="H209" s="67">
        <v>2023</v>
      </c>
      <c r="I209" s="66" t="s">
        <v>1041</v>
      </c>
      <c r="J209" s="68" t="s">
        <v>1042</v>
      </c>
      <c r="K209" s="66" t="s">
        <v>36</v>
      </c>
      <c r="L209" s="66"/>
      <c r="M209" s="69" t="s">
        <v>997</v>
      </c>
      <c r="N209" s="67">
        <v>35</v>
      </c>
      <c r="O209" s="66" t="s">
        <v>319</v>
      </c>
      <c r="P209" s="110">
        <v>3502</v>
      </c>
      <c r="Q209" s="37" t="s">
        <v>320</v>
      </c>
      <c r="R209" s="110">
        <v>3502009</v>
      </c>
      <c r="S209" s="66" t="s">
        <v>1095</v>
      </c>
      <c r="T209" s="68" t="s">
        <v>1096</v>
      </c>
      <c r="U209" s="66" t="s">
        <v>1097</v>
      </c>
      <c r="V209" s="110">
        <v>350200900</v>
      </c>
      <c r="W209" s="66" t="s">
        <v>1098</v>
      </c>
      <c r="X209" s="106" t="s">
        <v>1099</v>
      </c>
      <c r="Y209" s="37" t="s">
        <v>36</v>
      </c>
      <c r="Z209" s="36">
        <v>114</v>
      </c>
      <c r="AA209" s="36" t="s">
        <v>2185</v>
      </c>
      <c r="AB209" s="36" t="s">
        <v>2343</v>
      </c>
      <c r="AC209" s="37" t="s">
        <v>2187</v>
      </c>
      <c r="AD209" s="37" t="s">
        <v>263</v>
      </c>
      <c r="AE209" s="37" t="s">
        <v>2329</v>
      </c>
      <c r="AF209" s="36" t="s">
        <v>2187</v>
      </c>
      <c r="AG209" s="97">
        <v>4</v>
      </c>
      <c r="AH209" s="98">
        <v>32</v>
      </c>
      <c r="AI209" s="99">
        <v>32</v>
      </c>
      <c r="AJ209" s="100">
        <v>32</v>
      </c>
      <c r="AK209" s="46">
        <v>121600000</v>
      </c>
      <c r="AL209" s="47">
        <v>1048600000</v>
      </c>
      <c r="AM209" s="48">
        <v>1088971100</v>
      </c>
      <c r="AN209" s="49">
        <v>1130896487.3499999</v>
      </c>
      <c r="AO209" s="50">
        <v>3390067587.3499999</v>
      </c>
      <c r="AP209" s="66" t="s">
        <v>997</v>
      </c>
    </row>
    <row r="210" spans="1:42" customFormat="1" ht="89.25" x14ac:dyDescent="0.25">
      <c r="A210" s="36">
        <v>209</v>
      </c>
      <c r="B210" s="66" t="s">
        <v>630</v>
      </c>
      <c r="C210" s="66" t="s">
        <v>314</v>
      </c>
      <c r="D210" s="38" t="s">
        <v>2385</v>
      </c>
      <c r="E210" s="66" t="s">
        <v>1040</v>
      </c>
      <c r="F210" s="66" t="s">
        <v>1059</v>
      </c>
      <c r="G210" s="67">
        <v>1125</v>
      </c>
      <c r="H210" s="67">
        <v>2023</v>
      </c>
      <c r="I210" s="66" t="s">
        <v>1041</v>
      </c>
      <c r="J210" s="68" t="s">
        <v>1042</v>
      </c>
      <c r="K210" s="66" t="s">
        <v>36</v>
      </c>
      <c r="L210" s="66"/>
      <c r="M210" s="69" t="s">
        <v>997</v>
      </c>
      <c r="N210" s="67">
        <v>35</v>
      </c>
      <c r="O210" s="66" t="s">
        <v>319</v>
      </c>
      <c r="P210" s="67">
        <v>3502</v>
      </c>
      <c r="Q210" s="37" t="s">
        <v>320</v>
      </c>
      <c r="R210" s="67">
        <v>3502021</v>
      </c>
      <c r="S210" s="66" t="s">
        <v>1100</v>
      </c>
      <c r="T210" s="68" t="s">
        <v>1101</v>
      </c>
      <c r="U210" s="66" t="s">
        <v>1097</v>
      </c>
      <c r="V210" s="67">
        <v>350202100</v>
      </c>
      <c r="W210" s="66" t="s">
        <v>1102</v>
      </c>
      <c r="X210" s="106" t="s">
        <v>1103</v>
      </c>
      <c r="Y210" s="37" t="s">
        <v>36</v>
      </c>
      <c r="Z210" s="36">
        <v>180</v>
      </c>
      <c r="AA210" s="36" t="s">
        <v>2192</v>
      </c>
      <c r="AB210" s="36" t="s">
        <v>2344</v>
      </c>
      <c r="AC210" s="37" t="s">
        <v>2187</v>
      </c>
      <c r="AD210" s="37" t="s">
        <v>263</v>
      </c>
      <c r="AE210" s="37" t="s">
        <v>2329</v>
      </c>
      <c r="AF210" s="36" t="s">
        <v>2187</v>
      </c>
      <c r="AG210" s="97">
        <v>200</v>
      </c>
      <c r="AH210" s="98">
        <v>200</v>
      </c>
      <c r="AI210" s="99">
        <v>200</v>
      </c>
      <c r="AJ210" s="100">
        <v>200</v>
      </c>
      <c r="AK210" s="46">
        <v>180000000</v>
      </c>
      <c r="AL210" s="47">
        <v>317610000</v>
      </c>
      <c r="AM210" s="48">
        <v>329837985</v>
      </c>
      <c r="AN210" s="49">
        <v>342536747.42000002</v>
      </c>
      <c r="AO210" s="50">
        <v>1169984732.4200001</v>
      </c>
      <c r="AP210" s="66" t="s">
        <v>997</v>
      </c>
    </row>
    <row r="211" spans="1:42" customFormat="1" ht="89.25" x14ac:dyDescent="0.25">
      <c r="A211" s="36">
        <v>210</v>
      </c>
      <c r="B211" s="66" t="s">
        <v>630</v>
      </c>
      <c r="C211" s="66" t="s">
        <v>314</v>
      </c>
      <c r="D211" s="38" t="s">
        <v>2385</v>
      </c>
      <c r="E211" s="66" t="s">
        <v>1040</v>
      </c>
      <c r="F211" s="66" t="s">
        <v>1059</v>
      </c>
      <c r="G211" s="67">
        <v>1125</v>
      </c>
      <c r="H211" s="67">
        <v>2023</v>
      </c>
      <c r="I211" s="66" t="s">
        <v>1041</v>
      </c>
      <c r="J211" s="68" t="s">
        <v>1042</v>
      </c>
      <c r="K211" s="66" t="s">
        <v>36</v>
      </c>
      <c r="L211" s="66"/>
      <c r="M211" s="69" t="s">
        <v>997</v>
      </c>
      <c r="N211" s="67">
        <v>35</v>
      </c>
      <c r="O211" s="66" t="s">
        <v>319</v>
      </c>
      <c r="P211" s="67">
        <v>3502</v>
      </c>
      <c r="Q211" s="37" t="s">
        <v>320</v>
      </c>
      <c r="R211" s="67">
        <v>3502022</v>
      </c>
      <c r="S211" s="66" t="s">
        <v>1104</v>
      </c>
      <c r="T211" s="68" t="s">
        <v>1105</v>
      </c>
      <c r="U211" s="66" t="s">
        <v>324</v>
      </c>
      <c r="V211" s="67">
        <v>350202200</v>
      </c>
      <c r="W211" s="66" t="s">
        <v>1017</v>
      </c>
      <c r="X211" s="106" t="s">
        <v>1106</v>
      </c>
      <c r="Y211" s="37" t="s">
        <v>36</v>
      </c>
      <c r="Z211" s="36">
        <v>0</v>
      </c>
      <c r="AA211" s="36" t="s">
        <v>2185</v>
      </c>
      <c r="AB211" s="36" t="s">
        <v>2184</v>
      </c>
      <c r="AC211" s="37" t="s">
        <v>2187</v>
      </c>
      <c r="AD211" s="37" t="s">
        <v>263</v>
      </c>
      <c r="AE211" s="37" t="s">
        <v>2329</v>
      </c>
      <c r="AF211" s="36" t="s">
        <v>2187</v>
      </c>
      <c r="AG211" s="97">
        <v>4</v>
      </c>
      <c r="AH211" s="98">
        <v>12</v>
      </c>
      <c r="AI211" s="99">
        <v>12</v>
      </c>
      <c r="AJ211" s="100">
        <v>12</v>
      </c>
      <c r="AK211" s="46">
        <v>110000000</v>
      </c>
      <c r="AL211" s="47">
        <v>116457000</v>
      </c>
      <c r="AM211" s="48">
        <v>120940594.5</v>
      </c>
      <c r="AN211" s="49">
        <v>125596807.39</v>
      </c>
      <c r="AO211" s="50">
        <v>472994401.88999999</v>
      </c>
      <c r="AP211" s="66" t="s">
        <v>997</v>
      </c>
    </row>
    <row r="212" spans="1:42" customFormat="1" ht="89.25" x14ac:dyDescent="0.25">
      <c r="A212" s="36">
        <v>211</v>
      </c>
      <c r="B212" s="66" t="s">
        <v>630</v>
      </c>
      <c r="C212" s="66" t="s">
        <v>314</v>
      </c>
      <c r="D212" s="38" t="s">
        <v>2385</v>
      </c>
      <c r="E212" s="66" t="s">
        <v>1040</v>
      </c>
      <c r="F212" s="66" t="s">
        <v>1059</v>
      </c>
      <c r="G212" s="67">
        <v>1125</v>
      </c>
      <c r="H212" s="67">
        <v>2023</v>
      </c>
      <c r="I212" s="66" t="s">
        <v>1041</v>
      </c>
      <c r="J212" s="68" t="s">
        <v>1042</v>
      </c>
      <c r="K212" s="67" t="s">
        <v>36</v>
      </c>
      <c r="L212" s="66" t="s">
        <v>679</v>
      </c>
      <c r="M212" s="69" t="s">
        <v>997</v>
      </c>
      <c r="N212" s="67">
        <v>35</v>
      </c>
      <c r="O212" s="66" t="s">
        <v>319</v>
      </c>
      <c r="P212" s="67">
        <v>3502</v>
      </c>
      <c r="Q212" s="37" t="s">
        <v>320</v>
      </c>
      <c r="R212" s="67" t="s">
        <v>1107</v>
      </c>
      <c r="S212" s="66" t="s">
        <v>1108</v>
      </c>
      <c r="T212" s="68" t="s">
        <v>1109</v>
      </c>
      <c r="U212" s="66" t="s">
        <v>1110</v>
      </c>
      <c r="V212" s="67" t="s">
        <v>1111</v>
      </c>
      <c r="W212" s="66" t="s">
        <v>1112</v>
      </c>
      <c r="X212" s="106" t="s">
        <v>1113</v>
      </c>
      <c r="Y212" s="37" t="s">
        <v>36</v>
      </c>
      <c r="Z212" s="36">
        <v>0</v>
      </c>
      <c r="AA212" s="36" t="s">
        <v>2185</v>
      </c>
      <c r="AB212" s="36" t="s">
        <v>2184</v>
      </c>
      <c r="AC212" s="37" t="s">
        <v>2187</v>
      </c>
      <c r="AD212" s="37" t="s">
        <v>263</v>
      </c>
      <c r="AE212" s="37" t="s">
        <v>2329</v>
      </c>
      <c r="AF212" s="36" t="s">
        <v>2187</v>
      </c>
      <c r="AG212" s="97">
        <v>1</v>
      </c>
      <c r="AH212" s="98">
        <v>1</v>
      </c>
      <c r="AI212" s="99">
        <v>1</v>
      </c>
      <c r="AJ212" s="100">
        <v>1</v>
      </c>
      <c r="AK212" s="46">
        <v>70000000</v>
      </c>
      <c r="AL212" s="47">
        <v>74109000</v>
      </c>
      <c r="AM212" s="48">
        <v>76962196.5</v>
      </c>
      <c r="AN212" s="49">
        <v>79925241.069999993</v>
      </c>
      <c r="AO212" s="50">
        <v>300996437.56999999</v>
      </c>
      <c r="AP212" s="66" t="s">
        <v>997</v>
      </c>
    </row>
    <row r="213" spans="1:42" customFormat="1" ht="89.25" x14ac:dyDescent="0.25">
      <c r="A213" s="36">
        <v>212</v>
      </c>
      <c r="B213" s="66" t="s">
        <v>630</v>
      </c>
      <c r="C213" s="66" t="s">
        <v>314</v>
      </c>
      <c r="D213" s="38" t="s">
        <v>2385</v>
      </c>
      <c r="E213" s="66" t="s">
        <v>1040</v>
      </c>
      <c r="F213" s="66" t="s">
        <v>1059</v>
      </c>
      <c r="G213" s="67">
        <v>1125</v>
      </c>
      <c r="H213" s="67">
        <v>2023</v>
      </c>
      <c r="I213" s="66" t="s">
        <v>1041</v>
      </c>
      <c r="J213" s="68" t="s">
        <v>1042</v>
      </c>
      <c r="K213" s="67" t="s">
        <v>36</v>
      </c>
      <c r="L213" s="66" t="s">
        <v>679</v>
      </c>
      <c r="M213" s="69" t="s">
        <v>997</v>
      </c>
      <c r="N213" s="67">
        <v>35</v>
      </c>
      <c r="O213" s="66" t="s">
        <v>319</v>
      </c>
      <c r="P213" s="67">
        <v>3502</v>
      </c>
      <c r="Q213" s="37" t="s">
        <v>320</v>
      </c>
      <c r="R213" s="67" t="s">
        <v>1114</v>
      </c>
      <c r="S213" s="66" t="s">
        <v>619</v>
      </c>
      <c r="T213" s="68" t="s">
        <v>823</v>
      </c>
      <c r="U213" s="66" t="s">
        <v>500</v>
      </c>
      <c r="V213" s="67" t="s">
        <v>1115</v>
      </c>
      <c r="W213" s="66" t="s">
        <v>824</v>
      </c>
      <c r="X213" s="106" t="s">
        <v>1116</v>
      </c>
      <c r="Y213" s="37" t="s">
        <v>36</v>
      </c>
      <c r="Z213" s="36">
        <v>0</v>
      </c>
      <c r="AA213" s="36" t="s">
        <v>2185</v>
      </c>
      <c r="AB213" s="36" t="s">
        <v>2344</v>
      </c>
      <c r="AC213" s="37" t="s">
        <v>2187</v>
      </c>
      <c r="AD213" s="37" t="s">
        <v>2342</v>
      </c>
      <c r="AE213" s="37" t="s">
        <v>2329</v>
      </c>
      <c r="AF213" s="36" t="s">
        <v>2187</v>
      </c>
      <c r="AG213" s="101">
        <v>0.2</v>
      </c>
      <c r="AH213" s="102">
        <v>0.8</v>
      </c>
      <c r="AI213" s="103">
        <v>0</v>
      </c>
      <c r="AJ213" s="104">
        <v>0</v>
      </c>
      <c r="AK213" s="46">
        <v>20000000</v>
      </c>
      <c r="AL213" s="47">
        <v>21989199</v>
      </c>
      <c r="AM213" s="48">
        <v>0</v>
      </c>
      <c r="AN213" s="49">
        <v>0</v>
      </c>
      <c r="AO213" s="50">
        <v>41989199</v>
      </c>
      <c r="AP213" s="66" t="s">
        <v>997</v>
      </c>
    </row>
    <row r="214" spans="1:42" customFormat="1" ht="92.25" customHeight="1" x14ac:dyDescent="0.25">
      <c r="A214" s="36">
        <v>213</v>
      </c>
      <c r="B214" s="66" t="s">
        <v>630</v>
      </c>
      <c r="C214" s="66" t="s">
        <v>314</v>
      </c>
      <c r="D214" s="38" t="s">
        <v>2385</v>
      </c>
      <c r="E214" s="66" t="s">
        <v>1040</v>
      </c>
      <c r="F214" s="66" t="s">
        <v>1059</v>
      </c>
      <c r="G214" s="67">
        <v>1125</v>
      </c>
      <c r="H214" s="67">
        <v>2023</v>
      </c>
      <c r="I214" s="66" t="s">
        <v>1041</v>
      </c>
      <c r="J214" s="68" t="s">
        <v>1042</v>
      </c>
      <c r="K214" s="67" t="s">
        <v>36</v>
      </c>
      <c r="L214" s="66" t="s">
        <v>679</v>
      </c>
      <c r="M214" s="69" t="s">
        <v>997</v>
      </c>
      <c r="N214" s="67">
        <v>36</v>
      </c>
      <c r="O214" s="37" t="s">
        <v>1023</v>
      </c>
      <c r="P214" s="67">
        <v>3602</v>
      </c>
      <c r="Q214" s="66" t="s">
        <v>1024</v>
      </c>
      <c r="R214" s="67">
        <v>3602027</v>
      </c>
      <c r="S214" s="66" t="s">
        <v>1117</v>
      </c>
      <c r="T214" s="68" t="s">
        <v>1118</v>
      </c>
      <c r="U214" s="66" t="s">
        <v>369</v>
      </c>
      <c r="V214" s="67">
        <v>360202700</v>
      </c>
      <c r="W214" s="66" t="s">
        <v>1119</v>
      </c>
      <c r="X214" s="106" t="s">
        <v>1120</v>
      </c>
      <c r="Y214" s="37" t="s">
        <v>36</v>
      </c>
      <c r="Z214" s="36">
        <v>0</v>
      </c>
      <c r="AA214" s="36" t="s">
        <v>2185</v>
      </c>
      <c r="AB214" s="36" t="s">
        <v>2345</v>
      </c>
      <c r="AC214" s="167" t="s">
        <v>2495</v>
      </c>
      <c r="AD214" s="37" t="s">
        <v>2333</v>
      </c>
      <c r="AE214" s="37" t="s">
        <v>2188</v>
      </c>
      <c r="AF214" s="37" t="s">
        <v>2219</v>
      </c>
      <c r="AG214" s="97">
        <v>1</v>
      </c>
      <c r="AH214" s="98">
        <v>1</v>
      </c>
      <c r="AI214" s="99">
        <v>1</v>
      </c>
      <c r="AJ214" s="100">
        <v>1</v>
      </c>
      <c r="AK214" s="46">
        <v>150000000</v>
      </c>
      <c r="AL214" s="47">
        <v>168566900</v>
      </c>
      <c r="AM214" s="48">
        <v>175056725.65000001</v>
      </c>
      <c r="AN214" s="49">
        <v>181796409.59</v>
      </c>
      <c r="AO214" s="50">
        <v>675420035.24000001</v>
      </c>
      <c r="AP214" s="66" t="s">
        <v>997</v>
      </c>
    </row>
    <row r="215" spans="1:42" customFormat="1" ht="89.25" x14ac:dyDescent="0.25">
      <c r="A215" s="36">
        <v>214</v>
      </c>
      <c r="B215" s="66" t="s">
        <v>630</v>
      </c>
      <c r="C215" s="66" t="s">
        <v>314</v>
      </c>
      <c r="D215" s="38" t="s">
        <v>2385</v>
      </c>
      <c r="E215" s="66" t="s">
        <v>1040</v>
      </c>
      <c r="F215" s="66" t="s">
        <v>1059</v>
      </c>
      <c r="G215" s="67">
        <v>1125</v>
      </c>
      <c r="H215" s="67">
        <v>2023</v>
      </c>
      <c r="I215" s="66" t="s">
        <v>1041</v>
      </c>
      <c r="J215" s="68" t="s">
        <v>1042</v>
      </c>
      <c r="K215" s="67" t="s">
        <v>36</v>
      </c>
      <c r="L215" s="66" t="s">
        <v>679</v>
      </c>
      <c r="M215" s="69" t="s">
        <v>997</v>
      </c>
      <c r="N215" s="67">
        <v>36</v>
      </c>
      <c r="O215" s="37" t="s">
        <v>1023</v>
      </c>
      <c r="P215" s="67">
        <v>3602</v>
      </c>
      <c r="Q215" s="66" t="s">
        <v>1024</v>
      </c>
      <c r="R215" s="67">
        <v>3602003</v>
      </c>
      <c r="S215" s="66" t="s">
        <v>1121</v>
      </c>
      <c r="T215" s="68" t="s">
        <v>1122</v>
      </c>
      <c r="U215" s="66" t="s">
        <v>1123</v>
      </c>
      <c r="V215" s="67">
        <v>360200300</v>
      </c>
      <c r="W215" s="66" t="s">
        <v>1124</v>
      </c>
      <c r="X215" s="106" t="s">
        <v>1125</v>
      </c>
      <c r="Y215" s="37" t="s">
        <v>36</v>
      </c>
      <c r="Z215" s="36">
        <v>1838</v>
      </c>
      <c r="AA215" s="36" t="s">
        <v>2185</v>
      </c>
      <c r="AB215" s="36" t="s">
        <v>2346</v>
      </c>
      <c r="AC215" s="36" t="s">
        <v>2373</v>
      </c>
      <c r="AD215" s="37" t="s">
        <v>263</v>
      </c>
      <c r="AE215" s="37" t="s">
        <v>2335</v>
      </c>
      <c r="AF215" s="36" t="s">
        <v>2187</v>
      </c>
      <c r="AG215" s="97">
        <v>50</v>
      </c>
      <c r="AH215" s="98">
        <v>650</v>
      </c>
      <c r="AI215" s="99">
        <v>600</v>
      </c>
      <c r="AJ215" s="100">
        <v>300</v>
      </c>
      <c r="AK215" s="46">
        <v>1879551230</v>
      </c>
      <c r="AL215" s="47">
        <v>2944750000</v>
      </c>
      <c r="AM215" s="48">
        <v>2981122875</v>
      </c>
      <c r="AN215" s="49">
        <v>570894579.03999996</v>
      </c>
      <c r="AO215" s="50">
        <v>8376318684.04</v>
      </c>
      <c r="AP215" s="66" t="s">
        <v>997</v>
      </c>
    </row>
    <row r="216" spans="1:42" customFormat="1" ht="89.25" x14ac:dyDescent="0.25">
      <c r="A216" s="36">
        <v>215</v>
      </c>
      <c r="B216" s="66" t="s">
        <v>630</v>
      </c>
      <c r="C216" s="66" t="s">
        <v>314</v>
      </c>
      <c r="D216" s="38" t="s">
        <v>2385</v>
      </c>
      <c r="E216" s="66" t="s">
        <v>1040</v>
      </c>
      <c r="F216" s="66" t="s">
        <v>1059</v>
      </c>
      <c r="G216" s="67">
        <v>1125</v>
      </c>
      <c r="H216" s="67">
        <v>2023</v>
      </c>
      <c r="I216" s="66" t="s">
        <v>1041</v>
      </c>
      <c r="J216" s="68" t="s">
        <v>1042</v>
      </c>
      <c r="K216" s="66" t="s">
        <v>36</v>
      </c>
      <c r="L216" s="66"/>
      <c r="M216" s="69" t="s">
        <v>997</v>
      </c>
      <c r="N216" s="67">
        <v>21</v>
      </c>
      <c r="O216" s="38" t="s">
        <v>1316</v>
      </c>
      <c r="P216" s="67">
        <v>2104</v>
      </c>
      <c r="Q216" s="66" t="s">
        <v>1035</v>
      </c>
      <c r="R216" s="67">
        <v>2104012</v>
      </c>
      <c r="S216" s="66" t="s">
        <v>1126</v>
      </c>
      <c r="T216" s="68" t="s">
        <v>1127</v>
      </c>
      <c r="U216" s="109" t="s">
        <v>1128</v>
      </c>
      <c r="V216" s="67">
        <v>210401200</v>
      </c>
      <c r="W216" s="66" t="s">
        <v>1129</v>
      </c>
      <c r="X216" s="69" t="s">
        <v>1130</v>
      </c>
      <c r="Y216" s="66" t="s">
        <v>36</v>
      </c>
      <c r="Z216" s="36">
        <v>0</v>
      </c>
      <c r="AA216" s="36" t="s">
        <v>2185</v>
      </c>
      <c r="AB216" s="36" t="s">
        <v>2369</v>
      </c>
      <c r="AC216" s="37" t="s">
        <v>2187</v>
      </c>
      <c r="AD216" s="37" t="s">
        <v>999</v>
      </c>
      <c r="AE216" s="37" t="s">
        <v>2329</v>
      </c>
      <c r="AF216" s="36" t="s">
        <v>2187</v>
      </c>
      <c r="AG216" s="97">
        <v>4</v>
      </c>
      <c r="AH216" s="98">
        <v>12</v>
      </c>
      <c r="AI216" s="99">
        <v>12</v>
      </c>
      <c r="AJ216" s="100">
        <v>12</v>
      </c>
      <c r="AK216" s="46">
        <v>28700000</v>
      </c>
      <c r="AL216" s="47">
        <v>60769380</v>
      </c>
      <c r="AM216" s="48">
        <v>63109001</v>
      </c>
      <c r="AN216" s="49">
        <v>65538698</v>
      </c>
      <c r="AO216" s="50">
        <v>218117079</v>
      </c>
      <c r="AP216" s="66" t="s">
        <v>997</v>
      </c>
    </row>
    <row r="217" spans="1:42" customFormat="1" ht="89.25" x14ac:dyDescent="0.25">
      <c r="A217" s="36">
        <v>216</v>
      </c>
      <c r="B217" s="66" t="s">
        <v>630</v>
      </c>
      <c r="C217" s="66" t="s">
        <v>314</v>
      </c>
      <c r="D217" s="38" t="s">
        <v>2385</v>
      </c>
      <c r="E217" s="66" t="s">
        <v>1040</v>
      </c>
      <c r="F217" s="66" t="s">
        <v>1059</v>
      </c>
      <c r="G217" s="67">
        <v>1125</v>
      </c>
      <c r="H217" s="67">
        <v>2023</v>
      </c>
      <c r="I217" s="66" t="s">
        <v>1041</v>
      </c>
      <c r="J217" s="68" t="s">
        <v>1042</v>
      </c>
      <c r="K217" s="66" t="s">
        <v>36</v>
      </c>
      <c r="L217" s="66"/>
      <c r="M217" s="69" t="s">
        <v>997</v>
      </c>
      <c r="N217" s="67">
        <v>21</v>
      </c>
      <c r="O217" s="38" t="s">
        <v>1316</v>
      </c>
      <c r="P217" s="67">
        <v>2104</v>
      </c>
      <c r="Q217" s="66" t="s">
        <v>1035</v>
      </c>
      <c r="R217" s="67">
        <v>2104018</v>
      </c>
      <c r="S217" s="66" t="s">
        <v>1131</v>
      </c>
      <c r="T217" s="68" t="s">
        <v>1132</v>
      </c>
      <c r="U217" s="109" t="s">
        <v>1133</v>
      </c>
      <c r="V217" s="67">
        <v>210401800</v>
      </c>
      <c r="W217" s="66" t="s">
        <v>1134</v>
      </c>
      <c r="X217" s="69" t="s">
        <v>1135</v>
      </c>
      <c r="Y217" s="66" t="s">
        <v>36</v>
      </c>
      <c r="Z217" s="36">
        <v>0</v>
      </c>
      <c r="AA217" s="36" t="s">
        <v>2336</v>
      </c>
      <c r="AB217" s="36" t="s">
        <v>2369</v>
      </c>
      <c r="AC217" s="37" t="s">
        <v>2187</v>
      </c>
      <c r="AD217" s="37" t="s">
        <v>999</v>
      </c>
      <c r="AE217" s="37" t="s">
        <v>2329</v>
      </c>
      <c r="AF217" s="36" t="s">
        <v>2187</v>
      </c>
      <c r="AG217" s="97">
        <v>4</v>
      </c>
      <c r="AH217" s="98">
        <v>12</v>
      </c>
      <c r="AI217" s="99">
        <v>12</v>
      </c>
      <c r="AJ217" s="100">
        <v>12</v>
      </c>
      <c r="AK217" s="46">
        <v>107600000</v>
      </c>
      <c r="AL217" s="47">
        <v>327832240</v>
      </c>
      <c r="AM217" s="48">
        <v>236603781</v>
      </c>
      <c r="AN217" s="49">
        <v>245713027</v>
      </c>
      <c r="AO217" s="50">
        <v>917749048</v>
      </c>
      <c r="AP217" s="66" t="s">
        <v>997</v>
      </c>
    </row>
    <row r="218" spans="1:42" customFormat="1" ht="89.25" x14ac:dyDescent="0.25">
      <c r="A218" s="36">
        <v>217</v>
      </c>
      <c r="B218" s="66" t="s">
        <v>630</v>
      </c>
      <c r="C218" s="66" t="s">
        <v>314</v>
      </c>
      <c r="D218" s="38" t="s">
        <v>2385</v>
      </c>
      <c r="E218" s="66" t="s">
        <v>1040</v>
      </c>
      <c r="F218" s="66" t="s">
        <v>1059</v>
      </c>
      <c r="G218" s="67">
        <v>1125</v>
      </c>
      <c r="H218" s="67">
        <v>2023</v>
      </c>
      <c r="I218" s="66" t="s">
        <v>1041</v>
      </c>
      <c r="J218" s="68" t="s">
        <v>1042</v>
      </c>
      <c r="K218" s="66" t="s">
        <v>36</v>
      </c>
      <c r="L218" s="66"/>
      <c r="M218" s="69" t="s">
        <v>997</v>
      </c>
      <c r="N218" s="67">
        <v>21</v>
      </c>
      <c r="O218" s="38" t="s">
        <v>1316</v>
      </c>
      <c r="P218" s="67">
        <v>2104</v>
      </c>
      <c r="Q218" s="66" t="s">
        <v>1035</v>
      </c>
      <c r="R218" s="67">
        <v>2104022</v>
      </c>
      <c r="S218" s="66" t="s">
        <v>1136</v>
      </c>
      <c r="T218" s="68" t="s">
        <v>1137</v>
      </c>
      <c r="U218" s="109" t="s">
        <v>203</v>
      </c>
      <c r="V218" s="67">
        <v>210402200</v>
      </c>
      <c r="W218" s="66" t="s">
        <v>275</v>
      </c>
      <c r="X218" s="69" t="s">
        <v>1138</v>
      </c>
      <c r="Y218" s="66" t="s">
        <v>36</v>
      </c>
      <c r="Z218" s="36">
        <v>0</v>
      </c>
      <c r="AA218" s="36" t="s">
        <v>2336</v>
      </c>
      <c r="AB218" s="36" t="s">
        <v>2369</v>
      </c>
      <c r="AC218" s="37" t="s">
        <v>2187</v>
      </c>
      <c r="AD218" s="37" t="s">
        <v>999</v>
      </c>
      <c r="AE218" s="37" t="s">
        <v>2329</v>
      </c>
      <c r="AF218" s="36" t="s">
        <v>2187</v>
      </c>
      <c r="AG218" s="151">
        <v>0</v>
      </c>
      <c r="AH218" s="102">
        <v>30</v>
      </c>
      <c r="AI218" s="103">
        <v>70</v>
      </c>
      <c r="AJ218" s="104">
        <v>0</v>
      </c>
      <c r="AK218" s="46">
        <v>0</v>
      </c>
      <c r="AL218" s="47">
        <v>1000000000</v>
      </c>
      <c r="AM218" s="48">
        <v>2335402610</v>
      </c>
      <c r="AN218" s="49">
        <v>0</v>
      </c>
      <c r="AO218" s="50">
        <v>3335402610</v>
      </c>
      <c r="AP218" s="66" t="s">
        <v>997</v>
      </c>
    </row>
    <row r="219" spans="1:42" customFormat="1" ht="89.25" x14ac:dyDescent="0.25">
      <c r="A219" s="36">
        <v>218</v>
      </c>
      <c r="B219" s="66" t="s">
        <v>630</v>
      </c>
      <c r="C219" s="66" t="s">
        <v>314</v>
      </c>
      <c r="D219" s="38" t="s">
        <v>2385</v>
      </c>
      <c r="E219" s="66" t="s">
        <v>1040</v>
      </c>
      <c r="F219" s="66" t="s">
        <v>1059</v>
      </c>
      <c r="G219" s="67">
        <v>1125</v>
      </c>
      <c r="H219" s="67">
        <v>2023</v>
      </c>
      <c r="I219" s="66" t="s">
        <v>1041</v>
      </c>
      <c r="J219" s="68" t="s">
        <v>1042</v>
      </c>
      <c r="K219" s="66" t="s">
        <v>36</v>
      </c>
      <c r="L219" s="66"/>
      <c r="M219" s="69" t="s">
        <v>997</v>
      </c>
      <c r="N219" s="67">
        <v>21</v>
      </c>
      <c r="O219" s="38" t="s">
        <v>1316</v>
      </c>
      <c r="P219" s="67">
        <v>2104</v>
      </c>
      <c r="Q219" s="66" t="s">
        <v>1035</v>
      </c>
      <c r="R219" s="67">
        <v>2104027</v>
      </c>
      <c r="S219" s="66" t="s">
        <v>1139</v>
      </c>
      <c r="T219" s="68" t="s">
        <v>1140</v>
      </c>
      <c r="U219" s="109" t="s">
        <v>839</v>
      </c>
      <c r="V219" s="67">
        <v>210402700</v>
      </c>
      <c r="W219" s="66" t="s">
        <v>1141</v>
      </c>
      <c r="X219" s="69" t="s">
        <v>1142</v>
      </c>
      <c r="Y219" s="66" t="s">
        <v>36</v>
      </c>
      <c r="Z219" s="36">
        <v>0</v>
      </c>
      <c r="AA219" s="36" t="s">
        <v>2336</v>
      </c>
      <c r="AB219" s="36" t="s">
        <v>2369</v>
      </c>
      <c r="AC219" s="37" t="s">
        <v>2187</v>
      </c>
      <c r="AD219" s="37" t="s">
        <v>999</v>
      </c>
      <c r="AE219" s="37" t="s">
        <v>2329</v>
      </c>
      <c r="AF219" s="36" t="s">
        <v>2187</v>
      </c>
      <c r="AG219" s="97">
        <v>2</v>
      </c>
      <c r="AH219" s="98">
        <v>6</v>
      </c>
      <c r="AI219" s="99">
        <v>6</v>
      </c>
      <c r="AJ219" s="100">
        <v>6</v>
      </c>
      <c r="AK219" s="46">
        <v>76000000</v>
      </c>
      <c r="AL219" s="47">
        <v>80461200</v>
      </c>
      <c r="AM219" s="48">
        <v>83558956.200000003</v>
      </c>
      <c r="AN219" s="49">
        <v>86775976.010000005</v>
      </c>
      <c r="AO219" s="50">
        <v>326796132.20999998</v>
      </c>
      <c r="AP219" s="66" t="s">
        <v>997</v>
      </c>
    </row>
    <row r="220" spans="1:42" customFormat="1" ht="89.25" x14ac:dyDescent="0.25">
      <c r="A220" s="36">
        <v>219</v>
      </c>
      <c r="B220" s="66" t="s">
        <v>630</v>
      </c>
      <c r="C220" s="66" t="s">
        <v>314</v>
      </c>
      <c r="D220" s="38" t="s">
        <v>2385</v>
      </c>
      <c r="E220" s="66" t="s">
        <v>1040</v>
      </c>
      <c r="F220" s="66" t="s">
        <v>1059</v>
      </c>
      <c r="G220" s="67">
        <v>1125</v>
      </c>
      <c r="H220" s="67">
        <v>2023</v>
      </c>
      <c r="I220" s="66" t="s">
        <v>1041</v>
      </c>
      <c r="J220" s="68" t="s">
        <v>1042</v>
      </c>
      <c r="K220" s="67" t="s">
        <v>36</v>
      </c>
      <c r="L220" s="66" t="s">
        <v>679</v>
      </c>
      <c r="M220" s="69" t="s">
        <v>997</v>
      </c>
      <c r="N220" s="67">
        <v>45</v>
      </c>
      <c r="O220" s="37" t="s">
        <v>786</v>
      </c>
      <c r="P220" s="67">
        <v>4599</v>
      </c>
      <c r="Q220" s="66" t="s">
        <v>1143</v>
      </c>
      <c r="R220" s="67">
        <v>4599025</v>
      </c>
      <c r="S220" s="66" t="s">
        <v>1144</v>
      </c>
      <c r="T220" s="68" t="s">
        <v>1145</v>
      </c>
      <c r="U220" s="66" t="s">
        <v>301</v>
      </c>
      <c r="V220" s="67">
        <v>459902500</v>
      </c>
      <c r="W220" s="66" t="s">
        <v>1146</v>
      </c>
      <c r="X220" s="69" t="s">
        <v>1996</v>
      </c>
      <c r="Y220" s="37" t="s">
        <v>36</v>
      </c>
      <c r="Z220" s="36">
        <v>0</v>
      </c>
      <c r="AA220" s="36" t="s">
        <v>2185</v>
      </c>
      <c r="AB220" s="36" t="s">
        <v>2184</v>
      </c>
      <c r="AC220" s="37" t="s">
        <v>2187</v>
      </c>
      <c r="AD220" s="37" t="s">
        <v>263</v>
      </c>
      <c r="AE220" s="37" t="s">
        <v>2219</v>
      </c>
      <c r="AF220" s="37" t="s">
        <v>2188</v>
      </c>
      <c r="AG220" s="151">
        <v>0</v>
      </c>
      <c r="AH220" s="102">
        <v>0.4</v>
      </c>
      <c r="AI220" s="103">
        <v>0.3</v>
      </c>
      <c r="AJ220" s="104">
        <v>0.3</v>
      </c>
      <c r="AK220" s="46">
        <v>0</v>
      </c>
      <c r="AL220" s="47">
        <v>55000000</v>
      </c>
      <c r="AM220" s="48">
        <v>57117500</v>
      </c>
      <c r="AN220" s="49">
        <v>59316523.75</v>
      </c>
      <c r="AO220" s="50">
        <v>171434023.75</v>
      </c>
      <c r="AP220" s="66" t="s">
        <v>997</v>
      </c>
    </row>
    <row r="221" spans="1:42" customFormat="1" ht="89.25" x14ac:dyDescent="0.25">
      <c r="A221" s="36">
        <v>220</v>
      </c>
      <c r="B221" s="66" t="s">
        <v>630</v>
      </c>
      <c r="C221" s="66" t="s">
        <v>314</v>
      </c>
      <c r="D221" s="38" t="s">
        <v>2385</v>
      </c>
      <c r="E221" s="66" t="s">
        <v>1040</v>
      </c>
      <c r="F221" s="66" t="s">
        <v>1059</v>
      </c>
      <c r="G221" s="67">
        <v>1125</v>
      </c>
      <c r="H221" s="67">
        <v>2023</v>
      </c>
      <c r="I221" s="66" t="s">
        <v>1041</v>
      </c>
      <c r="J221" s="68" t="s">
        <v>1042</v>
      </c>
      <c r="K221" s="66" t="s">
        <v>36</v>
      </c>
      <c r="L221" s="66"/>
      <c r="M221" s="69" t="s">
        <v>997</v>
      </c>
      <c r="N221" s="67">
        <v>35</v>
      </c>
      <c r="O221" s="66" t="s">
        <v>319</v>
      </c>
      <c r="P221" s="67">
        <v>3502</v>
      </c>
      <c r="Q221" s="37" t="s">
        <v>320</v>
      </c>
      <c r="R221" s="67">
        <v>3502112</v>
      </c>
      <c r="S221" s="66" t="s">
        <v>1147</v>
      </c>
      <c r="T221" s="68" t="s">
        <v>1148</v>
      </c>
      <c r="U221" s="66" t="s">
        <v>500</v>
      </c>
      <c r="V221" s="67">
        <v>350211200</v>
      </c>
      <c r="W221" s="66" t="s">
        <v>1149</v>
      </c>
      <c r="X221" s="106" t="s">
        <v>1150</v>
      </c>
      <c r="Y221" s="37" t="s">
        <v>36</v>
      </c>
      <c r="Z221" s="36">
        <v>2</v>
      </c>
      <c r="AA221" s="36" t="s">
        <v>2185</v>
      </c>
      <c r="AB221" s="36" t="s">
        <v>2184</v>
      </c>
      <c r="AC221" s="37" t="s">
        <v>2187</v>
      </c>
      <c r="AD221" s="37" t="s">
        <v>2342</v>
      </c>
      <c r="AE221" s="37" t="s">
        <v>2219</v>
      </c>
      <c r="AF221" s="37" t="s">
        <v>2188</v>
      </c>
      <c r="AG221" s="97">
        <v>3</v>
      </c>
      <c r="AH221" s="98">
        <v>8</v>
      </c>
      <c r="AI221" s="99">
        <v>4</v>
      </c>
      <c r="AJ221" s="100">
        <v>3</v>
      </c>
      <c r="AK221" s="46">
        <v>80000000</v>
      </c>
      <c r="AL221" s="47">
        <v>84696000</v>
      </c>
      <c r="AM221" s="48">
        <v>87956796</v>
      </c>
      <c r="AN221" s="49">
        <v>91343132.650000006</v>
      </c>
      <c r="AO221" s="50">
        <v>343995928.64999998</v>
      </c>
      <c r="AP221" s="66" t="s">
        <v>997</v>
      </c>
    </row>
    <row r="222" spans="1:42" customFormat="1" ht="89.25" x14ac:dyDescent="0.25">
      <c r="A222" s="36">
        <v>221</v>
      </c>
      <c r="B222" s="37" t="s">
        <v>630</v>
      </c>
      <c r="C222" s="37" t="s">
        <v>314</v>
      </c>
      <c r="D222" s="38" t="s">
        <v>2385</v>
      </c>
      <c r="E222" s="37" t="s">
        <v>1152</v>
      </c>
      <c r="F222" s="37" t="s">
        <v>1153</v>
      </c>
      <c r="G222" s="40">
        <v>4.07E-2</v>
      </c>
      <c r="H222" s="36">
        <v>2023</v>
      </c>
      <c r="I222" s="37" t="s">
        <v>1154</v>
      </c>
      <c r="J222" s="38" t="s">
        <v>1155</v>
      </c>
      <c r="K222" s="37" t="s">
        <v>25</v>
      </c>
      <c r="L222" s="37" t="s">
        <v>27</v>
      </c>
      <c r="M222" s="37" t="s">
        <v>1156</v>
      </c>
      <c r="N222" s="36">
        <v>40</v>
      </c>
      <c r="O222" s="38" t="s">
        <v>1923</v>
      </c>
      <c r="P222" s="36" t="s">
        <v>1158</v>
      </c>
      <c r="Q222" s="37" t="s">
        <v>1159</v>
      </c>
      <c r="R222" s="36" t="s">
        <v>1160</v>
      </c>
      <c r="S222" s="37" t="s">
        <v>1161</v>
      </c>
      <c r="T222" s="38" t="s">
        <v>1162</v>
      </c>
      <c r="U222" s="37" t="s">
        <v>1163</v>
      </c>
      <c r="V222" s="36" t="s">
        <v>1164</v>
      </c>
      <c r="W222" s="37" t="s">
        <v>1161</v>
      </c>
      <c r="X222" s="41" t="s">
        <v>1165</v>
      </c>
      <c r="Y222" s="37" t="s">
        <v>36</v>
      </c>
      <c r="Z222" s="36">
        <f>276+150</f>
        <v>426</v>
      </c>
      <c r="AA222" s="36" t="s">
        <v>2185</v>
      </c>
      <c r="AB222" s="36" t="s">
        <v>2322</v>
      </c>
      <c r="AC222" s="37" t="s">
        <v>2323</v>
      </c>
      <c r="AD222" s="36" t="s">
        <v>2324</v>
      </c>
      <c r="AE222" s="36" t="s">
        <v>2188</v>
      </c>
      <c r="AF222" s="36" t="s">
        <v>2191</v>
      </c>
      <c r="AG222" s="52">
        <v>0</v>
      </c>
      <c r="AH222" s="53">
        <v>362</v>
      </c>
      <c r="AI222" s="54">
        <v>399</v>
      </c>
      <c r="AJ222" s="55">
        <v>439</v>
      </c>
      <c r="AK222" s="46">
        <v>0</v>
      </c>
      <c r="AL222" s="47">
        <v>51480000000</v>
      </c>
      <c r="AM222" s="48">
        <v>56628000000</v>
      </c>
      <c r="AN222" s="49">
        <v>62291000000</v>
      </c>
      <c r="AO222" s="50">
        <v>170399000000</v>
      </c>
      <c r="AP222" s="37" t="s">
        <v>1156</v>
      </c>
    </row>
    <row r="223" spans="1:42" customFormat="1" ht="89.25" x14ac:dyDescent="0.25">
      <c r="A223" s="36">
        <v>222</v>
      </c>
      <c r="B223" s="37" t="s">
        <v>630</v>
      </c>
      <c r="C223" s="37" t="s">
        <v>314</v>
      </c>
      <c r="D223" s="38" t="s">
        <v>2385</v>
      </c>
      <c r="E223" s="37" t="s">
        <v>1166</v>
      </c>
      <c r="F223" s="37" t="s">
        <v>1167</v>
      </c>
      <c r="G223" s="40">
        <v>0.1656</v>
      </c>
      <c r="H223" s="36">
        <v>2023</v>
      </c>
      <c r="I223" s="37" t="s">
        <v>1154</v>
      </c>
      <c r="J223" s="38" t="s">
        <v>1168</v>
      </c>
      <c r="K223" s="37" t="s">
        <v>25</v>
      </c>
      <c r="L223" s="37" t="s">
        <v>27</v>
      </c>
      <c r="M223" s="37" t="s">
        <v>1156</v>
      </c>
      <c r="N223" s="36">
        <v>40</v>
      </c>
      <c r="O223" s="38" t="s">
        <v>1923</v>
      </c>
      <c r="P223" s="36" t="s">
        <v>1158</v>
      </c>
      <c r="Q223" s="37" t="s">
        <v>1159</v>
      </c>
      <c r="R223" s="36" t="s">
        <v>1169</v>
      </c>
      <c r="S223" s="37" t="s">
        <v>1170</v>
      </c>
      <c r="T223" s="38" t="s">
        <v>1171</v>
      </c>
      <c r="U223" s="37" t="s">
        <v>1163</v>
      </c>
      <c r="V223" s="36" t="s">
        <v>1172</v>
      </c>
      <c r="W223" s="37" t="s">
        <v>1173</v>
      </c>
      <c r="X223" s="37" t="s">
        <v>2091</v>
      </c>
      <c r="Y223" s="37" t="s">
        <v>36</v>
      </c>
      <c r="Z223" s="36">
        <f>269+187.221</f>
        <v>456.221</v>
      </c>
      <c r="AA223" s="36" t="s">
        <v>2185</v>
      </c>
      <c r="AB223" s="36" t="s">
        <v>2322</v>
      </c>
      <c r="AC223" s="37" t="s">
        <v>2323</v>
      </c>
      <c r="AD223" s="36" t="s">
        <v>2324</v>
      </c>
      <c r="AE223" s="36" t="s">
        <v>2188</v>
      </c>
      <c r="AF223" s="36" t="s">
        <v>2191</v>
      </c>
      <c r="AG223" s="42">
        <v>67</v>
      </c>
      <c r="AH223" s="43">
        <v>74</v>
      </c>
      <c r="AI223" s="44">
        <v>81</v>
      </c>
      <c r="AJ223" s="45">
        <v>78</v>
      </c>
      <c r="AK223" s="46">
        <v>2479220945</v>
      </c>
      <c r="AL223" s="47">
        <v>2724831398</v>
      </c>
      <c r="AM223" s="48">
        <v>2971881354</v>
      </c>
      <c r="AN223" s="49">
        <v>2882997013</v>
      </c>
      <c r="AO223" s="50">
        <v>11058930710</v>
      </c>
      <c r="AP223" s="37" t="s">
        <v>1156</v>
      </c>
    </row>
    <row r="224" spans="1:42" customFormat="1" ht="89.25" x14ac:dyDescent="0.25">
      <c r="A224" s="36">
        <v>223</v>
      </c>
      <c r="B224" s="37" t="s">
        <v>630</v>
      </c>
      <c r="C224" s="37" t="s">
        <v>314</v>
      </c>
      <c r="D224" s="38" t="s">
        <v>2385</v>
      </c>
      <c r="E224" s="37" t="s">
        <v>1174</v>
      </c>
      <c r="F224" s="37" t="s">
        <v>1175</v>
      </c>
      <c r="G224" s="40">
        <v>0.40839999999999999</v>
      </c>
      <c r="H224" s="36">
        <v>2023</v>
      </c>
      <c r="I224" s="37" t="s">
        <v>1176</v>
      </c>
      <c r="J224" s="38" t="s">
        <v>1177</v>
      </c>
      <c r="K224" s="37" t="s">
        <v>25</v>
      </c>
      <c r="L224" s="37" t="s">
        <v>1178</v>
      </c>
      <c r="M224" s="37" t="s">
        <v>1156</v>
      </c>
      <c r="N224" s="36">
        <v>24</v>
      </c>
      <c r="O224" s="38" t="s">
        <v>1179</v>
      </c>
      <c r="P224" s="36">
        <v>2401</v>
      </c>
      <c r="Q224" s="37" t="s">
        <v>1180</v>
      </c>
      <c r="R224" s="36" t="s">
        <v>1181</v>
      </c>
      <c r="S224" s="37" t="s">
        <v>1182</v>
      </c>
      <c r="T224" s="38" t="s">
        <v>1183</v>
      </c>
      <c r="U224" s="37" t="s">
        <v>1184</v>
      </c>
      <c r="V224" s="36" t="s">
        <v>1185</v>
      </c>
      <c r="W224" s="37" t="s">
        <v>1186</v>
      </c>
      <c r="X224" s="41" t="s">
        <v>1187</v>
      </c>
      <c r="Y224" s="37" t="s">
        <v>1188</v>
      </c>
      <c r="Z224" s="36">
        <v>0</v>
      </c>
      <c r="AA224" s="36" t="s">
        <v>2185</v>
      </c>
      <c r="AB224" s="36" t="s">
        <v>2322</v>
      </c>
      <c r="AC224" s="37" t="s">
        <v>2323</v>
      </c>
      <c r="AD224" s="36" t="s">
        <v>2374</v>
      </c>
      <c r="AE224" s="36" t="s">
        <v>2191</v>
      </c>
      <c r="AF224" s="36" t="s">
        <v>2188</v>
      </c>
      <c r="AG224" s="52">
        <v>1</v>
      </c>
      <c r="AH224" s="153">
        <v>3</v>
      </c>
      <c r="AI224" s="154">
        <v>3</v>
      </c>
      <c r="AJ224" s="155">
        <v>3</v>
      </c>
      <c r="AK224" s="46">
        <v>10000000000</v>
      </c>
      <c r="AL224" s="47">
        <v>30000000000</v>
      </c>
      <c r="AM224" s="48">
        <v>30000000000</v>
      </c>
      <c r="AN224" s="49">
        <v>30000000000</v>
      </c>
      <c r="AO224" s="50">
        <v>100000000000</v>
      </c>
      <c r="AP224" s="37" t="s">
        <v>1156</v>
      </c>
    </row>
    <row r="225" spans="1:42" customFormat="1" ht="89.25" x14ac:dyDescent="0.25">
      <c r="A225" s="36">
        <v>224</v>
      </c>
      <c r="B225" s="37" t="s">
        <v>630</v>
      </c>
      <c r="C225" s="37" t="s">
        <v>314</v>
      </c>
      <c r="D225" s="38" t="s">
        <v>2385</v>
      </c>
      <c r="E225" s="37" t="s">
        <v>1174</v>
      </c>
      <c r="F225" s="37" t="s">
        <v>1175</v>
      </c>
      <c r="G225" s="40">
        <v>0.40839999999999999</v>
      </c>
      <c r="H225" s="36">
        <v>2023</v>
      </c>
      <c r="I225" s="37" t="s">
        <v>1176</v>
      </c>
      <c r="J225" s="38" t="s">
        <v>1177</v>
      </c>
      <c r="K225" s="37" t="s">
        <v>25</v>
      </c>
      <c r="L225" s="37" t="s">
        <v>1178</v>
      </c>
      <c r="M225" s="37" t="s">
        <v>1156</v>
      </c>
      <c r="N225" s="36">
        <v>24</v>
      </c>
      <c r="O225" s="38" t="s">
        <v>1179</v>
      </c>
      <c r="P225" s="36" t="s">
        <v>1189</v>
      </c>
      <c r="Q225" s="37" t="s">
        <v>1190</v>
      </c>
      <c r="R225" s="36" t="s">
        <v>1191</v>
      </c>
      <c r="S225" s="37" t="s">
        <v>1192</v>
      </c>
      <c r="T225" s="38" t="s">
        <v>1193</v>
      </c>
      <c r="U225" s="37" t="s">
        <v>1194</v>
      </c>
      <c r="V225" s="36" t="s">
        <v>1195</v>
      </c>
      <c r="W225" s="37" t="s">
        <v>1196</v>
      </c>
      <c r="X225" s="41" t="s">
        <v>1197</v>
      </c>
      <c r="Y225" s="37" t="s">
        <v>1188</v>
      </c>
      <c r="Z225" s="36">
        <v>0</v>
      </c>
      <c r="AA225" s="36" t="s">
        <v>2185</v>
      </c>
      <c r="AB225" s="36" t="s">
        <v>2322</v>
      </c>
      <c r="AC225" s="37" t="s">
        <v>2323</v>
      </c>
      <c r="AD225" s="36" t="s">
        <v>2374</v>
      </c>
      <c r="AE225" s="36" t="s">
        <v>2191</v>
      </c>
      <c r="AF225" s="36" t="s">
        <v>2188</v>
      </c>
      <c r="AG225" s="52">
        <v>0</v>
      </c>
      <c r="AH225" s="153">
        <v>12</v>
      </c>
      <c r="AI225" s="154">
        <v>8</v>
      </c>
      <c r="AJ225" s="155">
        <v>0</v>
      </c>
      <c r="AK225" s="46">
        <v>0</v>
      </c>
      <c r="AL225" s="47">
        <v>69600000000</v>
      </c>
      <c r="AM225" s="48">
        <v>50400000000</v>
      </c>
      <c r="AN225" s="49">
        <v>0</v>
      </c>
      <c r="AO225" s="50">
        <v>120000000000</v>
      </c>
      <c r="AP225" s="37" t="s">
        <v>1156</v>
      </c>
    </row>
    <row r="226" spans="1:42" customFormat="1" ht="89.25" x14ac:dyDescent="0.25">
      <c r="A226" s="36">
        <v>225</v>
      </c>
      <c r="B226" s="37" t="s">
        <v>630</v>
      </c>
      <c r="C226" s="37" t="s">
        <v>314</v>
      </c>
      <c r="D226" s="38" t="s">
        <v>2385</v>
      </c>
      <c r="E226" s="37" t="s">
        <v>1174</v>
      </c>
      <c r="F226" s="37" t="s">
        <v>1175</v>
      </c>
      <c r="G226" s="40">
        <v>0.40839999999999999</v>
      </c>
      <c r="H226" s="36">
        <v>2023</v>
      </c>
      <c r="I226" s="37" t="s">
        <v>1176</v>
      </c>
      <c r="J226" s="38" t="s">
        <v>1177</v>
      </c>
      <c r="K226" s="37" t="s">
        <v>25</v>
      </c>
      <c r="L226" s="37" t="s">
        <v>1178</v>
      </c>
      <c r="M226" s="37" t="s">
        <v>1156</v>
      </c>
      <c r="N226" s="36">
        <v>24</v>
      </c>
      <c r="O226" s="38" t="s">
        <v>1179</v>
      </c>
      <c r="P226" s="36" t="s">
        <v>1189</v>
      </c>
      <c r="Q226" s="37" t="s">
        <v>1190</v>
      </c>
      <c r="R226" s="36" t="s">
        <v>1198</v>
      </c>
      <c r="S226" s="37" t="s">
        <v>1199</v>
      </c>
      <c r="T226" s="38" t="s">
        <v>1200</v>
      </c>
      <c r="U226" s="37" t="s">
        <v>1194</v>
      </c>
      <c r="V226" s="36" t="s">
        <v>1201</v>
      </c>
      <c r="W226" s="37" t="s">
        <v>1199</v>
      </c>
      <c r="X226" s="37" t="s">
        <v>2092</v>
      </c>
      <c r="Y226" s="37" t="s">
        <v>1188</v>
      </c>
      <c r="Z226" s="36">
        <v>35.36</v>
      </c>
      <c r="AA226" s="36" t="s">
        <v>2185</v>
      </c>
      <c r="AB226" s="36" t="s">
        <v>2322</v>
      </c>
      <c r="AC226" s="37" t="s">
        <v>2323</v>
      </c>
      <c r="AD226" s="36" t="s">
        <v>2374</v>
      </c>
      <c r="AE226" s="36" t="s">
        <v>2191</v>
      </c>
      <c r="AF226" s="36" t="s">
        <v>2188</v>
      </c>
      <c r="AG226" s="52">
        <v>0</v>
      </c>
      <c r="AH226" s="156">
        <v>8.5</v>
      </c>
      <c r="AI226" s="157">
        <v>0</v>
      </c>
      <c r="AJ226" s="158">
        <v>0</v>
      </c>
      <c r="AK226" s="46">
        <v>0</v>
      </c>
      <c r="AL226" s="47">
        <v>32975655588</v>
      </c>
      <c r="AM226" s="48">
        <v>0</v>
      </c>
      <c r="AN226" s="49">
        <v>0</v>
      </c>
      <c r="AO226" s="50">
        <v>32975655588</v>
      </c>
      <c r="AP226" s="37" t="s">
        <v>1156</v>
      </c>
    </row>
    <row r="227" spans="1:42" customFormat="1" ht="89.25" x14ac:dyDescent="0.25">
      <c r="A227" s="36">
        <v>226</v>
      </c>
      <c r="B227" s="37" t="s">
        <v>630</v>
      </c>
      <c r="C227" s="37" t="s">
        <v>314</v>
      </c>
      <c r="D227" s="38" t="s">
        <v>2385</v>
      </c>
      <c r="E227" s="37" t="s">
        <v>1174</v>
      </c>
      <c r="F227" s="37" t="s">
        <v>1175</v>
      </c>
      <c r="G227" s="40">
        <v>0.40839999999999999</v>
      </c>
      <c r="H227" s="36">
        <v>2023</v>
      </c>
      <c r="I227" s="37" t="s">
        <v>1176</v>
      </c>
      <c r="J227" s="38" t="s">
        <v>1177</v>
      </c>
      <c r="K227" s="37" t="s">
        <v>25</v>
      </c>
      <c r="L227" s="37" t="s">
        <v>1178</v>
      </c>
      <c r="M227" s="37" t="s">
        <v>1156</v>
      </c>
      <c r="N227" s="36">
        <v>24</v>
      </c>
      <c r="O227" s="38" t="s">
        <v>1179</v>
      </c>
      <c r="P227" s="36" t="s">
        <v>1189</v>
      </c>
      <c r="Q227" s="37" t="s">
        <v>1190</v>
      </c>
      <c r="R227" s="36" t="s">
        <v>1202</v>
      </c>
      <c r="S227" s="37" t="s">
        <v>1203</v>
      </c>
      <c r="T227" s="38" t="s">
        <v>1204</v>
      </c>
      <c r="U227" s="37" t="s">
        <v>1194</v>
      </c>
      <c r="V227" s="36" t="s">
        <v>1205</v>
      </c>
      <c r="W227" s="37" t="s">
        <v>1206</v>
      </c>
      <c r="X227" s="37" t="s">
        <v>2093</v>
      </c>
      <c r="Y227" s="37" t="s">
        <v>1188</v>
      </c>
      <c r="Z227" s="36">
        <v>170.03</v>
      </c>
      <c r="AA227" s="36" t="s">
        <v>2185</v>
      </c>
      <c r="AB227" s="36" t="s">
        <v>2322</v>
      </c>
      <c r="AC227" s="37" t="s">
        <v>2323</v>
      </c>
      <c r="AD227" s="36" t="s">
        <v>2374</v>
      </c>
      <c r="AE227" s="36" t="s">
        <v>2191</v>
      </c>
      <c r="AF227" s="36" t="s">
        <v>2188</v>
      </c>
      <c r="AG227" s="52">
        <v>2</v>
      </c>
      <c r="AH227" s="153">
        <v>4</v>
      </c>
      <c r="AI227" s="154">
        <v>4</v>
      </c>
      <c r="AJ227" s="155">
        <v>0</v>
      </c>
      <c r="AK227" s="46">
        <v>10000000000</v>
      </c>
      <c r="AL227" s="47">
        <v>20000000000</v>
      </c>
      <c r="AM227" s="48">
        <v>20000000000</v>
      </c>
      <c r="AN227" s="49">
        <v>0</v>
      </c>
      <c r="AO227" s="50">
        <v>50000000000</v>
      </c>
      <c r="AP227" s="37" t="s">
        <v>1156</v>
      </c>
    </row>
    <row r="228" spans="1:42" customFormat="1" ht="89.25" x14ac:dyDescent="0.25">
      <c r="A228" s="36">
        <v>227</v>
      </c>
      <c r="B228" s="37" t="s">
        <v>630</v>
      </c>
      <c r="C228" s="37" t="s">
        <v>314</v>
      </c>
      <c r="D228" s="38" t="s">
        <v>2385</v>
      </c>
      <c r="E228" s="37" t="s">
        <v>1174</v>
      </c>
      <c r="F228" s="37" t="s">
        <v>1175</v>
      </c>
      <c r="G228" s="40">
        <v>0.40839999999999999</v>
      </c>
      <c r="H228" s="36">
        <v>2023</v>
      </c>
      <c r="I228" s="37" t="s">
        <v>1176</v>
      </c>
      <c r="J228" s="38" t="s">
        <v>1177</v>
      </c>
      <c r="K228" s="37" t="s">
        <v>25</v>
      </c>
      <c r="L228" s="37" t="s">
        <v>1178</v>
      </c>
      <c r="M228" s="37" t="s">
        <v>1156</v>
      </c>
      <c r="N228" s="36">
        <v>24</v>
      </c>
      <c r="O228" s="38" t="s">
        <v>1179</v>
      </c>
      <c r="P228" s="36" t="s">
        <v>1189</v>
      </c>
      <c r="Q228" s="37" t="s">
        <v>1190</v>
      </c>
      <c r="R228" s="36" t="s">
        <v>1207</v>
      </c>
      <c r="S228" s="37" t="s">
        <v>1208</v>
      </c>
      <c r="T228" s="38" t="s">
        <v>1209</v>
      </c>
      <c r="U228" s="37" t="s">
        <v>1194</v>
      </c>
      <c r="V228" s="36" t="s">
        <v>1210</v>
      </c>
      <c r="W228" s="37" t="s">
        <v>1208</v>
      </c>
      <c r="X228" s="41" t="s">
        <v>1211</v>
      </c>
      <c r="Y228" s="37" t="s">
        <v>1188</v>
      </c>
      <c r="Z228" s="36">
        <v>4112</v>
      </c>
      <c r="AA228" s="36" t="s">
        <v>2185</v>
      </c>
      <c r="AB228" s="36" t="s">
        <v>2322</v>
      </c>
      <c r="AC228" s="37" t="s">
        <v>2323</v>
      </c>
      <c r="AD228" s="36" t="s">
        <v>2374</v>
      </c>
      <c r="AE228" s="36" t="s">
        <v>2191</v>
      </c>
      <c r="AF228" s="36" t="s">
        <v>2188</v>
      </c>
      <c r="AG228" s="52">
        <v>448</v>
      </c>
      <c r="AH228" s="153">
        <v>793</v>
      </c>
      <c r="AI228" s="154">
        <v>846</v>
      </c>
      <c r="AJ228" s="155">
        <v>913</v>
      </c>
      <c r="AK228" s="46">
        <v>3689392447</v>
      </c>
      <c r="AL228" s="47">
        <v>6538076079</v>
      </c>
      <c r="AM228" s="48">
        <v>6967495544</v>
      </c>
      <c r="AN228" s="49">
        <v>7528000767</v>
      </c>
      <c r="AO228" s="50">
        <v>24722964837</v>
      </c>
      <c r="AP228" s="37" t="s">
        <v>1156</v>
      </c>
    </row>
    <row r="229" spans="1:42" customFormat="1" ht="89.25" x14ac:dyDescent="0.25">
      <c r="A229" s="36">
        <v>228</v>
      </c>
      <c r="B229" s="37" t="s">
        <v>630</v>
      </c>
      <c r="C229" s="37" t="s">
        <v>314</v>
      </c>
      <c r="D229" s="38" t="s">
        <v>2385</v>
      </c>
      <c r="E229" s="37" t="s">
        <v>1174</v>
      </c>
      <c r="F229" s="37" t="s">
        <v>1175</v>
      </c>
      <c r="G229" s="40">
        <v>0.40839999999999999</v>
      </c>
      <c r="H229" s="36">
        <v>2023</v>
      </c>
      <c r="I229" s="37" t="s">
        <v>1176</v>
      </c>
      <c r="J229" s="38" t="s">
        <v>1177</v>
      </c>
      <c r="K229" s="37" t="s">
        <v>25</v>
      </c>
      <c r="L229" s="37" t="s">
        <v>1178</v>
      </c>
      <c r="M229" s="37" t="s">
        <v>1156</v>
      </c>
      <c r="N229" s="36">
        <v>24</v>
      </c>
      <c r="O229" s="38" t="s">
        <v>1179</v>
      </c>
      <c r="P229" s="36" t="s">
        <v>1189</v>
      </c>
      <c r="Q229" s="37" t="s">
        <v>1190</v>
      </c>
      <c r="R229" s="36" t="s">
        <v>1212</v>
      </c>
      <c r="S229" s="37" t="s">
        <v>1213</v>
      </c>
      <c r="T229" s="38" t="s">
        <v>1214</v>
      </c>
      <c r="U229" s="37" t="s">
        <v>1194</v>
      </c>
      <c r="V229" s="36" t="s">
        <v>1215</v>
      </c>
      <c r="W229" s="37" t="s">
        <v>1216</v>
      </c>
      <c r="X229" s="41" t="s">
        <v>1217</v>
      </c>
      <c r="Y229" s="37" t="s">
        <v>1188</v>
      </c>
      <c r="Z229" s="36">
        <v>0</v>
      </c>
      <c r="AA229" s="36" t="s">
        <v>2185</v>
      </c>
      <c r="AB229" s="36" t="s">
        <v>2322</v>
      </c>
      <c r="AC229" s="37" t="s">
        <v>2323</v>
      </c>
      <c r="AD229" s="36" t="s">
        <v>2374</v>
      </c>
      <c r="AE229" s="36" t="s">
        <v>2191</v>
      </c>
      <c r="AF229" s="36" t="s">
        <v>2188</v>
      </c>
      <c r="AG229" s="52">
        <v>65</v>
      </c>
      <c r="AH229" s="153">
        <v>71</v>
      </c>
      <c r="AI229" s="154">
        <v>78</v>
      </c>
      <c r="AJ229" s="155">
        <v>86</v>
      </c>
      <c r="AK229" s="46">
        <v>400000000</v>
      </c>
      <c r="AL229" s="47">
        <v>440000000</v>
      </c>
      <c r="AM229" s="48">
        <v>484000000</v>
      </c>
      <c r="AN229" s="49">
        <v>532400000</v>
      </c>
      <c r="AO229" s="50">
        <v>1856400000</v>
      </c>
      <c r="AP229" s="37" t="s">
        <v>1156</v>
      </c>
    </row>
    <row r="230" spans="1:42" customFormat="1" ht="89.25" x14ac:dyDescent="0.25">
      <c r="A230" s="36">
        <v>229</v>
      </c>
      <c r="B230" s="37" t="s">
        <v>630</v>
      </c>
      <c r="C230" s="37" t="s">
        <v>314</v>
      </c>
      <c r="D230" s="38" t="s">
        <v>2385</v>
      </c>
      <c r="E230" s="37" t="s">
        <v>1174</v>
      </c>
      <c r="F230" s="37" t="s">
        <v>1175</v>
      </c>
      <c r="G230" s="40">
        <v>0.40839999999999999</v>
      </c>
      <c r="H230" s="36">
        <v>2023</v>
      </c>
      <c r="I230" s="37" t="s">
        <v>1176</v>
      </c>
      <c r="J230" s="38" t="s">
        <v>1177</v>
      </c>
      <c r="K230" s="37" t="s">
        <v>25</v>
      </c>
      <c r="L230" s="37" t="s">
        <v>1178</v>
      </c>
      <c r="M230" s="37" t="s">
        <v>1156</v>
      </c>
      <c r="N230" s="36">
        <v>24</v>
      </c>
      <c r="O230" s="38" t="s">
        <v>1179</v>
      </c>
      <c r="P230" s="36" t="s">
        <v>1189</v>
      </c>
      <c r="Q230" s="37" t="s">
        <v>1190</v>
      </c>
      <c r="R230" s="36" t="s">
        <v>1218</v>
      </c>
      <c r="S230" s="37" t="s">
        <v>2497</v>
      </c>
      <c r="T230" s="38" t="s">
        <v>1219</v>
      </c>
      <c r="U230" s="37" t="s">
        <v>1220</v>
      </c>
      <c r="V230" s="36">
        <v>240203800</v>
      </c>
      <c r="W230" s="37" t="s">
        <v>2498</v>
      </c>
      <c r="X230" s="41" t="s">
        <v>1221</v>
      </c>
      <c r="Y230" s="37" t="s">
        <v>36</v>
      </c>
      <c r="Z230" s="36">
        <v>330.12349999999998</v>
      </c>
      <c r="AA230" s="36" t="s">
        <v>2185</v>
      </c>
      <c r="AB230" s="36" t="s">
        <v>2322</v>
      </c>
      <c r="AC230" s="37" t="s">
        <v>2323</v>
      </c>
      <c r="AD230" s="36" t="s">
        <v>2374</v>
      </c>
      <c r="AE230" s="36" t="s">
        <v>2191</v>
      </c>
      <c r="AF230" s="36" t="s">
        <v>2188</v>
      </c>
      <c r="AG230" s="42">
        <v>22</v>
      </c>
      <c r="AH230" s="43">
        <v>24</v>
      </c>
      <c r="AI230" s="44">
        <v>26</v>
      </c>
      <c r="AJ230" s="45">
        <v>28</v>
      </c>
      <c r="AK230" s="46">
        <v>142968456</v>
      </c>
      <c r="AL230" s="47">
        <v>157265301</v>
      </c>
      <c r="AM230" s="48">
        <v>171922147</v>
      </c>
      <c r="AN230" s="49">
        <v>186974993</v>
      </c>
      <c r="AO230" s="50">
        <v>659130897</v>
      </c>
      <c r="AP230" s="37" t="s">
        <v>1156</v>
      </c>
    </row>
    <row r="231" spans="1:42" customFormat="1" ht="89.25" x14ac:dyDescent="0.25">
      <c r="A231" s="36">
        <v>230</v>
      </c>
      <c r="B231" s="37" t="s">
        <v>630</v>
      </c>
      <c r="C231" s="37" t="s">
        <v>314</v>
      </c>
      <c r="D231" s="38" t="s">
        <v>2385</v>
      </c>
      <c r="E231" s="37" t="s">
        <v>1174</v>
      </c>
      <c r="F231" s="37" t="s">
        <v>1175</v>
      </c>
      <c r="G231" s="40">
        <v>0.40839999999999999</v>
      </c>
      <c r="H231" s="36">
        <v>2023</v>
      </c>
      <c r="I231" s="37" t="s">
        <v>1176</v>
      </c>
      <c r="J231" s="38" t="s">
        <v>1177</v>
      </c>
      <c r="K231" s="37" t="s">
        <v>25</v>
      </c>
      <c r="L231" s="37" t="s">
        <v>1178</v>
      </c>
      <c r="M231" s="37" t="s">
        <v>1156</v>
      </c>
      <c r="N231" s="36">
        <v>24</v>
      </c>
      <c r="O231" s="38" t="s">
        <v>1179</v>
      </c>
      <c r="P231" s="36" t="s">
        <v>1189</v>
      </c>
      <c r="Q231" s="37" t="s">
        <v>1190</v>
      </c>
      <c r="R231" s="36" t="s">
        <v>1222</v>
      </c>
      <c r="S231" s="37" t="s">
        <v>1223</v>
      </c>
      <c r="T231" s="38" t="s">
        <v>1224</v>
      </c>
      <c r="U231" s="37" t="s">
        <v>1225</v>
      </c>
      <c r="V231" s="36" t="s">
        <v>1226</v>
      </c>
      <c r="W231" s="37" t="s">
        <v>1223</v>
      </c>
      <c r="X231" s="37" t="s">
        <v>2094</v>
      </c>
      <c r="Y231" s="37" t="s">
        <v>1188</v>
      </c>
      <c r="Z231" s="36">
        <v>149.874</v>
      </c>
      <c r="AA231" s="36" t="s">
        <v>2185</v>
      </c>
      <c r="AB231" s="36" t="s">
        <v>2322</v>
      </c>
      <c r="AC231" s="37" t="s">
        <v>2323</v>
      </c>
      <c r="AD231" s="36" t="s">
        <v>2374</v>
      </c>
      <c r="AE231" s="36" t="s">
        <v>2191</v>
      </c>
      <c r="AF231" s="36" t="s">
        <v>2188</v>
      </c>
      <c r="AG231" s="159">
        <v>4.7</v>
      </c>
      <c r="AH231" s="156">
        <v>24.7</v>
      </c>
      <c r="AI231" s="157">
        <v>25</v>
      </c>
      <c r="AJ231" s="158">
        <v>8.6</v>
      </c>
      <c r="AK231" s="46">
        <v>18861401302</v>
      </c>
      <c r="AL231" s="47">
        <v>99484952782</v>
      </c>
      <c r="AM231" s="48">
        <v>100414908072</v>
      </c>
      <c r="AN231" s="49">
        <v>34525387798</v>
      </c>
      <c r="AO231" s="50">
        <v>253286649954</v>
      </c>
      <c r="AP231" s="37" t="s">
        <v>1156</v>
      </c>
    </row>
    <row r="232" spans="1:42" customFormat="1" ht="89.25" x14ac:dyDescent="0.25">
      <c r="A232" s="36">
        <v>231</v>
      </c>
      <c r="B232" s="37" t="s">
        <v>630</v>
      </c>
      <c r="C232" s="37" t="s">
        <v>314</v>
      </c>
      <c r="D232" s="38" t="s">
        <v>2385</v>
      </c>
      <c r="E232" s="37" t="s">
        <v>1174</v>
      </c>
      <c r="F232" s="37" t="s">
        <v>1175</v>
      </c>
      <c r="G232" s="40">
        <v>0.40839999999999999</v>
      </c>
      <c r="H232" s="36">
        <v>2023</v>
      </c>
      <c r="I232" s="37" t="s">
        <v>1176</v>
      </c>
      <c r="J232" s="38" t="s">
        <v>1177</v>
      </c>
      <c r="K232" s="37" t="s">
        <v>25</v>
      </c>
      <c r="L232" s="37" t="s">
        <v>1178</v>
      </c>
      <c r="M232" s="37" t="s">
        <v>1156</v>
      </c>
      <c r="N232" s="36">
        <v>24</v>
      </c>
      <c r="O232" s="38" t="s">
        <v>1179</v>
      </c>
      <c r="P232" s="36" t="s">
        <v>1189</v>
      </c>
      <c r="Q232" s="37" t="s">
        <v>1190</v>
      </c>
      <c r="R232" s="36" t="s">
        <v>1227</v>
      </c>
      <c r="S232" s="37" t="s">
        <v>1228</v>
      </c>
      <c r="T232" s="38" t="s">
        <v>1229</v>
      </c>
      <c r="U232" s="37" t="s">
        <v>1225</v>
      </c>
      <c r="V232" s="36">
        <v>240211200</v>
      </c>
      <c r="W232" s="37" t="s">
        <v>2499</v>
      </c>
      <c r="X232" s="41" t="s">
        <v>1230</v>
      </c>
      <c r="Y232" s="37" t="s">
        <v>1188</v>
      </c>
      <c r="Z232" s="36">
        <v>6585</v>
      </c>
      <c r="AA232" s="36" t="s">
        <v>2185</v>
      </c>
      <c r="AB232" s="36" t="s">
        <v>2322</v>
      </c>
      <c r="AC232" s="37" t="s">
        <v>2323</v>
      </c>
      <c r="AD232" s="36" t="s">
        <v>2374</v>
      </c>
      <c r="AE232" s="36" t="s">
        <v>2191</v>
      </c>
      <c r="AF232" s="36" t="s">
        <v>2188</v>
      </c>
      <c r="AG232" s="42">
        <v>729</v>
      </c>
      <c r="AH232" s="43">
        <v>1166</v>
      </c>
      <c r="AI232" s="44">
        <v>1250</v>
      </c>
      <c r="AJ232" s="45">
        <v>1355</v>
      </c>
      <c r="AK232" s="46">
        <v>7446850791.6800003</v>
      </c>
      <c r="AL232" s="47">
        <v>11911152452</v>
      </c>
      <c r="AM232" s="48">
        <v>12765685482</v>
      </c>
      <c r="AN232" s="49">
        <v>13837887533</v>
      </c>
      <c r="AO232" s="50">
        <v>45961576258.68</v>
      </c>
      <c r="AP232" s="37" t="s">
        <v>1156</v>
      </c>
    </row>
    <row r="233" spans="1:42" customFormat="1" ht="89.25" x14ac:dyDescent="0.25">
      <c r="A233" s="36">
        <v>232</v>
      </c>
      <c r="B233" s="37" t="s">
        <v>630</v>
      </c>
      <c r="C233" s="37" t="s">
        <v>314</v>
      </c>
      <c r="D233" s="38" t="s">
        <v>2385</v>
      </c>
      <c r="E233" s="37" t="s">
        <v>1174</v>
      </c>
      <c r="F233" s="37" t="s">
        <v>1175</v>
      </c>
      <c r="G233" s="40">
        <v>0.40839999999999999</v>
      </c>
      <c r="H233" s="36">
        <v>2023</v>
      </c>
      <c r="I233" s="37" t="s">
        <v>1176</v>
      </c>
      <c r="J233" s="38" t="s">
        <v>1177</v>
      </c>
      <c r="K233" s="37" t="s">
        <v>25</v>
      </c>
      <c r="L233" s="37" t="s">
        <v>1178</v>
      </c>
      <c r="M233" s="37" t="s">
        <v>1156</v>
      </c>
      <c r="N233" s="36">
        <v>24</v>
      </c>
      <c r="O233" s="38" t="s">
        <v>1179</v>
      </c>
      <c r="P233" s="36" t="s">
        <v>1189</v>
      </c>
      <c r="Q233" s="37" t="s">
        <v>1190</v>
      </c>
      <c r="R233" s="36" t="s">
        <v>1231</v>
      </c>
      <c r="S233" s="37" t="s">
        <v>1232</v>
      </c>
      <c r="T233" s="38" t="s">
        <v>1233</v>
      </c>
      <c r="U233" s="37" t="s">
        <v>1225</v>
      </c>
      <c r="V233" s="36" t="s">
        <v>1234</v>
      </c>
      <c r="W233" s="37" t="s">
        <v>1235</v>
      </c>
      <c r="X233" s="41" t="s">
        <v>1236</v>
      </c>
      <c r="Y233" s="37" t="s">
        <v>1188</v>
      </c>
      <c r="Z233" s="36">
        <v>0</v>
      </c>
      <c r="AA233" s="36" t="s">
        <v>2185</v>
      </c>
      <c r="AB233" s="36" t="s">
        <v>2322</v>
      </c>
      <c r="AC233" s="37" t="s">
        <v>2323</v>
      </c>
      <c r="AD233" s="36" t="s">
        <v>2374</v>
      </c>
      <c r="AE233" s="36" t="s">
        <v>2191</v>
      </c>
      <c r="AF233" s="36" t="s">
        <v>2188</v>
      </c>
      <c r="AG233" s="42">
        <v>97</v>
      </c>
      <c r="AH233" s="43">
        <v>107</v>
      </c>
      <c r="AI233" s="44">
        <v>117</v>
      </c>
      <c r="AJ233" s="45">
        <v>129</v>
      </c>
      <c r="AK233" s="46">
        <v>600000000</v>
      </c>
      <c r="AL233" s="47">
        <v>660000000</v>
      </c>
      <c r="AM233" s="48">
        <v>726000000</v>
      </c>
      <c r="AN233" s="49">
        <v>798600000</v>
      </c>
      <c r="AO233" s="50">
        <v>2784600000</v>
      </c>
      <c r="AP233" s="37" t="s">
        <v>1156</v>
      </c>
    </row>
    <row r="234" spans="1:42" customFormat="1" ht="89.25" x14ac:dyDescent="0.25">
      <c r="A234" s="36">
        <v>233</v>
      </c>
      <c r="B234" s="37" t="s">
        <v>630</v>
      </c>
      <c r="C234" s="37" t="s">
        <v>314</v>
      </c>
      <c r="D234" s="38" t="s">
        <v>2385</v>
      </c>
      <c r="E234" s="37" t="s">
        <v>1174</v>
      </c>
      <c r="F234" s="37" t="s">
        <v>1175</v>
      </c>
      <c r="G234" s="40">
        <v>0.40839999999999999</v>
      </c>
      <c r="H234" s="36">
        <v>2023</v>
      </c>
      <c r="I234" s="37" t="s">
        <v>1176</v>
      </c>
      <c r="J234" s="38" t="s">
        <v>1177</v>
      </c>
      <c r="K234" s="37" t="s">
        <v>25</v>
      </c>
      <c r="L234" s="37" t="s">
        <v>1178</v>
      </c>
      <c r="M234" s="37" t="s">
        <v>1156</v>
      </c>
      <c r="N234" s="36">
        <v>24</v>
      </c>
      <c r="O234" s="38" t="s">
        <v>1179</v>
      </c>
      <c r="P234" s="36" t="s">
        <v>1189</v>
      </c>
      <c r="Q234" s="37" t="s">
        <v>1190</v>
      </c>
      <c r="R234" s="36" t="s">
        <v>1237</v>
      </c>
      <c r="S234" s="37" t="s">
        <v>1238</v>
      </c>
      <c r="T234" s="38" t="s">
        <v>1239</v>
      </c>
      <c r="U234" s="37" t="s">
        <v>1220</v>
      </c>
      <c r="V234" s="36" t="s">
        <v>1240</v>
      </c>
      <c r="W234" s="37" t="s">
        <v>1238</v>
      </c>
      <c r="X234" s="41" t="s">
        <v>1241</v>
      </c>
      <c r="Y234" s="37" t="s">
        <v>36</v>
      </c>
      <c r="Z234" s="36">
        <v>0</v>
      </c>
      <c r="AA234" s="36" t="s">
        <v>2185</v>
      </c>
      <c r="AB234" s="36" t="s">
        <v>2325</v>
      </c>
      <c r="AC234" s="37" t="s">
        <v>2323</v>
      </c>
      <c r="AD234" s="36" t="s">
        <v>2374</v>
      </c>
      <c r="AE234" s="36" t="s">
        <v>2191</v>
      </c>
      <c r="AF234" s="36" t="s">
        <v>2188</v>
      </c>
      <c r="AG234" s="42">
        <v>40</v>
      </c>
      <c r="AH234" s="43">
        <v>33</v>
      </c>
      <c r="AI234" s="44">
        <v>37</v>
      </c>
      <c r="AJ234" s="45">
        <v>40</v>
      </c>
      <c r="AK234" s="46">
        <v>214000000</v>
      </c>
      <c r="AL234" s="47">
        <v>177065301</v>
      </c>
      <c r="AM234" s="48">
        <v>193702147</v>
      </c>
      <c r="AN234" s="49">
        <v>210932993</v>
      </c>
      <c r="AO234" s="50">
        <v>795700441</v>
      </c>
      <c r="AP234" s="37" t="s">
        <v>1156</v>
      </c>
    </row>
    <row r="235" spans="1:42" customFormat="1" ht="89.25" x14ac:dyDescent="0.25">
      <c r="A235" s="36">
        <v>234</v>
      </c>
      <c r="B235" s="37" t="s">
        <v>630</v>
      </c>
      <c r="C235" s="37" t="s">
        <v>314</v>
      </c>
      <c r="D235" s="38" t="s">
        <v>2385</v>
      </c>
      <c r="E235" s="37" t="s">
        <v>1174</v>
      </c>
      <c r="F235" s="37" t="s">
        <v>1175</v>
      </c>
      <c r="G235" s="40">
        <v>0.40839999999999999</v>
      </c>
      <c r="H235" s="36">
        <v>2023</v>
      </c>
      <c r="I235" s="37" t="s">
        <v>1176</v>
      </c>
      <c r="J235" s="38" t="s">
        <v>1177</v>
      </c>
      <c r="K235" s="37" t="s">
        <v>25</v>
      </c>
      <c r="L235" s="37" t="s">
        <v>1178</v>
      </c>
      <c r="M235" s="37" t="s">
        <v>1156</v>
      </c>
      <c r="N235" s="36">
        <v>24</v>
      </c>
      <c r="O235" s="38" t="s">
        <v>1179</v>
      </c>
      <c r="P235" s="36" t="s">
        <v>1189</v>
      </c>
      <c r="Q235" s="37" t="s">
        <v>1190</v>
      </c>
      <c r="R235" s="36" t="s">
        <v>1242</v>
      </c>
      <c r="S235" s="37" t="s">
        <v>1243</v>
      </c>
      <c r="T235" s="38" t="s">
        <v>1244</v>
      </c>
      <c r="U235" s="37" t="s">
        <v>1245</v>
      </c>
      <c r="V235" s="36" t="s">
        <v>1246</v>
      </c>
      <c r="W235" s="37" t="s">
        <v>1247</v>
      </c>
      <c r="X235" s="41" t="s">
        <v>1248</v>
      </c>
      <c r="Y235" s="37" t="s">
        <v>1188</v>
      </c>
      <c r="Z235" s="36">
        <v>4.9580000000000002</v>
      </c>
      <c r="AA235" s="36" t="s">
        <v>2185</v>
      </c>
      <c r="AB235" s="36" t="s">
        <v>2322</v>
      </c>
      <c r="AC235" s="37" t="s">
        <v>2323</v>
      </c>
      <c r="AD235" s="36" t="s">
        <v>2374</v>
      </c>
      <c r="AE235" s="36" t="s">
        <v>2191</v>
      </c>
      <c r="AF235" s="36" t="s">
        <v>2188</v>
      </c>
      <c r="AG235" s="42">
        <v>3</v>
      </c>
      <c r="AH235" s="43">
        <v>1</v>
      </c>
      <c r="AI235" s="44">
        <v>1</v>
      </c>
      <c r="AJ235" s="45">
        <v>0</v>
      </c>
      <c r="AK235" s="46">
        <v>21633572944</v>
      </c>
      <c r="AL235" s="47">
        <v>5500000000</v>
      </c>
      <c r="AM235" s="48">
        <v>5500000000</v>
      </c>
      <c r="AN235" s="49">
        <v>0</v>
      </c>
      <c r="AO235" s="50">
        <v>32633572944</v>
      </c>
      <c r="AP235" s="37" t="s">
        <v>1156</v>
      </c>
    </row>
    <row r="236" spans="1:42" customFormat="1" ht="89.25" x14ac:dyDescent="0.25">
      <c r="A236" s="36">
        <v>235</v>
      </c>
      <c r="B236" s="37" t="s">
        <v>630</v>
      </c>
      <c r="C236" s="37" t="s">
        <v>314</v>
      </c>
      <c r="D236" s="38" t="s">
        <v>2385</v>
      </c>
      <c r="E236" s="37" t="s">
        <v>1174</v>
      </c>
      <c r="F236" s="37" t="s">
        <v>1175</v>
      </c>
      <c r="G236" s="40">
        <v>0.40839999999999999</v>
      </c>
      <c r="H236" s="36">
        <v>2023</v>
      </c>
      <c r="I236" s="37" t="s">
        <v>1176</v>
      </c>
      <c r="J236" s="38" t="s">
        <v>1177</v>
      </c>
      <c r="K236" s="37" t="s">
        <v>25</v>
      </c>
      <c r="L236" s="37" t="s">
        <v>1178</v>
      </c>
      <c r="M236" s="37" t="s">
        <v>1156</v>
      </c>
      <c r="N236" s="36">
        <v>24</v>
      </c>
      <c r="O236" s="38" t="s">
        <v>1179</v>
      </c>
      <c r="P236" s="36" t="s">
        <v>1189</v>
      </c>
      <c r="Q236" s="37" t="s">
        <v>1190</v>
      </c>
      <c r="R236" s="36" t="s">
        <v>1249</v>
      </c>
      <c r="S236" s="37" t="s">
        <v>1250</v>
      </c>
      <c r="T236" s="38" t="s">
        <v>1251</v>
      </c>
      <c r="U236" s="37" t="s">
        <v>1252</v>
      </c>
      <c r="V236" s="36" t="s">
        <v>1253</v>
      </c>
      <c r="W236" s="37" t="s">
        <v>1254</v>
      </c>
      <c r="X236" s="37" t="s">
        <v>2095</v>
      </c>
      <c r="Y236" s="37" t="s">
        <v>36</v>
      </c>
      <c r="Z236" s="36">
        <v>0.74</v>
      </c>
      <c r="AA236" s="36" t="s">
        <v>2185</v>
      </c>
      <c r="AB236" s="36" t="s">
        <v>2322</v>
      </c>
      <c r="AC236" s="37" t="s">
        <v>2323</v>
      </c>
      <c r="AD236" s="36" t="s">
        <v>2374</v>
      </c>
      <c r="AE236" s="36" t="s">
        <v>2191</v>
      </c>
      <c r="AF236" s="36" t="s">
        <v>2188</v>
      </c>
      <c r="AG236" s="42">
        <v>1</v>
      </c>
      <c r="AH236" s="43">
        <v>1</v>
      </c>
      <c r="AI236" s="44">
        <v>0</v>
      </c>
      <c r="AJ236" s="45">
        <v>0</v>
      </c>
      <c r="AK236" s="46">
        <v>4000000000</v>
      </c>
      <c r="AL236" s="47">
        <v>1000000000</v>
      </c>
      <c r="AM236" s="48">
        <v>0</v>
      </c>
      <c r="AN236" s="49">
        <v>0</v>
      </c>
      <c r="AO236" s="50">
        <v>5000000000</v>
      </c>
      <c r="AP236" s="37" t="s">
        <v>1156</v>
      </c>
    </row>
    <row r="237" spans="1:42" customFormat="1" ht="89.25" x14ac:dyDescent="0.25">
      <c r="A237" s="36">
        <v>236</v>
      </c>
      <c r="B237" s="37" t="s">
        <v>630</v>
      </c>
      <c r="C237" s="37" t="s">
        <v>314</v>
      </c>
      <c r="D237" s="38" t="s">
        <v>2385</v>
      </c>
      <c r="E237" s="37" t="s">
        <v>1174</v>
      </c>
      <c r="F237" s="37" t="s">
        <v>1175</v>
      </c>
      <c r="G237" s="40">
        <v>0.40839999999999999</v>
      </c>
      <c r="H237" s="36">
        <v>2023</v>
      </c>
      <c r="I237" s="37" t="s">
        <v>1176</v>
      </c>
      <c r="J237" s="38" t="s">
        <v>1177</v>
      </c>
      <c r="K237" s="37" t="s">
        <v>25</v>
      </c>
      <c r="L237" s="37" t="s">
        <v>1178</v>
      </c>
      <c r="M237" s="37" t="s">
        <v>1156</v>
      </c>
      <c r="N237" s="36">
        <v>24</v>
      </c>
      <c r="O237" s="38" t="s">
        <v>1179</v>
      </c>
      <c r="P237" s="36" t="s">
        <v>1189</v>
      </c>
      <c r="Q237" s="37" t="s">
        <v>1190</v>
      </c>
      <c r="R237" s="36" t="s">
        <v>1255</v>
      </c>
      <c r="S237" s="37" t="s">
        <v>1256</v>
      </c>
      <c r="T237" s="38" t="s">
        <v>1257</v>
      </c>
      <c r="U237" s="37" t="s">
        <v>1252</v>
      </c>
      <c r="V237" s="36" t="s">
        <v>1258</v>
      </c>
      <c r="W237" s="37" t="s">
        <v>1259</v>
      </c>
      <c r="X237" s="37" t="s">
        <v>2096</v>
      </c>
      <c r="Y237" s="37" t="s">
        <v>36</v>
      </c>
      <c r="Z237" s="36">
        <v>0</v>
      </c>
      <c r="AA237" s="36" t="s">
        <v>2185</v>
      </c>
      <c r="AB237" s="36" t="s">
        <v>2322</v>
      </c>
      <c r="AC237" s="37" t="s">
        <v>2323</v>
      </c>
      <c r="AD237" s="36" t="s">
        <v>2374</v>
      </c>
      <c r="AE237" s="36" t="s">
        <v>2191</v>
      </c>
      <c r="AF237" s="36" t="s">
        <v>2188</v>
      </c>
      <c r="AG237" s="42">
        <v>2</v>
      </c>
      <c r="AH237" s="43">
        <v>0</v>
      </c>
      <c r="AI237" s="44">
        <v>0</v>
      </c>
      <c r="AJ237" s="45">
        <v>0</v>
      </c>
      <c r="AK237" s="46">
        <v>2100000000</v>
      </c>
      <c r="AL237" s="47">
        <v>0</v>
      </c>
      <c r="AM237" s="48">
        <v>0</v>
      </c>
      <c r="AN237" s="49">
        <v>0</v>
      </c>
      <c r="AO237" s="50">
        <v>2100000000</v>
      </c>
      <c r="AP237" s="37" t="s">
        <v>1156</v>
      </c>
    </row>
    <row r="238" spans="1:42" customFormat="1" ht="89.25" x14ac:dyDescent="0.25">
      <c r="A238" s="36">
        <v>237</v>
      </c>
      <c r="B238" s="37" t="s">
        <v>630</v>
      </c>
      <c r="C238" s="37" t="s">
        <v>314</v>
      </c>
      <c r="D238" s="38" t="s">
        <v>2385</v>
      </c>
      <c r="E238" s="37" t="s">
        <v>1174</v>
      </c>
      <c r="F238" s="37" t="s">
        <v>1175</v>
      </c>
      <c r="G238" s="40">
        <v>0.40839999999999999</v>
      </c>
      <c r="H238" s="36">
        <v>2023</v>
      </c>
      <c r="I238" s="37" t="s">
        <v>1176</v>
      </c>
      <c r="J238" s="38" t="s">
        <v>1177</v>
      </c>
      <c r="K238" s="37" t="s">
        <v>25</v>
      </c>
      <c r="L238" s="37" t="s">
        <v>1178</v>
      </c>
      <c r="M238" s="37" t="s">
        <v>1156</v>
      </c>
      <c r="N238" s="36">
        <v>24</v>
      </c>
      <c r="O238" s="38" t="s">
        <v>1179</v>
      </c>
      <c r="P238" s="36" t="s">
        <v>1189</v>
      </c>
      <c r="Q238" s="37" t="s">
        <v>1190</v>
      </c>
      <c r="R238" s="36" t="s">
        <v>1260</v>
      </c>
      <c r="S238" s="37" t="s">
        <v>1261</v>
      </c>
      <c r="T238" s="38" t="s">
        <v>1262</v>
      </c>
      <c r="U238" s="37" t="s">
        <v>1252</v>
      </c>
      <c r="V238" s="36" t="s">
        <v>1263</v>
      </c>
      <c r="W238" s="37" t="s">
        <v>1264</v>
      </c>
      <c r="X238" s="41" t="s">
        <v>1265</v>
      </c>
      <c r="Y238" s="37" t="s">
        <v>36</v>
      </c>
      <c r="Z238" s="36">
        <v>346</v>
      </c>
      <c r="AA238" s="36" t="s">
        <v>2185</v>
      </c>
      <c r="AB238" s="36" t="s">
        <v>2322</v>
      </c>
      <c r="AC238" s="37" t="s">
        <v>2323</v>
      </c>
      <c r="AD238" s="36" t="s">
        <v>2374</v>
      </c>
      <c r="AE238" s="36" t="s">
        <v>2191</v>
      </c>
      <c r="AF238" s="36" t="s">
        <v>2188</v>
      </c>
      <c r="AG238" s="42">
        <v>72</v>
      </c>
      <c r="AH238" s="43">
        <v>80</v>
      </c>
      <c r="AI238" s="44">
        <v>88</v>
      </c>
      <c r="AJ238" s="45">
        <v>96</v>
      </c>
      <c r="AK238" s="46">
        <v>23750283.199999999</v>
      </c>
      <c r="AL238" s="47">
        <v>26125268</v>
      </c>
      <c r="AM238" s="48">
        <v>28737795</v>
      </c>
      <c r="AN238" s="49">
        <v>31611575</v>
      </c>
      <c r="AO238" s="50">
        <v>110224921.2</v>
      </c>
      <c r="AP238" s="37" t="s">
        <v>1156</v>
      </c>
    </row>
    <row r="239" spans="1:42" customFormat="1" ht="89.25" x14ac:dyDescent="0.25">
      <c r="A239" s="36">
        <v>238</v>
      </c>
      <c r="B239" s="37" t="s">
        <v>630</v>
      </c>
      <c r="C239" s="37" t="s">
        <v>314</v>
      </c>
      <c r="D239" s="38" t="s">
        <v>2385</v>
      </c>
      <c r="E239" s="37" t="s">
        <v>1174</v>
      </c>
      <c r="F239" s="37" t="s">
        <v>1175</v>
      </c>
      <c r="G239" s="40">
        <v>0.40839999999999999</v>
      </c>
      <c r="H239" s="36">
        <v>2023</v>
      </c>
      <c r="I239" s="37" t="s">
        <v>1176</v>
      </c>
      <c r="J239" s="38" t="s">
        <v>1177</v>
      </c>
      <c r="K239" s="37" t="s">
        <v>25</v>
      </c>
      <c r="L239" s="37" t="s">
        <v>1178</v>
      </c>
      <c r="M239" s="37" t="s">
        <v>1156</v>
      </c>
      <c r="N239" s="36">
        <v>24</v>
      </c>
      <c r="O239" s="38" t="s">
        <v>1179</v>
      </c>
      <c r="P239" s="36" t="s">
        <v>1189</v>
      </c>
      <c r="Q239" s="37" t="s">
        <v>1190</v>
      </c>
      <c r="R239" s="36" t="s">
        <v>1266</v>
      </c>
      <c r="S239" s="37" t="s">
        <v>1267</v>
      </c>
      <c r="T239" s="38" t="s">
        <v>1268</v>
      </c>
      <c r="U239" s="37" t="s">
        <v>1252</v>
      </c>
      <c r="V239" s="36" t="s">
        <v>1269</v>
      </c>
      <c r="W239" s="37" t="s">
        <v>1270</v>
      </c>
      <c r="X239" s="41" t="s">
        <v>1271</v>
      </c>
      <c r="Y239" s="37" t="s">
        <v>36</v>
      </c>
      <c r="Z239" s="36">
        <v>2.74</v>
      </c>
      <c r="AA239" s="36" t="s">
        <v>2185</v>
      </c>
      <c r="AB239" s="36" t="s">
        <v>2322</v>
      </c>
      <c r="AC239" s="37" t="s">
        <v>2323</v>
      </c>
      <c r="AD239" s="36" t="s">
        <v>2374</v>
      </c>
      <c r="AE239" s="36" t="s">
        <v>2191</v>
      </c>
      <c r="AF239" s="36" t="s">
        <v>2188</v>
      </c>
      <c r="AG239" s="42">
        <v>2</v>
      </c>
      <c r="AH239" s="43">
        <v>0</v>
      </c>
      <c r="AI239" s="44">
        <v>0</v>
      </c>
      <c r="AJ239" s="45">
        <v>0</v>
      </c>
      <c r="AK239" s="46">
        <v>5200000000</v>
      </c>
      <c r="AL239" s="47">
        <v>0</v>
      </c>
      <c r="AM239" s="48">
        <v>0</v>
      </c>
      <c r="AN239" s="49">
        <v>0</v>
      </c>
      <c r="AO239" s="50">
        <v>5200000000</v>
      </c>
      <c r="AP239" s="37" t="s">
        <v>1156</v>
      </c>
    </row>
    <row r="240" spans="1:42" customFormat="1" ht="89.25" x14ac:dyDescent="0.25">
      <c r="A240" s="36">
        <v>239</v>
      </c>
      <c r="B240" s="37" t="s">
        <v>630</v>
      </c>
      <c r="C240" s="37" t="s">
        <v>314</v>
      </c>
      <c r="D240" s="38" t="s">
        <v>2385</v>
      </c>
      <c r="E240" s="37" t="s">
        <v>1174</v>
      </c>
      <c r="F240" s="37" t="s">
        <v>1175</v>
      </c>
      <c r="G240" s="40">
        <v>0.40839999999999999</v>
      </c>
      <c r="H240" s="36">
        <v>2023</v>
      </c>
      <c r="I240" s="37" t="s">
        <v>1176</v>
      </c>
      <c r="J240" s="38" t="s">
        <v>1177</v>
      </c>
      <c r="K240" s="37" t="s">
        <v>25</v>
      </c>
      <c r="L240" s="37" t="s">
        <v>1178</v>
      </c>
      <c r="M240" s="37" t="s">
        <v>1156</v>
      </c>
      <c r="N240" s="36">
        <v>24</v>
      </c>
      <c r="O240" s="38" t="s">
        <v>1179</v>
      </c>
      <c r="P240" s="36" t="s">
        <v>1189</v>
      </c>
      <c r="Q240" s="37" t="s">
        <v>1190</v>
      </c>
      <c r="R240" s="36" t="s">
        <v>1272</v>
      </c>
      <c r="S240" s="37" t="s">
        <v>1273</v>
      </c>
      <c r="T240" s="38" t="s">
        <v>1274</v>
      </c>
      <c r="U240" s="37" t="s">
        <v>1252</v>
      </c>
      <c r="V240" s="36" t="s">
        <v>1275</v>
      </c>
      <c r="W240" s="37" t="s">
        <v>1276</v>
      </c>
      <c r="X240" s="41" t="s">
        <v>1277</v>
      </c>
      <c r="Y240" s="37" t="s">
        <v>36</v>
      </c>
      <c r="Z240" s="36">
        <v>0</v>
      </c>
      <c r="AA240" s="36" t="s">
        <v>2185</v>
      </c>
      <c r="AB240" s="36" t="s">
        <v>2322</v>
      </c>
      <c r="AC240" s="37" t="s">
        <v>2323</v>
      </c>
      <c r="AD240" s="36" t="s">
        <v>2374</v>
      </c>
      <c r="AE240" s="36" t="s">
        <v>2191</v>
      </c>
      <c r="AF240" s="36" t="s">
        <v>2188</v>
      </c>
      <c r="AG240" s="52">
        <v>0</v>
      </c>
      <c r="AH240" s="53">
        <v>2</v>
      </c>
      <c r="AI240" s="54">
        <v>0</v>
      </c>
      <c r="AJ240" s="55">
        <v>0</v>
      </c>
      <c r="AK240" s="46">
        <v>0</v>
      </c>
      <c r="AL240" s="47">
        <v>7720000000</v>
      </c>
      <c r="AM240" s="48">
        <v>0</v>
      </c>
      <c r="AN240" s="49">
        <v>0</v>
      </c>
      <c r="AO240" s="50">
        <v>7720000000</v>
      </c>
      <c r="AP240" s="37" t="s">
        <v>1156</v>
      </c>
    </row>
    <row r="241" spans="1:42" customFormat="1" ht="89.25" x14ac:dyDescent="0.25">
      <c r="A241" s="36">
        <v>240</v>
      </c>
      <c r="B241" s="37" t="s">
        <v>630</v>
      </c>
      <c r="C241" s="37" t="s">
        <v>314</v>
      </c>
      <c r="D241" s="38" t="s">
        <v>2385</v>
      </c>
      <c r="E241" s="37" t="s">
        <v>1174</v>
      </c>
      <c r="F241" s="37" t="s">
        <v>1175</v>
      </c>
      <c r="G241" s="40">
        <v>0.40839999999999999</v>
      </c>
      <c r="H241" s="36">
        <v>2023</v>
      </c>
      <c r="I241" s="37" t="s">
        <v>1176</v>
      </c>
      <c r="J241" s="38" t="s">
        <v>1177</v>
      </c>
      <c r="K241" s="37" t="s">
        <v>25</v>
      </c>
      <c r="L241" s="37" t="s">
        <v>1178</v>
      </c>
      <c r="M241" s="37" t="s">
        <v>1156</v>
      </c>
      <c r="N241" s="36">
        <v>24</v>
      </c>
      <c r="O241" s="38" t="s">
        <v>1179</v>
      </c>
      <c r="P241" s="36" t="s">
        <v>1189</v>
      </c>
      <c r="Q241" s="37" t="s">
        <v>1190</v>
      </c>
      <c r="R241" s="36" t="s">
        <v>1278</v>
      </c>
      <c r="S241" s="37" t="s">
        <v>1279</v>
      </c>
      <c r="T241" s="38" t="s">
        <v>1280</v>
      </c>
      <c r="U241" s="37" t="s">
        <v>1252</v>
      </c>
      <c r="V241" s="36" t="s">
        <v>1281</v>
      </c>
      <c r="W241" s="37" t="s">
        <v>1282</v>
      </c>
      <c r="X241" s="41" t="s">
        <v>1283</v>
      </c>
      <c r="Y241" s="37" t="s">
        <v>36</v>
      </c>
      <c r="Z241" s="36">
        <v>456</v>
      </c>
      <c r="AA241" s="36" t="s">
        <v>2185</v>
      </c>
      <c r="AB241" s="36" t="s">
        <v>2322</v>
      </c>
      <c r="AC241" s="37" t="s">
        <v>2323</v>
      </c>
      <c r="AD241" s="36" t="s">
        <v>2374</v>
      </c>
      <c r="AE241" s="36" t="s">
        <v>2191</v>
      </c>
      <c r="AF241" s="36" t="s">
        <v>2188</v>
      </c>
      <c r="AG241" s="42">
        <v>109</v>
      </c>
      <c r="AH241" s="43">
        <v>119</v>
      </c>
      <c r="AI241" s="44">
        <v>131</v>
      </c>
      <c r="AJ241" s="45">
        <v>145</v>
      </c>
      <c r="AK241" s="46">
        <v>49621126</v>
      </c>
      <c r="AL241" s="47">
        <v>54583238</v>
      </c>
      <c r="AM241" s="48">
        <v>60041563</v>
      </c>
      <c r="AN241" s="49">
        <v>66045719</v>
      </c>
      <c r="AO241" s="50">
        <v>230291646</v>
      </c>
      <c r="AP241" s="37" t="s">
        <v>1156</v>
      </c>
    </row>
    <row r="242" spans="1:42" customFormat="1" ht="89.25" x14ac:dyDescent="0.25">
      <c r="A242" s="36">
        <v>241</v>
      </c>
      <c r="B242" s="37" t="s">
        <v>630</v>
      </c>
      <c r="C242" s="37" t="s">
        <v>314</v>
      </c>
      <c r="D242" s="38" t="s">
        <v>2385</v>
      </c>
      <c r="E242" s="37" t="s">
        <v>1174</v>
      </c>
      <c r="F242" s="37" t="s">
        <v>1175</v>
      </c>
      <c r="G242" s="40">
        <v>0.40839999999999999</v>
      </c>
      <c r="H242" s="36">
        <v>2023</v>
      </c>
      <c r="I242" s="37" t="s">
        <v>1176</v>
      </c>
      <c r="J242" s="38" t="s">
        <v>1177</v>
      </c>
      <c r="K242" s="37" t="s">
        <v>25</v>
      </c>
      <c r="L242" s="37" t="s">
        <v>1178</v>
      </c>
      <c r="M242" s="37" t="s">
        <v>1156</v>
      </c>
      <c r="N242" s="36">
        <v>24</v>
      </c>
      <c r="O242" s="38" t="s">
        <v>1179</v>
      </c>
      <c r="P242" s="36" t="s">
        <v>1189</v>
      </c>
      <c r="Q242" s="37" t="s">
        <v>1190</v>
      </c>
      <c r="R242" s="36" t="s">
        <v>1284</v>
      </c>
      <c r="S242" s="37" t="s">
        <v>1285</v>
      </c>
      <c r="T242" s="38" t="s">
        <v>1286</v>
      </c>
      <c r="U242" s="37" t="s">
        <v>1252</v>
      </c>
      <c r="V242" s="36" t="s">
        <v>1287</v>
      </c>
      <c r="W242" s="37" t="s">
        <v>1285</v>
      </c>
      <c r="X242" s="41" t="s">
        <v>1288</v>
      </c>
      <c r="Y242" s="37" t="s">
        <v>36</v>
      </c>
      <c r="Z242" s="36">
        <v>3.1459999999999999</v>
      </c>
      <c r="AA242" s="36" t="s">
        <v>2185</v>
      </c>
      <c r="AB242" s="36" t="s">
        <v>2322</v>
      </c>
      <c r="AC242" s="37" t="s">
        <v>2323</v>
      </c>
      <c r="AD242" s="36" t="s">
        <v>2374</v>
      </c>
      <c r="AE242" s="36" t="s">
        <v>2191</v>
      </c>
      <c r="AF242" s="36" t="s">
        <v>2188</v>
      </c>
      <c r="AG242" s="52">
        <v>0</v>
      </c>
      <c r="AH242" s="53">
        <v>0</v>
      </c>
      <c r="AI242" s="54">
        <v>2</v>
      </c>
      <c r="AJ242" s="55">
        <v>0</v>
      </c>
      <c r="AK242" s="46">
        <v>0</v>
      </c>
      <c r="AL242" s="47">
        <v>0</v>
      </c>
      <c r="AM242" s="48">
        <v>9680000000</v>
      </c>
      <c r="AN242" s="49">
        <v>0</v>
      </c>
      <c r="AO242" s="50">
        <v>9680000000</v>
      </c>
      <c r="AP242" s="37" t="s">
        <v>1156</v>
      </c>
    </row>
    <row r="243" spans="1:42" customFormat="1" ht="89.25" x14ac:dyDescent="0.25">
      <c r="A243" s="36">
        <v>242</v>
      </c>
      <c r="B243" s="37" t="s">
        <v>630</v>
      </c>
      <c r="C243" s="37" t="s">
        <v>314</v>
      </c>
      <c r="D243" s="38" t="s">
        <v>2385</v>
      </c>
      <c r="E243" s="37" t="s">
        <v>1174</v>
      </c>
      <c r="F243" s="37" t="s">
        <v>1175</v>
      </c>
      <c r="G243" s="40">
        <v>0.40839999999999999</v>
      </c>
      <c r="H243" s="36">
        <v>2023</v>
      </c>
      <c r="I243" s="37" t="s">
        <v>1176</v>
      </c>
      <c r="J243" s="38" t="s">
        <v>1177</v>
      </c>
      <c r="K243" s="37" t="s">
        <v>25</v>
      </c>
      <c r="L243" s="37" t="s">
        <v>1178</v>
      </c>
      <c r="M243" s="37" t="s">
        <v>1156</v>
      </c>
      <c r="N243" s="36">
        <v>24</v>
      </c>
      <c r="O243" s="38" t="s">
        <v>1179</v>
      </c>
      <c r="P243" s="36" t="s">
        <v>1189</v>
      </c>
      <c r="Q243" s="37" t="s">
        <v>1190</v>
      </c>
      <c r="R243" s="36" t="s">
        <v>1289</v>
      </c>
      <c r="S243" s="37" t="s">
        <v>1290</v>
      </c>
      <c r="T243" s="38" t="s">
        <v>1291</v>
      </c>
      <c r="U243" s="37" t="s">
        <v>1252</v>
      </c>
      <c r="V243" s="36">
        <v>240211900</v>
      </c>
      <c r="W243" s="37" t="s">
        <v>1290</v>
      </c>
      <c r="X243" s="41" t="s">
        <v>1292</v>
      </c>
      <c r="Y243" s="37" t="s">
        <v>36</v>
      </c>
      <c r="Z243" s="36">
        <v>0</v>
      </c>
      <c r="AA243" s="36" t="s">
        <v>2185</v>
      </c>
      <c r="AB243" s="36" t="s">
        <v>2322</v>
      </c>
      <c r="AC243" s="37" t="s">
        <v>2323</v>
      </c>
      <c r="AD243" s="36" t="s">
        <v>2374</v>
      </c>
      <c r="AE243" s="36" t="s">
        <v>2191</v>
      </c>
      <c r="AF243" s="36" t="s">
        <v>2188</v>
      </c>
      <c r="AG243" s="42">
        <v>1</v>
      </c>
      <c r="AH243" s="43">
        <v>0</v>
      </c>
      <c r="AI243" s="44">
        <v>0</v>
      </c>
      <c r="AJ243" s="45">
        <v>0</v>
      </c>
      <c r="AK243" s="46">
        <v>4577349851</v>
      </c>
      <c r="AL243" s="47">
        <v>0</v>
      </c>
      <c r="AM243" s="48">
        <v>0</v>
      </c>
      <c r="AN243" s="49">
        <v>0</v>
      </c>
      <c r="AO243" s="50">
        <v>4577349851</v>
      </c>
      <c r="AP243" s="37" t="s">
        <v>1156</v>
      </c>
    </row>
    <row r="244" spans="1:42" customFormat="1" ht="89.25" x14ac:dyDescent="0.25">
      <c r="A244" s="36">
        <v>243</v>
      </c>
      <c r="B244" s="37" t="s">
        <v>630</v>
      </c>
      <c r="C244" s="37" t="s">
        <v>314</v>
      </c>
      <c r="D244" s="38" t="s">
        <v>2385</v>
      </c>
      <c r="E244" s="37" t="s">
        <v>1174</v>
      </c>
      <c r="F244" s="37" t="s">
        <v>1175</v>
      </c>
      <c r="G244" s="40">
        <v>0.40839999999999999</v>
      </c>
      <c r="H244" s="36">
        <v>2023</v>
      </c>
      <c r="I244" s="37" t="s">
        <v>1176</v>
      </c>
      <c r="J244" s="38" t="s">
        <v>1177</v>
      </c>
      <c r="K244" s="37" t="s">
        <v>25</v>
      </c>
      <c r="L244" s="37" t="s">
        <v>1178</v>
      </c>
      <c r="M244" s="37" t="s">
        <v>1156</v>
      </c>
      <c r="N244" s="36">
        <v>24</v>
      </c>
      <c r="O244" s="38" t="s">
        <v>1179</v>
      </c>
      <c r="P244" s="36" t="s">
        <v>1189</v>
      </c>
      <c r="Q244" s="37" t="s">
        <v>1190</v>
      </c>
      <c r="R244" s="36" t="s">
        <v>1293</v>
      </c>
      <c r="S244" s="37" t="s">
        <v>1294</v>
      </c>
      <c r="T244" s="38" t="s">
        <v>596</v>
      </c>
      <c r="U244" s="37" t="s">
        <v>188</v>
      </c>
      <c r="V244" s="36" t="s">
        <v>1295</v>
      </c>
      <c r="W244" s="37" t="s">
        <v>1296</v>
      </c>
      <c r="X244" s="37" t="s">
        <v>2097</v>
      </c>
      <c r="Y244" s="37" t="s">
        <v>36</v>
      </c>
      <c r="Z244" s="36">
        <v>104.807</v>
      </c>
      <c r="AA244" s="36" t="s">
        <v>2185</v>
      </c>
      <c r="AB244" s="36" t="s">
        <v>2322</v>
      </c>
      <c r="AC244" s="37" t="s">
        <v>2323</v>
      </c>
      <c r="AD244" s="36" t="s">
        <v>2374</v>
      </c>
      <c r="AE244" s="36" t="s">
        <v>2191</v>
      </c>
      <c r="AF244" s="36" t="s">
        <v>2188</v>
      </c>
      <c r="AG244" s="42">
        <v>11</v>
      </c>
      <c r="AH244" s="43">
        <v>9</v>
      </c>
      <c r="AI244" s="44">
        <v>0</v>
      </c>
      <c r="AJ244" s="45">
        <v>0</v>
      </c>
      <c r="AK244" s="46">
        <v>24653215291</v>
      </c>
      <c r="AL244" s="47">
        <v>19463000000</v>
      </c>
      <c r="AM244" s="48">
        <v>0</v>
      </c>
      <c r="AN244" s="49">
        <v>0</v>
      </c>
      <c r="AO244" s="50">
        <v>44116215291</v>
      </c>
      <c r="AP244" s="37" t="s">
        <v>1156</v>
      </c>
    </row>
    <row r="245" spans="1:42" customFormat="1" ht="89.25" x14ac:dyDescent="0.25">
      <c r="A245" s="36">
        <v>244</v>
      </c>
      <c r="B245" s="37" t="s">
        <v>630</v>
      </c>
      <c r="C245" s="37" t="s">
        <v>314</v>
      </c>
      <c r="D245" s="38" t="s">
        <v>2385</v>
      </c>
      <c r="E245" s="37" t="s">
        <v>1297</v>
      </c>
      <c r="F245" s="37" t="s">
        <v>1298</v>
      </c>
      <c r="G245" s="36">
        <v>258</v>
      </c>
      <c r="H245" s="36">
        <v>2022</v>
      </c>
      <c r="I245" s="37" t="s">
        <v>1299</v>
      </c>
      <c r="J245" s="38" t="s">
        <v>1300</v>
      </c>
      <c r="K245" s="37" t="s">
        <v>36</v>
      </c>
      <c r="L245" s="37" t="s">
        <v>1178</v>
      </c>
      <c r="M245" s="37" t="s">
        <v>1156</v>
      </c>
      <c r="N245" s="36">
        <v>24</v>
      </c>
      <c r="O245" s="38" t="s">
        <v>1179</v>
      </c>
      <c r="P245" s="36" t="s">
        <v>1189</v>
      </c>
      <c r="Q245" s="37" t="s">
        <v>1190</v>
      </c>
      <c r="R245" s="36" t="s">
        <v>1301</v>
      </c>
      <c r="S245" s="37" t="s">
        <v>1302</v>
      </c>
      <c r="T245" s="38" t="s">
        <v>1303</v>
      </c>
      <c r="U245" s="37" t="s">
        <v>1194</v>
      </c>
      <c r="V245" s="36" t="s">
        <v>1304</v>
      </c>
      <c r="W245" s="37" t="s">
        <v>1305</v>
      </c>
      <c r="X245" s="37" t="s">
        <v>2098</v>
      </c>
      <c r="Y245" s="37" t="s">
        <v>1188</v>
      </c>
      <c r="Z245" s="36">
        <v>0</v>
      </c>
      <c r="AA245" s="36" t="s">
        <v>2185</v>
      </c>
      <c r="AB245" s="36" t="s">
        <v>2322</v>
      </c>
      <c r="AC245" s="37" t="s">
        <v>2323</v>
      </c>
      <c r="AD245" s="36" t="s">
        <v>2374</v>
      </c>
      <c r="AE245" s="36" t="s">
        <v>2191</v>
      </c>
      <c r="AF245" s="36" t="s">
        <v>2188</v>
      </c>
      <c r="AG245" s="52">
        <v>0</v>
      </c>
      <c r="AH245" s="43">
        <v>0</v>
      </c>
      <c r="AI245" s="44">
        <v>20</v>
      </c>
      <c r="AJ245" s="45">
        <v>0</v>
      </c>
      <c r="AK245" s="46">
        <v>0</v>
      </c>
      <c r="AL245" s="47">
        <v>0</v>
      </c>
      <c r="AM245" s="48">
        <v>1500000000</v>
      </c>
      <c r="AN245" s="49">
        <v>0</v>
      </c>
      <c r="AO245" s="50">
        <v>1500000000</v>
      </c>
      <c r="AP245" s="37" t="s">
        <v>1156</v>
      </c>
    </row>
    <row r="246" spans="1:42" customFormat="1" ht="89.25" x14ac:dyDescent="0.25">
      <c r="A246" s="36">
        <v>245</v>
      </c>
      <c r="B246" s="37" t="s">
        <v>630</v>
      </c>
      <c r="C246" s="37" t="s">
        <v>314</v>
      </c>
      <c r="D246" s="38" t="s">
        <v>2385</v>
      </c>
      <c r="E246" s="37" t="s">
        <v>1297</v>
      </c>
      <c r="F246" s="37" t="s">
        <v>1298</v>
      </c>
      <c r="G246" s="36">
        <v>258</v>
      </c>
      <c r="H246" s="36">
        <v>2022</v>
      </c>
      <c r="I246" s="37" t="s">
        <v>1299</v>
      </c>
      <c r="J246" s="38" t="s">
        <v>1300</v>
      </c>
      <c r="K246" s="37" t="s">
        <v>36</v>
      </c>
      <c r="L246" s="37" t="s">
        <v>1178</v>
      </c>
      <c r="M246" s="37" t="s">
        <v>1156</v>
      </c>
      <c r="N246" s="36">
        <v>24</v>
      </c>
      <c r="O246" s="38" t="s">
        <v>1179</v>
      </c>
      <c r="P246" s="36" t="s">
        <v>1189</v>
      </c>
      <c r="Q246" s="37" t="s">
        <v>1190</v>
      </c>
      <c r="R246" s="36" t="s">
        <v>1306</v>
      </c>
      <c r="S246" s="37" t="s">
        <v>1307</v>
      </c>
      <c r="T246" s="38" t="s">
        <v>1308</v>
      </c>
      <c r="U246" s="37" t="s">
        <v>1225</v>
      </c>
      <c r="V246" s="36" t="s">
        <v>1309</v>
      </c>
      <c r="W246" s="37" t="s">
        <v>1310</v>
      </c>
      <c r="X246" s="41" t="s">
        <v>1311</v>
      </c>
      <c r="Y246" s="37" t="s">
        <v>1188</v>
      </c>
      <c r="Z246" s="36">
        <v>0</v>
      </c>
      <c r="AA246" s="36" t="s">
        <v>2185</v>
      </c>
      <c r="AB246" s="36" t="s">
        <v>2322</v>
      </c>
      <c r="AC246" s="37" t="s">
        <v>2323</v>
      </c>
      <c r="AD246" s="36" t="s">
        <v>2374</v>
      </c>
      <c r="AE246" s="36" t="s">
        <v>2191</v>
      </c>
      <c r="AF246" s="36" t="s">
        <v>2188</v>
      </c>
      <c r="AG246" s="52">
        <v>0</v>
      </c>
      <c r="AH246" s="43">
        <v>10</v>
      </c>
      <c r="AI246" s="44">
        <v>0</v>
      </c>
      <c r="AJ246" s="45">
        <v>0</v>
      </c>
      <c r="AK246" s="46">
        <v>0</v>
      </c>
      <c r="AL246" s="47">
        <v>1400000000</v>
      </c>
      <c r="AM246" s="48">
        <v>0</v>
      </c>
      <c r="AN246" s="49">
        <v>0</v>
      </c>
      <c r="AO246" s="50">
        <v>1400000000</v>
      </c>
      <c r="AP246" s="37" t="s">
        <v>1156</v>
      </c>
    </row>
    <row r="247" spans="1:42" customFormat="1" ht="89.25" x14ac:dyDescent="0.25">
      <c r="A247" s="36">
        <v>246</v>
      </c>
      <c r="B247" s="37" t="s">
        <v>630</v>
      </c>
      <c r="C247" s="37" t="s">
        <v>314</v>
      </c>
      <c r="D247" s="38" t="s">
        <v>2385</v>
      </c>
      <c r="E247" s="37" t="s">
        <v>1312</v>
      </c>
      <c r="F247" s="37" t="s">
        <v>1313</v>
      </c>
      <c r="G247" s="40">
        <v>0.9042</v>
      </c>
      <c r="H247" s="36">
        <v>2023</v>
      </c>
      <c r="I247" s="37" t="s">
        <v>1314</v>
      </c>
      <c r="J247" s="38" t="s">
        <v>1315</v>
      </c>
      <c r="K247" s="37" t="s">
        <v>25</v>
      </c>
      <c r="L247" s="37" t="s">
        <v>679</v>
      </c>
      <c r="M247" s="37" t="s">
        <v>1156</v>
      </c>
      <c r="N247" s="36">
        <v>21</v>
      </c>
      <c r="O247" s="38" t="s">
        <v>1316</v>
      </c>
      <c r="P247" s="36" t="s">
        <v>919</v>
      </c>
      <c r="Q247" s="37" t="s">
        <v>920</v>
      </c>
      <c r="R247" s="36" t="s">
        <v>1317</v>
      </c>
      <c r="S247" s="37" t="s">
        <v>1318</v>
      </c>
      <c r="T247" s="38" t="s">
        <v>1319</v>
      </c>
      <c r="U247" s="37" t="s">
        <v>1163</v>
      </c>
      <c r="V247" s="36" t="s">
        <v>1320</v>
      </c>
      <c r="W247" s="37" t="s">
        <v>1321</v>
      </c>
      <c r="X247" s="41" t="s">
        <v>1322</v>
      </c>
      <c r="Y247" s="37" t="s">
        <v>36</v>
      </c>
      <c r="Z247" s="36">
        <v>1665</v>
      </c>
      <c r="AA247" s="36" t="s">
        <v>2185</v>
      </c>
      <c r="AB247" s="36" t="s">
        <v>2322</v>
      </c>
      <c r="AC247" s="37" t="s">
        <v>2323</v>
      </c>
      <c r="AD247" s="36" t="s">
        <v>2324</v>
      </c>
      <c r="AE247" s="36" t="s">
        <v>2191</v>
      </c>
      <c r="AF247" s="36" t="s">
        <v>2188</v>
      </c>
      <c r="AG247" s="42">
        <v>129</v>
      </c>
      <c r="AH247" s="43">
        <v>787</v>
      </c>
      <c r="AI247" s="44">
        <v>791</v>
      </c>
      <c r="AJ247" s="45">
        <v>793</v>
      </c>
      <c r="AK247" s="46">
        <v>2800000000</v>
      </c>
      <c r="AL247" s="47">
        <v>17062080000</v>
      </c>
      <c r="AM247" s="48">
        <v>17151120000</v>
      </c>
      <c r="AN247" s="49">
        <v>17194800000</v>
      </c>
      <c r="AO247" s="50">
        <v>54208000000</v>
      </c>
      <c r="AP247" s="37" t="s">
        <v>1156</v>
      </c>
    </row>
    <row r="248" spans="1:42" customFormat="1" ht="89.25" x14ac:dyDescent="0.25">
      <c r="A248" s="36">
        <v>247</v>
      </c>
      <c r="B248" s="37" t="s">
        <v>630</v>
      </c>
      <c r="C248" s="37" t="s">
        <v>314</v>
      </c>
      <c r="D248" s="38" t="s">
        <v>2385</v>
      </c>
      <c r="E248" s="37" t="s">
        <v>1312</v>
      </c>
      <c r="F248" s="37" t="s">
        <v>1313</v>
      </c>
      <c r="G248" s="40">
        <v>0.9042</v>
      </c>
      <c r="H248" s="36">
        <v>2023</v>
      </c>
      <c r="I248" s="37" t="s">
        <v>1314</v>
      </c>
      <c r="J248" s="38" t="s">
        <v>1315</v>
      </c>
      <c r="K248" s="37" t="s">
        <v>25</v>
      </c>
      <c r="L248" s="37" t="s">
        <v>679</v>
      </c>
      <c r="M248" s="37" t="s">
        <v>1156</v>
      </c>
      <c r="N248" s="36">
        <v>21</v>
      </c>
      <c r="O248" s="38" t="s">
        <v>1316</v>
      </c>
      <c r="P248" s="36" t="s">
        <v>919</v>
      </c>
      <c r="Q248" s="37" t="s">
        <v>920</v>
      </c>
      <c r="R248" s="36" t="s">
        <v>1323</v>
      </c>
      <c r="S248" s="37" t="s">
        <v>921</v>
      </c>
      <c r="T248" s="38" t="s">
        <v>922</v>
      </c>
      <c r="U248" s="37" t="s">
        <v>834</v>
      </c>
      <c r="V248" s="36" t="s">
        <v>923</v>
      </c>
      <c r="W248" s="37" t="s">
        <v>921</v>
      </c>
      <c r="X248" s="41" t="s">
        <v>1324</v>
      </c>
      <c r="Y248" s="37" t="s">
        <v>36</v>
      </c>
      <c r="Z248" s="36">
        <v>33</v>
      </c>
      <c r="AA248" s="36" t="s">
        <v>2185</v>
      </c>
      <c r="AB248" s="36" t="s">
        <v>2326</v>
      </c>
      <c r="AC248" s="37" t="s">
        <v>2323</v>
      </c>
      <c r="AD248" s="36" t="s">
        <v>2375</v>
      </c>
      <c r="AE248" s="36" t="s">
        <v>2219</v>
      </c>
      <c r="AF248" s="37" t="s">
        <v>2187</v>
      </c>
      <c r="AG248" s="52">
        <v>0</v>
      </c>
      <c r="AH248" s="53">
        <v>35</v>
      </c>
      <c r="AI248" s="54">
        <v>2</v>
      </c>
      <c r="AJ248" s="55">
        <v>3</v>
      </c>
      <c r="AK248" s="46">
        <v>0</v>
      </c>
      <c r="AL248" s="47">
        <v>6316179777.2700005</v>
      </c>
      <c r="AM248" s="48">
        <v>415800000</v>
      </c>
      <c r="AN248" s="49">
        <v>428400000</v>
      </c>
      <c r="AO248" s="50">
        <v>7160379777.2700005</v>
      </c>
      <c r="AP248" s="37" t="s">
        <v>1156</v>
      </c>
    </row>
    <row r="249" spans="1:42" customFormat="1" ht="89.25" x14ac:dyDescent="0.25">
      <c r="A249" s="36">
        <v>248</v>
      </c>
      <c r="B249" s="37" t="s">
        <v>630</v>
      </c>
      <c r="C249" s="37" t="s">
        <v>314</v>
      </c>
      <c r="D249" s="38" t="s">
        <v>2385</v>
      </c>
      <c r="E249" s="37" t="s">
        <v>1312</v>
      </c>
      <c r="F249" s="37" t="s">
        <v>1313</v>
      </c>
      <c r="G249" s="40">
        <v>0.9042</v>
      </c>
      <c r="H249" s="36">
        <v>2023</v>
      </c>
      <c r="I249" s="37" t="s">
        <v>1314</v>
      </c>
      <c r="J249" s="38" t="s">
        <v>1315</v>
      </c>
      <c r="K249" s="37" t="s">
        <v>25</v>
      </c>
      <c r="L249" s="37" t="s">
        <v>679</v>
      </c>
      <c r="M249" s="37" t="s">
        <v>1156</v>
      </c>
      <c r="N249" s="36">
        <v>21</v>
      </c>
      <c r="O249" s="38" t="s">
        <v>1316</v>
      </c>
      <c r="P249" s="36" t="s">
        <v>919</v>
      </c>
      <c r="Q249" s="38" t="s">
        <v>2316</v>
      </c>
      <c r="R249" s="36" t="s">
        <v>2318</v>
      </c>
      <c r="S249" s="38" t="s">
        <v>187</v>
      </c>
      <c r="T249" s="38" t="s">
        <v>2319</v>
      </c>
      <c r="U249" s="38" t="s">
        <v>2320</v>
      </c>
      <c r="V249" s="36" t="s">
        <v>2321</v>
      </c>
      <c r="W249" s="38" t="s">
        <v>1296</v>
      </c>
      <c r="X249" s="41" t="s">
        <v>1325</v>
      </c>
      <c r="Y249" s="37" t="s">
        <v>36</v>
      </c>
      <c r="Z249" s="36">
        <v>0</v>
      </c>
      <c r="AA249" s="36" t="s">
        <v>2185</v>
      </c>
      <c r="AB249" s="36" t="s">
        <v>2326</v>
      </c>
      <c r="AC249" s="37" t="s">
        <v>2323</v>
      </c>
      <c r="AD249" s="36" t="s">
        <v>2375</v>
      </c>
      <c r="AE249" s="36" t="s">
        <v>2219</v>
      </c>
      <c r="AF249" s="37" t="s">
        <v>2187</v>
      </c>
      <c r="AG249" s="42">
        <v>1</v>
      </c>
      <c r="AH249" s="43">
        <v>1</v>
      </c>
      <c r="AI249" s="44">
        <v>0</v>
      </c>
      <c r="AJ249" s="45">
        <v>0</v>
      </c>
      <c r="AK249" s="46">
        <v>6133163901</v>
      </c>
      <c r="AL249" s="47">
        <v>7791577099</v>
      </c>
      <c r="AM249" s="48">
        <v>0</v>
      </c>
      <c r="AN249" s="49">
        <v>0</v>
      </c>
      <c r="AO249" s="50">
        <v>13924741000</v>
      </c>
      <c r="AP249" s="37" t="s">
        <v>1156</v>
      </c>
    </row>
    <row r="250" spans="1:42" customFormat="1" ht="89.25" x14ac:dyDescent="0.25">
      <c r="A250" s="36">
        <v>249</v>
      </c>
      <c r="B250" s="37" t="s">
        <v>630</v>
      </c>
      <c r="C250" s="37" t="s">
        <v>314</v>
      </c>
      <c r="D250" s="38" t="s">
        <v>2385</v>
      </c>
      <c r="E250" s="37" t="s">
        <v>1312</v>
      </c>
      <c r="F250" s="37" t="s">
        <v>1313</v>
      </c>
      <c r="G250" s="40">
        <v>0.9042</v>
      </c>
      <c r="H250" s="36">
        <v>2023</v>
      </c>
      <c r="I250" s="37" t="s">
        <v>1314</v>
      </c>
      <c r="J250" s="38" t="s">
        <v>1315</v>
      </c>
      <c r="K250" s="37" t="s">
        <v>25</v>
      </c>
      <c r="L250" s="37" t="s">
        <v>679</v>
      </c>
      <c r="M250" s="37" t="s">
        <v>1156</v>
      </c>
      <c r="N250" s="36">
        <v>21</v>
      </c>
      <c r="O250" s="38" t="s">
        <v>1316</v>
      </c>
      <c r="P250" s="36">
        <v>2102</v>
      </c>
      <c r="Q250" s="37" t="s">
        <v>920</v>
      </c>
      <c r="R250" s="36">
        <v>2102062</v>
      </c>
      <c r="S250" s="38" t="s">
        <v>2315</v>
      </c>
      <c r="T250" s="38" t="s">
        <v>2376</v>
      </c>
      <c r="U250" s="37" t="s">
        <v>1326</v>
      </c>
      <c r="V250" s="36">
        <v>210206201</v>
      </c>
      <c r="W250" s="37" t="s">
        <v>2317</v>
      </c>
      <c r="X250" s="41" t="s">
        <v>2426</v>
      </c>
      <c r="Y250" s="37" t="s">
        <v>1326</v>
      </c>
      <c r="Z250" s="36">
        <v>0</v>
      </c>
      <c r="AA250" s="36" t="s">
        <v>2185</v>
      </c>
      <c r="AB250" s="36" t="s">
        <v>2326</v>
      </c>
      <c r="AC250" s="37" t="s">
        <v>2323</v>
      </c>
      <c r="AD250" s="36" t="s">
        <v>2375</v>
      </c>
      <c r="AE250" s="36" t="s">
        <v>2219</v>
      </c>
      <c r="AF250" s="37" t="s">
        <v>2187</v>
      </c>
      <c r="AG250" s="52">
        <v>0</v>
      </c>
      <c r="AH250" s="53">
        <v>0</v>
      </c>
      <c r="AI250" s="54">
        <v>0.4</v>
      </c>
      <c r="AJ250" s="55">
        <v>0.6</v>
      </c>
      <c r="AK250" s="46">
        <v>0</v>
      </c>
      <c r="AL250" s="47">
        <v>0</v>
      </c>
      <c r="AM250" s="48">
        <v>5000000000</v>
      </c>
      <c r="AN250" s="49">
        <v>7381232134</v>
      </c>
      <c r="AO250" s="50">
        <v>12381232134</v>
      </c>
      <c r="AP250" s="37" t="s">
        <v>1156</v>
      </c>
    </row>
    <row r="251" spans="1:42" customFormat="1" ht="89.25" x14ac:dyDescent="0.25">
      <c r="A251" s="36">
        <v>250</v>
      </c>
      <c r="B251" s="37" t="s">
        <v>630</v>
      </c>
      <c r="C251" s="37" t="s">
        <v>314</v>
      </c>
      <c r="D251" s="38" t="s">
        <v>2385</v>
      </c>
      <c r="E251" s="37" t="s">
        <v>1328</v>
      </c>
      <c r="F251" s="37" t="s">
        <v>1329</v>
      </c>
      <c r="G251" s="40">
        <v>0.27489999999999998</v>
      </c>
      <c r="H251" s="36">
        <v>2023</v>
      </c>
      <c r="I251" s="37" t="s">
        <v>1330</v>
      </c>
      <c r="J251" s="38" t="s">
        <v>1331</v>
      </c>
      <c r="K251" s="37" t="s">
        <v>25</v>
      </c>
      <c r="L251" s="37" t="s">
        <v>679</v>
      </c>
      <c r="M251" s="37" t="s">
        <v>1156</v>
      </c>
      <c r="N251" s="36">
        <v>21</v>
      </c>
      <c r="O251" s="38" t="s">
        <v>1316</v>
      </c>
      <c r="P251" s="36">
        <v>2101</v>
      </c>
      <c r="Q251" s="37" t="s">
        <v>1332</v>
      </c>
      <c r="R251" s="36" t="s">
        <v>1333</v>
      </c>
      <c r="S251" s="37" t="s">
        <v>1334</v>
      </c>
      <c r="T251" s="38" t="s">
        <v>1335</v>
      </c>
      <c r="U251" s="37" t="s">
        <v>1163</v>
      </c>
      <c r="V251" s="36" t="s">
        <v>1336</v>
      </c>
      <c r="W251" s="37" t="s">
        <v>1337</v>
      </c>
      <c r="X251" s="41" t="s">
        <v>1338</v>
      </c>
      <c r="Y251" s="37" t="s">
        <v>36</v>
      </c>
      <c r="Z251" s="36">
        <v>4299</v>
      </c>
      <c r="AA251" s="36" t="s">
        <v>2185</v>
      </c>
      <c r="AB251" s="36" t="s">
        <v>2322</v>
      </c>
      <c r="AC251" s="37" t="s">
        <v>2323</v>
      </c>
      <c r="AD251" s="36" t="s">
        <v>2324</v>
      </c>
      <c r="AE251" s="36" t="s">
        <v>2191</v>
      </c>
      <c r="AF251" s="36" t="s">
        <v>2188</v>
      </c>
      <c r="AG251" s="52">
        <v>0</v>
      </c>
      <c r="AH251" s="53">
        <v>255</v>
      </c>
      <c r="AI251" s="54">
        <v>3571</v>
      </c>
      <c r="AJ251" s="55">
        <v>874</v>
      </c>
      <c r="AK251" s="46">
        <v>0</v>
      </c>
      <c r="AL251" s="47">
        <v>327600000</v>
      </c>
      <c r="AM251" s="48">
        <v>4578449696</v>
      </c>
      <c r="AN251" s="49">
        <v>1120369882</v>
      </c>
      <c r="AO251" s="50">
        <v>6026419578</v>
      </c>
      <c r="AP251" s="37" t="s">
        <v>1156</v>
      </c>
    </row>
    <row r="252" spans="1:42" customFormat="1" ht="89.25" x14ac:dyDescent="0.25">
      <c r="A252" s="36">
        <v>251</v>
      </c>
      <c r="B252" s="37" t="s">
        <v>630</v>
      </c>
      <c r="C252" s="37" t="s">
        <v>314</v>
      </c>
      <c r="D252" s="38" t="s">
        <v>2385</v>
      </c>
      <c r="E252" s="37" t="s">
        <v>1339</v>
      </c>
      <c r="F252" s="37" t="s">
        <v>1340</v>
      </c>
      <c r="G252" s="62">
        <v>8</v>
      </c>
      <c r="H252" s="36">
        <v>2023</v>
      </c>
      <c r="I252" s="37" t="s">
        <v>1341</v>
      </c>
      <c r="J252" s="38" t="s">
        <v>1342</v>
      </c>
      <c r="K252" s="37" t="s">
        <v>36</v>
      </c>
      <c r="L252" s="37" t="s">
        <v>679</v>
      </c>
      <c r="M252" s="37" t="s">
        <v>1156</v>
      </c>
      <c r="N252" s="36">
        <v>21</v>
      </c>
      <c r="O252" s="38" t="s">
        <v>1316</v>
      </c>
      <c r="P252" s="36">
        <v>2102</v>
      </c>
      <c r="Q252" s="37" t="s">
        <v>1327</v>
      </c>
      <c r="R252" s="36">
        <v>2102069</v>
      </c>
      <c r="S252" s="37" t="s">
        <v>1343</v>
      </c>
      <c r="T252" s="38" t="s">
        <v>1344</v>
      </c>
      <c r="U252" s="37" t="s">
        <v>1345</v>
      </c>
      <c r="V252" s="36">
        <v>210206900</v>
      </c>
      <c r="W252" s="37" t="s">
        <v>1346</v>
      </c>
      <c r="X252" s="41" t="s">
        <v>1347</v>
      </c>
      <c r="Y252" s="37" t="s">
        <v>36</v>
      </c>
      <c r="Z252" s="36">
        <v>0</v>
      </c>
      <c r="AA252" s="36" t="s">
        <v>2185</v>
      </c>
      <c r="AB252" s="36" t="s">
        <v>2322</v>
      </c>
      <c r="AC252" s="37" t="s">
        <v>2323</v>
      </c>
      <c r="AD252" s="36" t="s">
        <v>2375</v>
      </c>
      <c r="AE252" s="36" t="s">
        <v>2219</v>
      </c>
      <c r="AF252" s="36" t="s">
        <v>2191</v>
      </c>
      <c r="AG252" s="52">
        <v>0</v>
      </c>
      <c r="AH252" s="53">
        <v>660</v>
      </c>
      <c r="AI252" s="54">
        <v>660</v>
      </c>
      <c r="AJ252" s="55">
        <v>680</v>
      </c>
      <c r="AK252" s="46">
        <v>0</v>
      </c>
      <c r="AL252" s="47">
        <v>1580074320</v>
      </c>
      <c r="AM252" s="48">
        <v>1580074320</v>
      </c>
      <c r="AN252" s="49">
        <v>1627955360</v>
      </c>
      <c r="AO252" s="50">
        <v>4788104000</v>
      </c>
      <c r="AP252" s="37" t="s">
        <v>1156</v>
      </c>
    </row>
    <row r="253" spans="1:42" customFormat="1" ht="89.25" x14ac:dyDescent="0.25">
      <c r="A253" s="36">
        <v>252</v>
      </c>
      <c r="B253" s="58" t="s">
        <v>19</v>
      </c>
      <c r="C253" s="58" t="s">
        <v>20</v>
      </c>
      <c r="D253" s="38" t="s">
        <v>2385</v>
      </c>
      <c r="E253" s="58" t="s">
        <v>638</v>
      </c>
      <c r="F253" s="58" t="s">
        <v>639</v>
      </c>
      <c r="G253" s="89">
        <v>2.75E-2</v>
      </c>
      <c r="H253" s="51">
        <v>2024</v>
      </c>
      <c r="I253" s="58" t="s">
        <v>640</v>
      </c>
      <c r="J253" s="90" t="s">
        <v>641</v>
      </c>
      <c r="K253" s="58" t="s">
        <v>25</v>
      </c>
      <c r="L253" s="37" t="s">
        <v>27</v>
      </c>
      <c r="M253" s="58" t="s">
        <v>642</v>
      </c>
      <c r="N253" s="36">
        <v>43</v>
      </c>
      <c r="O253" s="111" t="s">
        <v>2468</v>
      </c>
      <c r="P253" s="170" t="s">
        <v>644</v>
      </c>
      <c r="Q253" s="111" t="s">
        <v>2469</v>
      </c>
      <c r="R253" s="170" t="s">
        <v>2470</v>
      </c>
      <c r="S253" s="111" t="s">
        <v>2471</v>
      </c>
      <c r="T253" s="111" t="s">
        <v>2472</v>
      </c>
      <c r="U253" s="111" t="s">
        <v>1417</v>
      </c>
      <c r="V253" s="170" t="s">
        <v>2473</v>
      </c>
      <c r="W253" s="91" t="s">
        <v>2474</v>
      </c>
      <c r="X253" s="41" t="s">
        <v>1350</v>
      </c>
      <c r="Y253" s="37" t="s">
        <v>36</v>
      </c>
      <c r="Z253" s="36">
        <v>0</v>
      </c>
      <c r="AA253" s="36" t="s">
        <v>2185</v>
      </c>
      <c r="AB253" s="36" t="s">
        <v>2322</v>
      </c>
      <c r="AC253" s="37" t="s">
        <v>2323</v>
      </c>
      <c r="AD253" s="36" t="s">
        <v>348</v>
      </c>
      <c r="AE253" s="36" t="s">
        <v>2188</v>
      </c>
      <c r="AF253" s="37" t="s">
        <v>2187</v>
      </c>
      <c r="AG253" s="71">
        <v>7.8</v>
      </c>
      <c r="AH253" s="53">
        <v>0</v>
      </c>
      <c r="AI253" s="54">
        <v>0.2</v>
      </c>
      <c r="AJ253" s="55">
        <v>0</v>
      </c>
      <c r="AK253" s="46">
        <v>1724000000</v>
      </c>
      <c r="AL253" s="47">
        <v>0</v>
      </c>
      <c r="AM253" s="48">
        <v>50000000</v>
      </c>
      <c r="AN253" s="49">
        <v>0</v>
      </c>
      <c r="AO253" s="50">
        <v>1774000000</v>
      </c>
      <c r="AP253" s="37" t="s">
        <v>1156</v>
      </c>
    </row>
    <row r="254" spans="1:42" customFormat="1" ht="89.25" x14ac:dyDescent="0.25">
      <c r="A254" s="36">
        <v>253</v>
      </c>
      <c r="B254" s="58" t="s">
        <v>19</v>
      </c>
      <c r="C254" s="58" t="s">
        <v>20</v>
      </c>
      <c r="D254" s="38" t="s">
        <v>2385</v>
      </c>
      <c r="E254" s="58" t="s">
        <v>638</v>
      </c>
      <c r="F254" s="58" t="s">
        <v>639</v>
      </c>
      <c r="G254" s="89">
        <v>2.75E-2</v>
      </c>
      <c r="H254" s="51">
        <v>2024</v>
      </c>
      <c r="I254" s="58" t="s">
        <v>640</v>
      </c>
      <c r="J254" s="90" t="s">
        <v>641</v>
      </c>
      <c r="K254" s="58" t="s">
        <v>25</v>
      </c>
      <c r="L254" s="37" t="s">
        <v>27</v>
      </c>
      <c r="M254" s="58" t="s">
        <v>642</v>
      </c>
      <c r="N254" s="36">
        <v>43</v>
      </c>
      <c r="O254" s="58" t="s">
        <v>643</v>
      </c>
      <c r="P254" s="36">
        <v>4301</v>
      </c>
      <c r="Q254" s="37" t="s">
        <v>2500</v>
      </c>
      <c r="R254" s="36" t="s">
        <v>2501</v>
      </c>
      <c r="S254" s="37" t="s">
        <v>2502</v>
      </c>
      <c r="T254" s="38" t="s">
        <v>2503</v>
      </c>
      <c r="U254" s="37" t="s">
        <v>1381</v>
      </c>
      <c r="V254" s="36" t="s">
        <v>2504</v>
      </c>
      <c r="W254" s="37" t="s">
        <v>2505</v>
      </c>
      <c r="X254" s="37" t="s">
        <v>2099</v>
      </c>
      <c r="Y254" s="37" t="s">
        <v>36</v>
      </c>
      <c r="Z254" s="36">
        <v>17.649999999999999</v>
      </c>
      <c r="AA254" s="36" t="s">
        <v>2185</v>
      </c>
      <c r="AB254" s="36" t="s">
        <v>2322</v>
      </c>
      <c r="AC254" s="37" t="s">
        <v>2323</v>
      </c>
      <c r="AD254" s="36" t="s">
        <v>348</v>
      </c>
      <c r="AE254" s="36" t="s">
        <v>2188</v>
      </c>
      <c r="AF254" s="37" t="s">
        <v>2187</v>
      </c>
      <c r="AG254" s="71">
        <v>1.6</v>
      </c>
      <c r="AH254" s="53">
        <v>0</v>
      </c>
      <c r="AI254" s="54">
        <v>3</v>
      </c>
      <c r="AJ254" s="55">
        <v>3.4</v>
      </c>
      <c r="AK254" s="46">
        <v>1711509150</v>
      </c>
      <c r="AL254" s="47">
        <v>0</v>
      </c>
      <c r="AM254" s="48">
        <v>3322813936</v>
      </c>
      <c r="AN254" s="49">
        <v>3691990069</v>
      </c>
      <c r="AO254" s="50">
        <v>8726313155</v>
      </c>
      <c r="AP254" s="37" t="s">
        <v>1156</v>
      </c>
    </row>
    <row r="255" spans="1:42" customFormat="1" ht="89.25" x14ac:dyDescent="0.25">
      <c r="A255" s="36">
        <v>254</v>
      </c>
      <c r="B255" s="58" t="s">
        <v>19</v>
      </c>
      <c r="C255" s="58" t="s">
        <v>20</v>
      </c>
      <c r="D255" s="38" t="s">
        <v>2385</v>
      </c>
      <c r="E255" s="58" t="s">
        <v>638</v>
      </c>
      <c r="F255" s="58" t="s">
        <v>639</v>
      </c>
      <c r="G255" s="89">
        <v>2.75E-2</v>
      </c>
      <c r="H255" s="51">
        <v>2024</v>
      </c>
      <c r="I255" s="58" t="s">
        <v>640</v>
      </c>
      <c r="J255" s="90" t="s">
        <v>641</v>
      </c>
      <c r="K255" s="58" t="s">
        <v>25</v>
      </c>
      <c r="L255" s="37" t="s">
        <v>27</v>
      </c>
      <c r="M255" s="58" t="s">
        <v>642</v>
      </c>
      <c r="N255" s="36">
        <v>43</v>
      </c>
      <c r="O255" s="58" t="s">
        <v>643</v>
      </c>
      <c r="P255" s="36">
        <v>4301</v>
      </c>
      <c r="Q255" s="37" t="s">
        <v>2500</v>
      </c>
      <c r="R255" s="36" t="s">
        <v>2506</v>
      </c>
      <c r="S255" s="37" t="s">
        <v>2507</v>
      </c>
      <c r="T255" s="38" t="s">
        <v>1351</v>
      </c>
      <c r="U255" s="37" t="s">
        <v>1381</v>
      </c>
      <c r="V255" s="36" t="s">
        <v>2508</v>
      </c>
      <c r="W255" s="37" t="s">
        <v>2509</v>
      </c>
      <c r="X255" s="37" t="s">
        <v>2100</v>
      </c>
      <c r="Y255" s="37" t="s">
        <v>36</v>
      </c>
      <c r="Z255" s="36">
        <v>0</v>
      </c>
      <c r="AA255" s="36" t="s">
        <v>2185</v>
      </c>
      <c r="AB255" s="36" t="s">
        <v>2322</v>
      </c>
      <c r="AC255" s="37" t="s">
        <v>2323</v>
      </c>
      <c r="AD255" s="36" t="s">
        <v>348</v>
      </c>
      <c r="AE255" s="36" t="s">
        <v>2188</v>
      </c>
      <c r="AF255" s="37" t="s">
        <v>2187</v>
      </c>
      <c r="AG255" s="52">
        <v>0</v>
      </c>
      <c r="AH255" s="53">
        <v>3</v>
      </c>
      <c r="AI255" s="54">
        <v>0</v>
      </c>
      <c r="AJ255" s="55">
        <v>0</v>
      </c>
      <c r="AK255" s="46">
        <v>0</v>
      </c>
      <c r="AL255" s="47">
        <v>2650000000</v>
      </c>
      <c r="AM255" s="48">
        <v>0</v>
      </c>
      <c r="AN255" s="49">
        <v>0</v>
      </c>
      <c r="AO255" s="50">
        <v>2650000000</v>
      </c>
      <c r="AP255" s="37" t="s">
        <v>1156</v>
      </c>
    </row>
    <row r="256" spans="1:42" customFormat="1" ht="89.25" x14ac:dyDescent="0.25">
      <c r="A256" s="36">
        <v>255</v>
      </c>
      <c r="B256" s="37" t="s">
        <v>19</v>
      </c>
      <c r="C256" s="37" t="s">
        <v>20</v>
      </c>
      <c r="D256" s="38" t="s">
        <v>2385</v>
      </c>
      <c r="E256" s="58" t="s">
        <v>638</v>
      </c>
      <c r="F256" s="58" t="s">
        <v>639</v>
      </c>
      <c r="G256" s="89">
        <v>2.75E-2</v>
      </c>
      <c r="H256" s="51">
        <v>2024</v>
      </c>
      <c r="I256" s="58" t="s">
        <v>640</v>
      </c>
      <c r="J256" s="90" t="s">
        <v>641</v>
      </c>
      <c r="K256" s="58" t="s">
        <v>25</v>
      </c>
      <c r="L256" s="37" t="s">
        <v>27</v>
      </c>
      <c r="M256" s="58" t="s">
        <v>642</v>
      </c>
      <c r="N256" s="36">
        <v>43</v>
      </c>
      <c r="O256" s="58" t="s">
        <v>643</v>
      </c>
      <c r="P256" s="36" t="s">
        <v>1348</v>
      </c>
      <c r="Q256" s="37" t="s">
        <v>660</v>
      </c>
      <c r="R256" s="36" t="s">
        <v>1352</v>
      </c>
      <c r="S256" s="37" t="s">
        <v>1353</v>
      </c>
      <c r="T256" s="38" t="s">
        <v>1351</v>
      </c>
      <c r="U256" s="37" t="s">
        <v>1354</v>
      </c>
      <c r="V256" s="36" t="s">
        <v>1355</v>
      </c>
      <c r="W256" s="37" t="s">
        <v>1356</v>
      </c>
      <c r="X256" s="37" t="s">
        <v>2133</v>
      </c>
      <c r="Y256" s="37" t="s">
        <v>36</v>
      </c>
      <c r="Z256" s="36">
        <v>0</v>
      </c>
      <c r="AA256" s="36" t="s">
        <v>2185</v>
      </c>
      <c r="AB256" s="36" t="s">
        <v>2322</v>
      </c>
      <c r="AC256" s="37" t="s">
        <v>2323</v>
      </c>
      <c r="AD256" s="36" t="s">
        <v>348</v>
      </c>
      <c r="AE256" s="36" t="s">
        <v>2188</v>
      </c>
      <c r="AF256" s="37" t="s">
        <v>2187</v>
      </c>
      <c r="AG256" s="42">
        <v>1</v>
      </c>
      <c r="AH256" s="43">
        <v>0</v>
      </c>
      <c r="AI256" s="44">
        <v>0</v>
      </c>
      <c r="AJ256" s="45">
        <v>0</v>
      </c>
      <c r="AK256" s="46">
        <v>1364078290</v>
      </c>
      <c r="AL256" s="47">
        <v>0</v>
      </c>
      <c r="AM256" s="48">
        <v>0</v>
      </c>
      <c r="AN256" s="49">
        <v>0</v>
      </c>
      <c r="AO256" s="50">
        <v>1364078290</v>
      </c>
      <c r="AP256" s="37" t="s">
        <v>1156</v>
      </c>
    </row>
    <row r="257" spans="1:42" customFormat="1" ht="89.25" x14ac:dyDescent="0.25">
      <c r="A257" s="36">
        <v>256</v>
      </c>
      <c r="B257" s="37" t="s">
        <v>19</v>
      </c>
      <c r="C257" s="37" t="s">
        <v>20</v>
      </c>
      <c r="D257" s="38" t="s">
        <v>2385</v>
      </c>
      <c r="E257" s="58" t="s">
        <v>638</v>
      </c>
      <c r="F257" s="58" t="s">
        <v>639</v>
      </c>
      <c r="G257" s="89">
        <v>2.75E-2</v>
      </c>
      <c r="H257" s="51">
        <v>2024</v>
      </c>
      <c r="I257" s="58" t="s">
        <v>640</v>
      </c>
      <c r="J257" s="90" t="s">
        <v>641</v>
      </c>
      <c r="K257" s="58" t="s">
        <v>25</v>
      </c>
      <c r="L257" s="37" t="s">
        <v>27</v>
      </c>
      <c r="M257" s="58" t="s">
        <v>642</v>
      </c>
      <c r="N257" s="36">
        <v>43</v>
      </c>
      <c r="O257" s="58" t="s">
        <v>643</v>
      </c>
      <c r="P257" s="36" t="s">
        <v>1348</v>
      </c>
      <c r="Q257" s="37" t="s">
        <v>660</v>
      </c>
      <c r="R257" s="36" t="s">
        <v>1357</v>
      </c>
      <c r="S257" s="37" t="s">
        <v>1358</v>
      </c>
      <c r="T257" s="38" t="s">
        <v>1359</v>
      </c>
      <c r="U257" s="37" t="s">
        <v>1354</v>
      </c>
      <c r="V257" s="36" t="s">
        <v>1360</v>
      </c>
      <c r="W257" s="37" t="s">
        <v>1361</v>
      </c>
      <c r="X257" s="41" t="s">
        <v>1362</v>
      </c>
      <c r="Y257" s="37" t="s">
        <v>36</v>
      </c>
      <c r="Z257" s="36">
        <v>0</v>
      </c>
      <c r="AA257" s="36" t="s">
        <v>2185</v>
      </c>
      <c r="AB257" s="36" t="s">
        <v>2322</v>
      </c>
      <c r="AC257" s="37" t="s">
        <v>2323</v>
      </c>
      <c r="AD257" s="36" t="s">
        <v>348</v>
      </c>
      <c r="AE257" s="36" t="s">
        <v>2188</v>
      </c>
      <c r="AF257" s="37" t="s">
        <v>2187</v>
      </c>
      <c r="AG257" s="52">
        <v>0</v>
      </c>
      <c r="AH257" s="53">
        <v>0.1</v>
      </c>
      <c r="AI257" s="54">
        <v>0.3</v>
      </c>
      <c r="AJ257" s="55">
        <v>0.6</v>
      </c>
      <c r="AK257" s="46">
        <v>0</v>
      </c>
      <c r="AL257" s="47">
        <v>1000000000</v>
      </c>
      <c r="AM257" s="48">
        <v>3000000000</v>
      </c>
      <c r="AN257" s="49">
        <v>6000000000</v>
      </c>
      <c r="AO257" s="50">
        <v>10000000000</v>
      </c>
      <c r="AP257" s="37" t="s">
        <v>1156</v>
      </c>
    </row>
    <row r="258" spans="1:42" customFormat="1" ht="89.25" x14ac:dyDescent="0.25">
      <c r="A258" s="36">
        <v>257</v>
      </c>
      <c r="B258" s="37" t="s">
        <v>19</v>
      </c>
      <c r="C258" s="37" t="s">
        <v>20</v>
      </c>
      <c r="D258" s="38" t="s">
        <v>2385</v>
      </c>
      <c r="E258" s="58" t="s">
        <v>638</v>
      </c>
      <c r="F258" s="58" t="s">
        <v>639</v>
      </c>
      <c r="G258" s="89">
        <v>2.75E-2</v>
      </c>
      <c r="H258" s="51">
        <v>2024</v>
      </c>
      <c r="I258" s="58" t="s">
        <v>640</v>
      </c>
      <c r="J258" s="90" t="s">
        <v>641</v>
      </c>
      <c r="K258" s="58" t="s">
        <v>25</v>
      </c>
      <c r="L258" s="37" t="s">
        <v>27</v>
      </c>
      <c r="M258" s="58" t="s">
        <v>642</v>
      </c>
      <c r="N258" s="36">
        <v>43</v>
      </c>
      <c r="O258" s="58" t="s">
        <v>643</v>
      </c>
      <c r="P258" s="36" t="s">
        <v>1348</v>
      </c>
      <c r="Q258" s="37" t="s">
        <v>660</v>
      </c>
      <c r="R258" s="36" t="s">
        <v>1363</v>
      </c>
      <c r="S258" s="37" t="s">
        <v>1364</v>
      </c>
      <c r="T258" s="38" t="s">
        <v>1359</v>
      </c>
      <c r="U258" s="37" t="s">
        <v>1365</v>
      </c>
      <c r="V258" s="36" t="s">
        <v>1366</v>
      </c>
      <c r="W258" s="37" t="s">
        <v>1364</v>
      </c>
      <c r="X258" s="37" t="s">
        <v>2101</v>
      </c>
      <c r="Y258" s="37" t="s">
        <v>36</v>
      </c>
      <c r="Z258" s="36">
        <v>0</v>
      </c>
      <c r="AA258" s="36" t="s">
        <v>2185</v>
      </c>
      <c r="AB258" s="36" t="s">
        <v>2322</v>
      </c>
      <c r="AC258" s="37" t="s">
        <v>2323</v>
      </c>
      <c r="AD258" s="36" t="s">
        <v>348</v>
      </c>
      <c r="AE258" s="36" t="s">
        <v>2188</v>
      </c>
      <c r="AF258" s="37" t="s">
        <v>2187</v>
      </c>
      <c r="AG258" s="52">
        <v>0</v>
      </c>
      <c r="AH258" s="53">
        <v>0.5</v>
      </c>
      <c r="AI258" s="54">
        <v>0.7</v>
      </c>
      <c r="AJ258" s="55">
        <v>0.8</v>
      </c>
      <c r="AK258" s="46">
        <v>0</v>
      </c>
      <c r="AL258" s="47">
        <v>5000000000</v>
      </c>
      <c r="AM258" s="48">
        <v>7000000000</v>
      </c>
      <c r="AN258" s="49">
        <v>8000000000</v>
      </c>
      <c r="AO258" s="50">
        <v>20000000000</v>
      </c>
      <c r="AP258" s="37" t="s">
        <v>1156</v>
      </c>
    </row>
    <row r="259" spans="1:42" customFormat="1" ht="89.25" x14ac:dyDescent="0.25">
      <c r="A259" s="36">
        <v>258</v>
      </c>
      <c r="B259" s="37" t="s">
        <v>19</v>
      </c>
      <c r="C259" s="37" t="s">
        <v>20</v>
      </c>
      <c r="D259" s="38" t="s">
        <v>2385</v>
      </c>
      <c r="E259" s="58" t="s">
        <v>638</v>
      </c>
      <c r="F259" s="58" t="s">
        <v>639</v>
      </c>
      <c r="G259" s="89">
        <v>2.75E-2</v>
      </c>
      <c r="H259" s="51">
        <v>2024</v>
      </c>
      <c r="I259" s="58" t="s">
        <v>640</v>
      </c>
      <c r="J259" s="90" t="s">
        <v>641</v>
      </c>
      <c r="K259" s="58" t="s">
        <v>25</v>
      </c>
      <c r="L259" s="37" t="s">
        <v>27</v>
      </c>
      <c r="M259" s="58" t="s">
        <v>642</v>
      </c>
      <c r="N259" s="36">
        <v>43</v>
      </c>
      <c r="O259" s="58" t="s">
        <v>643</v>
      </c>
      <c r="P259" s="36" t="s">
        <v>1348</v>
      </c>
      <c r="Q259" s="37" t="s">
        <v>660</v>
      </c>
      <c r="R259" s="51" t="s">
        <v>1367</v>
      </c>
      <c r="S259" s="58" t="s">
        <v>1368</v>
      </c>
      <c r="T259" s="59" t="s">
        <v>1359</v>
      </c>
      <c r="U259" s="58" t="s">
        <v>1369</v>
      </c>
      <c r="V259" s="51" t="s">
        <v>1370</v>
      </c>
      <c r="W259" s="58" t="s">
        <v>1371</v>
      </c>
      <c r="X259" s="37" t="s">
        <v>2102</v>
      </c>
      <c r="Y259" s="37" t="s">
        <v>36</v>
      </c>
      <c r="Z259" s="36">
        <v>0</v>
      </c>
      <c r="AA259" s="36" t="s">
        <v>2185</v>
      </c>
      <c r="AB259" s="36" t="s">
        <v>2322</v>
      </c>
      <c r="AC259" s="37" t="s">
        <v>2323</v>
      </c>
      <c r="AD259" s="36" t="s">
        <v>348</v>
      </c>
      <c r="AE259" s="36" t="s">
        <v>2188</v>
      </c>
      <c r="AF259" s="37" t="s">
        <v>2187</v>
      </c>
      <c r="AG259" s="52">
        <v>0</v>
      </c>
      <c r="AH259" s="53">
        <v>1</v>
      </c>
      <c r="AI259" s="54">
        <v>0</v>
      </c>
      <c r="AJ259" s="55">
        <v>0</v>
      </c>
      <c r="AK259" s="46">
        <v>0</v>
      </c>
      <c r="AL259" s="47">
        <v>10000000000</v>
      </c>
      <c r="AM259" s="48">
        <v>0</v>
      </c>
      <c r="AN259" s="49">
        <v>0</v>
      </c>
      <c r="AO259" s="50">
        <v>10000000000</v>
      </c>
      <c r="AP259" s="37" t="s">
        <v>1156</v>
      </c>
    </row>
    <row r="260" spans="1:42" customFormat="1" ht="89.25" x14ac:dyDescent="0.25">
      <c r="A260" s="36">
        <v>259</v>
      </c>
      <c r="B260" s="37" t="s">
        <v>19</v>
      </c>
      <c r="C260" s="37" t="s">
        <v>20</v>
      </c>
      <c r="D260" s="38" t="s">
        <v>2385</v>
      </c>
      <c r="E260" s="58" t="s">
        <v>638</v>
      </c>
      <c r="F260" s="58" t="s">
        <v>639</v>
      </c>
      <c r="G260" s="89">
        <v>2.75E-2</v>
      </c>
      <c r="H260" s="51">
        <v>2024</v>
      </c>
      <c r="I260" s="58" t="s">
        <v>640</v>
      </c>
      <c r="J260" s="90" t="s">
        <v>641</v>
      </c>
      <c r="K260" s="58" t="s">
        <v>25</v>
      </c>
      <c r="L260" s="37" t="s">
        <v>27</v>
      </c>
      <c r="M260" s="58" t="s">
        <v>642</v>
      </c>
      <c r="N260" s="36">
        <v>43</v>
      </c>
      <c r="O260" s="58" t="s">
        <v>643</v>
      </c>
      <c r="P260" s="36" t="s">
        <v>1348</v>
      </c>
      <c r="Q260" s="37" t="s">
        <v>660</v>
      </c>
      <c r="R260" s="51" t="s">
        <v>1372</v>
      </c>
      <c r="S260" s="58" t="s">
        <v>1373</v>
      </c>
      <c r="T260" s="59" t="s">
        <v>1374</v>
      </c>
      <c r="U260" s="58" t="s">
        <v>1375</v>
      </c>
      <c r="V260" s="51" t="s">
        <v>1376</v>
      </c>
      <c r="W260" s="58" t="s">
        <v>1373</v>
      </c>
      <c r="X260" s="58" t="s">
        <v>1377</v>
      </c>
      <c r="Y260" s="37" t="s">
        <v>36</v>
      </c>
      <c r="Z260" s="36">
        <v>0</v>
      </c>
      <c r="AA260" s="36" t="s">
        <v>2185</v>
      </c>
      <c r="AB260" s="36" t="s">
        <v>2322</v>
      </c>
      <c r="AC260" s="37" t="s">
        <v>2323</v>
      </c>
      <c r="AD260" s="36" t="s">
        <v>348</v>
      </c>
      <c r="AE260" s="36" t="s">
        <v>2188</v>
      </c>
      <c r="AF260" s="37" t="s">
        <v>2187</v>
      </c>
      <c r="AG260" s="52">
        <v>0</v>
      </c>
      <c r="AH260" s="53">
        <v>1</v>
      </c>
      <c r="AI260" s="54">
        <v>0</v>
      </c>
      <c r="AJ260" s="55">
        <v>0</v>
      </c>
      <c r="AK260" s="46">
        <v>0</v>
      </c>
      <c r="AL260" s="47">
        <v>10295000000</v>
      </c>
      <c r="AM260" s="48">
        <v>0</v>
      </c>
      <c r="AN260" s="49">
        <v>0</v>
      </c>
      <c r="AO260" s="50">
        <v>10295000000</v>
      </c>
      <c r="AP260" s="37" t="s">
        <v>1156</v>
      </c>
    </row>
    <row r="261" spans="1:42" customFormat="1" ht="89.25" x14ac:dyDescent="0.25">
      <c r="A261" s="36">
        <v>260</v>
      </c>
      <c r="B261" s="37" t="s">
        <v>19</v>
      </c>
      <c r="C261" s="37" t="s">
        <v>20</v>
      </c>
      <c r="D261" s="38" t="s">
        <v>2385</v>
      </c>
      <c r="E261" s="58" t="s">
        <v>638</v>
      </c>
      <c r="F261" s="58" t="s">
        <v>639</v>
      </c>
      <c r="G261" s="89">
        <v>2.75E-2</v>
      </c>
      <c r="H261" s="51">
        <v>2024</v>
      </c>
      <c r="I261" s="58" t="s">
        <v>640</v>
      </c>
      <c r="J261" s="90" t="s">
        <v>641</v>
      </c>
      <c r="K261" s="58" t="s">
        <v>25</v>
      </c>
      <c r="L261" s="38"/>
      <c r="M261" s="58" t="s">
        <v>642</v>
      </c>
      <c r="N261" s="36">
        <v>43</v>
      </c>
      <c r="O261" s="37" t="s">
        <v>643</v>
      </c>
      <c r="P261" s="36" t="s">
        <v>644</v>
      </c>
      <c r="Q261" s="111" t="s">
        <v>2469</v>
      </c>
      <c r="R261" s="51" t="s">
        <v>1378</v>
      </c>
      <c r="S261" s="58" t="s">
        <v>1379</v>
      </c>
      <c r="T261" s="59" t="s">
        <v>1380</v>
      </c>
      <c r="U261" s="58" t="s">
        <v>1381</v>
      </c>
      <c r="V261" s="51" t="s">
        <v>1382</v>
      </c>
      <c r="W261" s="58" t="s">
        <v>1379</v>
      </c>
      <c r="X261" s="58" t="s">
        <v>1383</v>
      </c>
      <c r="Y261" s="37" t="s">
        <v>36</v>
      </c>
      <c r="Z261" s="36">
        <v>0</v>
      </c>
      <c r="AA261" s="36" t="s">
        <v>2185</v>
      </c>
      <c r="AB261" s="36" t="s">
        <v>2322</v>
      </c>
      <c r="AC261" s="37" t="s">
        <v>2323</v>
      </c>
      <c r="AD261" s="36" t="s">
        <v>348</v>
      </c>
      <c r="AE261" s="36" t="s">
        <v>2188</v>
      </c>
      <c r="AF261" s="37" t="s">
        <v>2187</v>
      </c>
      <c r="AG261" s="52">
        <v>0</v>
      </c>
      <c r="AH261" s="53">
        <v>0</v>
      </c>
      <c r="AI261" s="54">
        <v>1</v>
      </c>
      <c r="AJ261" s="55">
        <v>0</v>
      </c>
      <c r="AK261" s="46">
        <v>0</v>
      </c>
      <c r="AL261" s="47">
        <v>0</v>
      </c>
      <c r="AM261" s="48">
        <v>3000000000</v>
      </c>
      <c r="AN261" s="49">
        <v>0</v>
      </c>
      <c r="AO261" s="50">
        <v>3000000000</v>
      </c>
      <c r="AP261" s="37" t="s">
        <v>1156</v>
      </c>
    </row>
    <row r="262" spans="1:42" customFormat="1" ht="89.25" x14ac:dyDescent="0.25">
      <c r="A262" s="36">
        <v>261</v>
      </c>
      <c r="B262" s="37" t="s">
        <v>19</v>
      </c>
      <c r="C262" s="37" t="s">
        <v>20</v>
      </c>
      <c r="D262" s="38" t="s">
        <v>2385</v>
      </c>
      <c r="E262" s="58" t="s">
        <v>638</v>
      </c>
      <c r="F262" s="58" t="s">
        <v>639</v>
      </c>
      <c r="G262" s="89">
        <v>2.75E-2</v>
      </c>
      <c r="H262" s="51">
        <v>2024</v>
      </c>
      <c r="I262" s="58" t="s">
        <v>640</v>
      </c>
      <c r="J262" s="90" t="s">
        <v>641</v>
      </c>
      <c r="K262" s="58" t="s">
        <v>25</v>
      </c>
      <c r="L262" s="38"/>
      <c r="M262" s="58" t="s">
        <v>642</v>
      </c>
      <c r="N262" s="36">
        <v>43</v>
      </c>
      <c r="O262" s="37" t="s">
        <v>643</v>
      </c>
      <c r="P262" s="36" t="s">
        <v>644</v>
      </c>
      <c r="Q262" s="111" t="s">
        <v>2469</v>
      </c>
      <c r="R262" s="51" t="s">
        <v>1384</v>
      </c>
      <c r="S262" s="58" t="s">
        <v>1385</v>
      </c>
      <c r="T262" s="59" t="s">
        <v>1351</v>
      </c>
      <c r="U262" s="58" t="s">
        <v>1381</v>
      </c>
      <c r="V262" s="51" t="s">
        <v>1386</v>
      </c>
      <c r="W262" s="58" t="s">
        <v>1385</v>
      </c>
      <c r="X262" s="58" t="s">
        <v>1387</v>
      </c>
      <c r="Y262" s="37" t="s">
        <v>36</v>
      </c>
      <c r="Z262" s="36">
        <v>0</v>
      </c>
      <c r="AA262" s="36" t="s">
        <v>2185</v>
      </c>
      <c r="AB262" s="36" t="s">
        <v>2322</v>
      </c>
      <c r="AC262" s="37" t="s">
        <v>2323</v>
      </c>
      <c r="AD262" s="36" t="s">
        <v>348</v>
      </c>
      <c r="AE262" s="36" t="s">
        <v>2188</v>
      </c>
      <c r="AF262" s="37" t="s">
        <v>2187</v>
      </c>
      <c r="AG262" s="52">
        <v>0</v>
      </c>
      <c r="AH262" s="53">
        <v>1</v>
      </c>
      <c r="AI262" s="54">
        <v>0</v>
      </c>
      <c r="AJ262" s="55">
        <v>0</v>
      </c>
      <c r="AK262" s="46">
        <v>0</v>
      </c>
      <c r="AL262" s="47">
        <v>1500000000</v>
      </c>
      <c r="AM262" s="48">
        <v>0</v>
      </c>
      <c r="AN262" s="49">
        <v>0</v>
      </c>
      <c r="AO262" s="50">
        <v>1500000000</v>
      </c>
      <c r="AP262" s="37" t="s">
        <v>1156</v>
      </c>
    </row>
    <row r="263" spans="1:42" customFormat="1" ht="89.25" x14ac:dyDescent="0.25">
      <c r="A263" s="36">
        <v>262</v>
      </c>
      <c r="B263" s="37" t="s">
        <v>224</v>
      </c>
      <c r="C263" s="37" t="s">
        <v>291</v>
      </c>
      <c r="D263" s="38" t="s">
        <v>2385</v>
      </c>
      <c r="E263" s="37" t="s">
        <v>673</v>
      </c>
      <c r="F263" s="37" t="s">
        <v>674</v>
      </c>
      <c r="G263" s="40" t="s">
        <v>675</v>
      </c>
      <c r="H263" s="62">
        <v>2022</v>
      </c>
      <c r="I263" s="37" t="s">
        <v>676</v>
      </c>
      <c r="J263" s="38" t="s">
        <v>677</v>
      </c>
      <c r="K263" s="37" t="s">
        <v>25</v>
      </c>
      <c r="L263" s="38"/>
      <c r="M263" s="37" t="s">
        <v>678</v>
      </c>
      <c r="N263" s="36">
        <v>17</v>
      </c>
      <c r="O263" s="37" t="s">
        <v>680</v>
      </c>
      <c r="P263" s="36" t="s">
        <v>743</v>
      </c>
      <c r="Q263" s="37" t="s">
        <v>744</v>
      </c>
      <c r="R263" s="36" t="s">
        <v>1389</v>
      </c>
      <c r="S263" s="37" t="s">
        <v>1390</v>
      </c>
      <c r="T263" s="38" t="s">
        <v>1391</v>
      </c>
      <c r="U263" s="37" t="s">
        <v>1392</v>
      </c>
      <c r="V263" s="36" t="s">
        <v>1393</v>
      </c>
      <c r="W263" s="37" t="s">
        <v>1394</v>
      </c>
      <c r="X263" s="37" t="s">
        <v>2103</v>
      </c>
      <c r="Y263" s="37" t="s">
        <v>36</v>
      </c>
      <c r="Z263" s="36">
        <v>0</v>
      </c>
      <c r="AA263" s="36" t="s">
        <v>2185</v>
      </c>
      <c r="AB263" s="36" t="s">
        <v>2322</v>
      </c>
      <c r="AC263" s="37" t="s">
        <v>2323</v>
      </c>
      <c r="AD263" s="36" t="s">
        <v>2327</v>
      </c>
      <c r="AE263" s="36" t="s">
        <v>2328</v>
      </c>
      <c r="AF263" s="36" t="s">
        <v>2191</v>
      </c>
      <c r="AG263" s="71">
        <v>1.7</v>
      </c>
      <c r="AH263" s="53">
        <v>3.1</v>
      </c>
      <c r="AI263" s="54">
        <v>1.6</v>
      </c>
      <c r="AJ263" s="55">
        <v>1.6</v>
      </c>
      <c r="AK263" s="46">
        <v>13865586131</v>
      </c>
      <c r="AL263" s="47">
        <v>25656758393</v>
      </c>
      <c r="AM263" s="48">
        <v>12856758393</v>
      </c>
      <c r="AN263" s="49">
        <v>12856758393</v>
      </c>
      <c r="AO263" s="50">
        <v>65235861310</v>
      </c>
      <c r="AP263" s="37" t="s">
        <v>1156</v>
      </c>
    </row>
    <row r="264" spans="1:42" customFormat="1" ht="102" x14ac:dyDescent="0.25">
      <c r="A264" s="36">
        <v>263</v>
      </c>
      <c r="B264" s="38" t="s">
        <v>630</v>
      </c>
      <c r="C264" s="37" t="s">
        <v>314</v>
      </c>
      <c r="D264" s="38" t="s">
        <v>2385</v>
      </c>
      <c r="E264" s="88" t="s">
        <v>1395</v>
      </c>
      <c r="F264" s="88" t="s">
        <v>1396</v>
      </c>
      <c r="G264" s="40">
        <v>0.91359999999999997</v>
      </c>
      <c r="H264" s="36">
        <v>2022</v>
      </c>
      <c r="I264" s="37" t="s">
        <v>1397</v>
      </c>
      <c r="J264" s="38" t="s">
        <v>2088</v>
      </c>
      <c r="K264" s="87" t="s">
        <v>25</v>
      </c>
      <c r="L264" s="38"/>
      <c r="M264" s="37" t="s">
        <v>636</v>
      </c>
      <c r="N264" s="36">
        <v>40</v>
      </c>
      <c r="O264" s="38" t="s">
        <v>1157</v>
      </c>
      <c r="P264" s="36">
        <v>4003</v>
      </c>
      <c r="Q264" s="37" t="s">
        <v>1398</v>
      </c>
      <c r="R264" s="36">
        <v>4003017</v>
      </c>
      <c r="S264" s="37" t="s">
        <v>1399</v>
      </c>
      <c r="T264" s="38" t="s">
        <v>1400</v>
      </c>
      <c r="U264" s="38" t="s">
        <v>1401</v>
      </c>
      <c r="V264" s="36">
        <v>400301700</v>
      </c>
      <c r="W264" s="37" t="s">
        <v>1399</v>
      </c>
      <c r="X264" s="41" t="s">
        <v>1402</v>
      </c>
      <c r="Y264" s="38" t="s">
        <v>36</v>
      </c>
      <c r="Z264" s="36">
        <v>25</v>
      </c>
      <c r="AA264" s="36" t="s">
        <v>2185</v>
      </c>
      <c r="AB264" s="38" t="s">
        <v>2286</v>
      </c>
      <c r="AC264" s="38" t="s">
        <v>2403</v>
      </c>
      <c r="AD264" s="38" t="s">
        <v>1403</v>
      </c>
      <c r="AE264" s="38" t="s">
        <v>2287</v>
      </c>
      <c r="AF264" s="36" t="s">
        <v>2187</v>
      </c>
      <c r="AG264" s="2">
        <v>0.25</v>
      </c>
      <c r="AH264" s="4">
        <v>0.75</v>
      </c>
      <c r="AI264" s="8">
        <v>2</v>
      </c>
      <c r="AJ264" s="6">
        <v>2</v>
      </c>
      <c r="AK264" s="46">
        <v>5082361540</v>
      </c>
      <c r="AL264" s="47">
        <v>5095364336.8000002</v>
      </c>
      <c r="AM264" s="48">
        <v>5095364336.8000002</v>
      </c>
      <c r="AN264" s="49">
        <v>5095364336.8000002</v>
      </c>
      <c r="AO264" s="50">
        <v>20368454550.400002</v>
      </c>
      <c r="AP264" s="1" t="s">
        <v>1901</v>
      </c>
    </row>
    <row r="265" spans="1:42" customFormat="1" ht="102" x14ac:dyDescent="0.25">
      <c r="A265" s="36">
        <v>264</v>
      </c>
      <c r="B265" s="38" t="s">
        <v>630</v>
      </c>
      <c r="C265" s="37" t="s">
        <v>314</v>
      </c>
      <c r="D265" s="38" t="s">
        <v>2385</v>
      </c>
      <c r="E265" s="88" t="s">
        <v>1395</v>
      </c>
      <c r="F265" s="88" t="s">
        <v>1396</v>
      </c>
      <c r="G265" s="40">
        <v>0.91359999999999997</v>
      </c>
      <c r="H265" s="36">
        <v>2022</v>
      </c>
      <c r="I265" s="37" t="s">
        <v>1397</v>
      </c>
      <c r="J265" s="38" t="s">
        <v>2088</v>
      </c>
      <c r="K265" s="87" t="s">
        <v>25</v>
      </c>
      <c r="L265" s="38"/>
      <c r="M265" s="37" t="s">
        <v>636</v>
      </c>
      <c r="N265" s="36">
        <v>40</v>
      </c>
      <c r="O265" s="38" t="s">
        <v>1157</v>
      </c>
      <c r="P265" s="36">
        <v>4003</v>
      </c>
      <c r="Q265" s="37" t="s">
        <v>1398</v>
      </c>
      <c r="R265" s="36">
        <v>4003015</v>
      </c>
      <c r="S265" s="37" t="s">
        <v>1404</v>
      </c>
      <c r="T265" s="38" t="s">
        <v>1405</v>
      </c>
      <c r="U265" s="38" t="s">
        <v>1401</v>
      </c>
      <c r="V265" s="36">
        <v>400301500</v>
      </c>
      <c r="W265" s="37" t="s">
        <v>1404</v>
      </c>
      <c r="X265" s="41" t="s">
        <v>1406</v>
      </c>
      <c r="Y265" s="38" t="s">
        <v>36</v>
      </c>
      <c r="Z265" s="36">
        <v>0</v>
      </c>
      <c r="AA265" s="36" t="s">
        <v>2185</v>
      </c>
      <c r="AB265" s="38" t="s">
        <v>2288</v>
      </c>
      <c r="AC265" s="38" t="s">
        <v>2403</v>
      </c>
      <c r="AD265" s="38" t="s">
        <v>1403</v>
      </c>
      <c r="AE265" s="38" t="s">
        <v>2287</v>
      </c>
      <c r="AF265" s="36" t="s">
        <v>2187</v>
      </c>
      <c r="AG265" s="2">
        <v>0.25</v>
      </c>
      <c r="AH265" s="4">
        <v>0.25</v>
      </c>
      <c r="AI265" s="8">
        <v>0.25</v>
      </c>
      <c r="AJ265" s="6">
        <v>0.25</v>
      </c>
      <c r="AK265" s="46">
        <v>774823280</v>
      </c>
      <c r="AL265" s="47">
        <v>774823280</v>
      </c>
      <c r="AM265" s="48">
        <v>774823280</v>
      </c>
      <c r="AN265" s="49">
        <v>774823280</v>
      </c>
      <c r="AO265" s="50">
        <v>3099293120</v>
      </c>
      <c r="AP265" s="1" t="s">
        <v>1901</v>
      </c>
    </row>
    <row r="266" spans="1:42" customFormat="1" ht="102" x14ac:dyDescent="0.25">
      <c r="A266" s="36">
        <v>265</v>
      </c>
      <c r="B266" s="38" t="s">
        <v>630</v>
      </c>
      <c r="C266" s="37" t="s">
        <v>314</v>
      </c>
      <c r="D266" s="38" t="s">
        <v>2385</v>
      </c>
      <c r="E266" s="88" t="s">
        <v>1407</v>
      </c>
      <c r="F266" s="88" t="s">
        <v>1408</v>
      </c>
      <c r="G266" s="40">
        <v>0.54390000000000005</v>
      </c>
      <c r="H266" s="36">
        <v>2022</v>
      </c>
      <c r="I266" s="37" t="s">
        <v>634</v>
      </c>
      <c r="J266" s="38" t="s">
        <v>1409</v>
      </c>
      <c r="K266" s="87" t="s">
        <v>25</v>
      </c>
      <c r="L266" s="38"/>
      <c r="M266" s="37" t="s">
        <v>636</v>
      </c>
      <c r="N266" s="36">
        <v>40</v>
      </c>
      <c r="O266" s="38" t="s">
        <v>1157</v>
      </c>
      <c r="P266" s="36">
        <v>4003</v>
      </c>
      <c r="Q266" s="37" t="s">
        <v>1398</v>
      </c>
      <c r="R266" s="36">
        <v>4003015</v>
      </c>
      <c r="S266" s="37" t="s">
        <v>1404</v>
      </c>
      <c r="T266" s="38" t="s">
        <v>1405</v>
      </c>
      <c r="U266" s="38" t="s">
        <v>1401</v>
      </c>
      <c r="V266" s="36">
        <v>400301500</v>
      </c>
      <c r="W266" s="37" t="s">
        <v>1404</v>
      </c>
      <c r="X266" s="41" t="s">
        <v>1410</v>
      </c>
      <c r="Y266" s="38" t="s">
        <v>36</v>
      </c>
      <c r="Z266" s="36">
        <v>3</v>
      </c>
      <c r="AA266" s="36" t="s">
        <v>2185</v>
      </c>
      <c r="AB266" s="38" t="s">
        <v>2288</v>
      </c>
      <c r="AC266" s="38" t="s">
        <v>2403</v>
      </c>
      <c r="AD266" s="38" t="s">
        <v>1403</v>
      </c>
      <c r="AE266" s="38" t="s">
        <v>2287</v>
      </c>
      <c r="AF266" s="36" t="s">
        <v>2187</v>
      </c>
      <c r="AG266" s="160">
        <v>0.2</v>
      </c>
      <c r="AH266" s="4">
        <v>0.2</v>
      </c>
      <c r="AI266" s="8">
        <v>0.6</v>
      </c>
      <c r="AJ266" s="6">
        <v>1</v>
      </c>
      <c r="AK266" s="46">
        <v>1724729018.3199999</v>
      </c>
      <c r="AL266" s="47">
        <v>1813107339.78</v>
      </c>
      <c r="AM266" s="48">
        <v>1813107339.78</v>
      </c>
      <c r="AN266" s="49">
        <v>1813107339.78</v>
      </c>
      <c r="AO266" s="50">
        <v>7164051037.6599998</v>
      </c>
      <c r="AP266" s="1" t="s">
        <v>1901</v>
      </c>
    </row>
    <row r="267" spans="1:42" customFormat="1" ht="102" x14ac:dyDescent="0.25">
      <c r="A267" s="36">
        <v>266</v>
      </c>
      <c r="B267" s="38" t="s">
        <v>630</v>
      </c>
      <c r="C267" s="37" t="s">
        <v>314</v>
      </c>
      <c r="D267" s="38" t="s">
        <v>2385</v>
      </c>
      <c r="E267" s="88" t="s">
        <v>1407</v>
      </c>
      <c r="F267" s="88" t="s">
        <v>1408</v>
      </c>
      <c r="G267" s="40">
        <v>0.54390000000000005</v>
      </c>
      <c r="H267" s="36">
        <v>2022</v>
      </c>
      <c r="I267" s="37" t="s">
        <v>634</v>
      </c>
      <c r="J267" s="38" t="s">
        <v>1409</v>
      </c>
      <c r="K267" s="87" t="s">
        <v>25</v>
      </c>
      <c r="L267" s="38"/>
      <c r="M267" s="37" t="s">
        <v>636</v>
      </c>
      <c r="N267" s="36">
        <v>40</v>
      </c>
      <c r="O267" s="38" t="s">
        <v>1157</v>
      </c>
      <c r="P267" s="36">
        <v>4003</v>
      </c>
      <c r="Q267" s="37" t="s">
        <v>1398</v>
      </c>
      <c r="R267" s="36">
        <v>4003042</v>
      </c>
      <c r="S267" s="37" t="s">
        <v>1416</v>
      </c>
      <c r="T267" s="38" t="s">
        <v>1349</v>
      </c>
      <c r="U267" s="38" t="s">
        <v>1417</v>
      </c>
      <c r="V267" s="36">
        <v>400304200</v>
      </c>
      <c r="W267" s="41" t="s">
        <v>1418</v>
      </c>
      <c r="X267" s="37" t="s">
        <v>1419</v>
      </c>
      <c r="Y267" s="38" t="s">
        <v>36</v>
      </c>
      <c r="Z267" s="36">
        <v>163</v>
      </c>
      <c r="AA267" s="36" t="s">
        <v>2185</v>
      </c>
      <c r="AB267" s="38" t="s">
        <v>2288</v>
      </c>
      <c r="AC267" s="38" t="s">
        <v>2403</v>
      </c>
      <c r="AD267" s="38" t="s">
        <v>1403</v>
      </c>
      <c r="AE267" s="38" t="s">
        <v>2287</v>
      </c>
      <c r="AF267" s="36" t="s">
        <v>2187</v>
      </c>
      <c r="AG267" s="160">
        <v>8</v>
      </c>
      <c r="AH267" s="161">
        <v>15</v>
      </c>
      <c r="AI267" s="162">
        <v>15</v>
      </c>
      <c r="AJ267" s="163">
        <v>17</v>
      </c>
      <c r="AK267" s="46">
        <v>5973647815.4099998</v>
      </c>
      <c r="AL267" s="47">
        <v>6078963205.6599998</v>
      </c>
      <c r="AM267" s="48">
        <v>6078963205.6599998</v>
      </c>
      <c r="AN267" s="49">
        <v>6078963205.6599998</v>
      </c>
      <c r="AO267" s="50">
        <v>24210537432.389999</v>
      </c>
      <c r="AP267" s="1" t="s">
        <v>1901</v>
      </c>
    </row>
    <row r="268" spans="1:42" customFormat="1" ht="102" x14ac:dyDescent="0.25">
      <c r="A268" s="36">
        <v>267</v>
      </c>
      <c r="B268" s="38" t="s">
        <v>630</v>
      </c>
      <c r="C268" s="37" t="s">
        <v>314</v>
      </c>
      <c r="D268" s="38" t="s">
        <v>2385</v>
      </c>
      <c r="E268" s="88" t="s">
        <v>1420</v>
      </c>
      <c r="F268" s="88" t="s">
        <v>1421</v>
      </c>
      <c r="G268" s="40">
        <v>0.24360000000000001</v>
      </c>
      <c r="H268" s="36">
        <v>2022</v>
      </c>
      <c r="I268" s="37" t="s">
        <v>1397</v>
      </c>
      <c r="J268" s="38" t="s">
        <v>2087</v>
      </c>
      <c r="K268" s="87" t="s">
        <v>25</v>
      </c>
      <c r="L268" s="38"/>
      <c r="M268" s="37" t="s">
        <v>636</v>
      </c>
      <c r="N268" s="36">
        <v>40</v>
      </c>
      <c r="O268" s="38" t="s">
        <v>1157</v>
      </c>
      <c r="P268" s="36">
        <v>4003</v>
      </c>
      <c r="Q268" s="37" t="s">
        <v>1398</v>
      </c>
      <c r="R268" s="36">
        <v>4003015</v>
      </c>
      <c r="S268" s="37" t="s">
        <v>1404</v>
      </c>
      <c r="T268" s="38" t="s">
        <v>1405</v>
      </c>
      <c r="U268" s="38" t="s">
        <v>1401</v>
      </c>
      <c r="V268" s="36">
        <v>400301500</v>
      </c>
      <c r="W268" s="37" t="s">
        <v>1404</v>
      </c>
      <c r="X268" s="41" t="s">
        <v>1422</v>
      </c>
      <c r="Y268" s="38" t="s">
        <v>36</v>
      </c>
      <c r="Z268" s="36">
        <v>26</v>
      </c>
      <c r="AA268" s="36" t="s">
        <v>2185</v>
      </c>
      <c r="AB268" s="38" t="s">
        <v>2288</v>
      </c>
      <c r="AC268" s="38" t="s">
        <v>2403</v>
      </c>
      <c r="AD268" s="38" t="s">
        <v>1403</v>
      </c>
      <c r="AE268" s="38" t="s">
        <v>2287</v>
      </c>
      <c r="AF268" s="36" t="s">
        <v>2187</v>
      </c>
      <c r="AG268" s="160">
        <v>0.5</v>
      </c>
      <c r="AH268" s="161">
        <v>1</v>
      </c>
      <c r="AI268" s="162">
        <v>1.5</v>
      </c>
      <c r="AJ268" s="163">
        <v>2</v>
      </c>
      <c r="AK268" s="46">
        <v>15108919530.25</v>
      </c>
      <c r="AL268" s="47">
        <v>6065235109.6700001</v>
      </c>
      <c r="AM268" s="48">
        <v>6065235109.6700001</v>
      </c>
      <c r="AN268" s="49">
        <v>6065235109.6700001</v>
      </c>
      <c r="AO268" s="50">
        <v>33304624859.259998</v>
      </c>
      <c r="AP268" s="1" t="s">
        <v>1901</v>
      </c>
    </row>
    <row r="269" spans="1:42" customFormat="1" ht="102" x14ac:dyDescent="0.25">
      <c r="A269" s="36">
        <v>268</v>
      </c>
      <c r="B269" s="38" t="s">
        <v>630</v>
      </c>
      <c r="C269" s="37" t="s">
        <v>314</v>
      </c>
      <c r="D269" s="38" t="s">
        <v>2385</v>
      </c>
      <c r="E269" s="88" t="s">
        <v>1420</v>
      </c>
      <c r="F269" s="88" t="s">
        <v>1421</v>
      </c>
      <c r="G269" s="40">
        <v>0.24360000000000001</v>
      </c>
      <c r="H269" s="36">
        <v>2022</v>
      </c>
      <c r="I269" s="37" t="s">
        <v>1397</v>
      </c>
      <c r="J269" s="38" t="s">
        <v>2087</v>
      </c>
      <c r="K269" s="87" t="s">
        <v>25</v>
      </c>
      <c r="L269" s="38"/>
      <c r="M269" s="37" t="s">
        <v>636</v>
      </c>
      <c r="N269" s="36">
        <v>40</v>
      </c>
      <c r="O269" s="38" t="s">
        <v>1157</v>
      </c>
      <c r="P269" s="36">
        <v>4003</v>
      </c>
      <c r="Q269" s="37" t="s">
        <v>1398</v>
      </c>
      <c r="R269" s="36">
        <v>4003016</v>
      </c>
      <c r="S269" s="37" t="s">
        <v>1423</v>
      </c>
      <c r="T269" s="38" t="s">
        <v>1424</v>
      </c>
      <c r="U269" s="38" t="s">
        <v>1401</v>
      </c>
      <c r="V269" s="36">
        <v>400301600</v>
      </c>
      <c r="W269" s="37" t="s">
        <v>1423</v>
      </c>
      <c r="X269" s="41" t="s">
        <v>1425</v>
      </c>
      <c r="Y269" s="38" t="s">
        <v>36</v>
      </c>
      <c r="Z269" s="36">
        <v>0</v>
      </c>
      <c r="AA269" s="36" t="s">
        <v>2185</v>
      </c>
      <c r="AB269" s="38" t="s">
        <v>2288</v>
      </c>
      <c r="AC269" s="38" t="s">
        <v>2403</v>
      </c>
      <c r="AD269" s="38" t="s">
        <v>1403</v>
      </c>
      <c r="AE269" s="38" t="s">
        <v>2287</v>
      </c>
      <c r="AF269" s="36" t="s">
        <v>2187</v>
      </c>
      <c r="AG269" s="11">
        <v>0.1</v>
      </c>
      <c r="AH269" s="12">
        <v>0.3</v>
      </c>
      <c r="AI269" s="13">
        <v>0.3</v>
      </c>
      <c r="AJ269" s="14">
        <v>0.3</v>
      </c>
      <c r="AK269" s="46">
        <v>382231534.30000001</v>
      </c>
      <c r="AL269" s="47">
        <v>394065177.04000002</v>
      </c>
      <c r="AM269" s="48">
        <v>394065177.04000002</v>
      </c>
      <c r="AN269" s="49">
        <v>394065177.04000002</v>
      </c>
      <c r="AO269" s="50">
        <v>1564427065.4200001</v>
      </c>
      <c r="AP269" s="1" t="s">
        <v>1901</v>
      </c>
    </row>
    <row r="270" spans="1:42" customFormat="1" ht="102" x14ac:dyDescent="0.25">
      <c r="A270" s="36">
        <v>269</v>
      </c>
      <c r="B270" s="38" t="s">
        <v>630</v>
      </c>
      <c r="C270" s="37" t="s">
        <v>314</v>
      </c>
      <c r="D270" s="38" t="s">
        <v>2385</v>
      </c>
      <c r="E270" s="88" t="s">
        <v>1420</v>
      </c>
      <c r="F270" s="88" t="s">
        <v>1421</v>
      </c>
      <c r="G270" s="40">
        <v>0.24360000000000001</v>
      </c>
      <c r="H270" s="36">
        <v>2022</v>
      </c>
      <c r="I270" s="37" t="s">
        <v>1397</v>
      </c>
      <c r="J270" s="38" t="s">
        <v>2087</v>
      </c>
      <c r="K270" s="87" t="s">
        <v>25</v>
      </c>
      <c r="L270" s="38"/>
      <c r="M270" s="37" t="s">
        <v>636</v>
      </c>
      <c r="N270" s="36">
        <v>40</v>
      </c>
      <c r="O270" s="38" t="s">
        <v>1157</v>
      </c>
      <c r="P270" s="36">
        <v>4003</v>
      </c>
      <c r="Q270" s="37" t="s">
        <v>1398</v>
      </c>
      <c r="R270" s="36">
        <v>4003017</v>
      </c>
      <c r="S270" s="37" t="s">
        <v>1399</v>
      </c>
      <c r="T270" s="38" t="s">
        <v>1400</v>
      </c>
      <c r="U270" s="38" t="s">
        <v>1401</v>
      </c>
      <c r="V270" s="36">
        <v>400301700</v>
      </c>
      <c r="W270" s="37" t="s">
        <v>1399</v>
      </c>
      <c r="X270" s="41" t="s">
        <v>1426</v>
      </c>
      <c r="Y270" s="38" t="s">
        <v>36</v>
      </c>
      <c r="Z270" s="36">
        <v>11</v>
      </c>
      <c r="AA270" s="36" t="s">
        <v>2185</v>
      </c>
      <c r="AB270" s="38" t="s">
        <v>2288</v>
      </c>
      <c r="AC270" s="38" t="s">
        <v>2403</v>
      </c>
      <c r="AD270" s="38" t="s">
        <v>1403</v>
      </c>
      <c r="AE270" s="38" t="s">
        <v>2287</v>
      </c>
      <c r="AF270" s="36" t="s">
        <v>2187</v>
      </c>
      <c r="AG270" s="11">
        <v>1</v>
      </c>
      <c r="AH270" s="12">
        <v>1</v>
      </c>
      <c r="AI270" s="13">
        <v>2</v>
      </c>
      <c r="AJ270" s="14">
        <v>3</v>
      </c>
      <c r="AK270" s="46">
        <v>4444506186.5799999</v>
      </c>
      <c r="AL270" s="47">
        <v>4583796591.5299997</v>
      </c>
      <c r="AM270" s="48">
        <v>4583796591.5299997</v>
      </c>
      <c r="AN270" s="49">
        <v>4583796591.5299997</v>
      </c>
      <c r="AO270" s="50">
        <v>18195895961.169998</v>
      </c>
      <c r="AP270" s="1" t="s">
        <v>1901</v>
      </c>
    </row>
    <row r="271" spans="1:42" customFormat="1" ht="102" x14ac:dyDescent="0.25">
      <c r="A271" s="36">
        <v>270</v>
      </c>
      <c r="B271" s="38" t="s">
        <v>630</v>
      </c>
      <c r="C271" s="37" t="s">
        <v>314</v>
      </c>
      <c r="D271" s="38" t="s">
        <v>2385</v>
      </c>
      <c r="E271" s="88" t="s">
        <v>1427</v>
      </c>
      <c r="F271" s="88" t="s">
        <v>1428</v>
      </c>
      <c r="G271" s="40">
        <v>0.89339999999999997</v>
      </c>
      <c r="H271" s="36">
        <v>2022</v>
      </c>
      <c r="I271" s="37" t="s">
        <v>1397</v>
      </c>
      <c r="J271" s="38" t="s">
        <v>2085</v>
      </c>
      <c r="K271" s="87" t="s">
        <v>25</v>
      </c>
      <c r="L271" s="38"/>
      <c r="M271" s="37" t="s">
        <v>636</v>
      </c>
      <c r="N271" s="36">
        <v>40</v>
      </c>
      <c r="O271" s="38" t="s">
        <v>1157</v>
      </c>
      <c r="P271" s="36" t="s">
        <v>1429</v>
      </c>
      <c r="Q271" s="37" t="s">
        <v>1398</v>
      </c>
      <c r="R271" s="36">
        <v>4003018</v>
      </c>
      <c r="S271" s="37" t="s">
        <v>1430</v>
      </c>
      <c r="T271" s="38" t="s">
        <v>1431</v>
      </c>
      <c r="U271" s="38" t="s">
        <v>1432</v>
      </c>
      <c r="V271" s="36">
        <v>400301800</v>
      </c>
      <c r="W271" s="37" t="s">
        <v>1430</v>
      </c>
      <c r="X271" s="41" t="s">
        <v>1433</v>
      </c>
      <c r="Y271" s="38" t="s">
        <v>36</v>
      </c>
      <c r="Z271" s="36">
        <v>9</v>
      </c>
      <c r="AA271" s="36" t="s">
        <v>2185</v>
      </c>
      <c r="AB271" s="38" t="s">
        <v>2286</v>
      </c>
      <c r="AC271" s="38" t="s">
        <v>2403</v>
      </c>
      <c r="AD271" s="38" t="s">
        <v>1403</v>
      </c>
      <c r="AE271" s="38" t="s">
        <v>2287</v>
      </c>
      <c r="AF271" s="36" t="s">
        <v>2187</v>
      </c>
      <c r="AG271" s="11">
        <v>0.1</v>
      </c>
      <c r="AH271" s="12">
        <v>0.3</v>
      </c>
      <c r="AI271" s="13">
        <v>0.3</v>
      </c>
      <c r="AJ271" s="14">
        <v>0.3</v>
      </c>
      <c r="AK271" s="46">
        <v>2579631300</v>
      </c>
      <c r="AL271" s="47">
        <v>2579631300</v>
      </c>
      <c r="AM271" s="48">
        <v>2579631300</v>
      </c>
      <c r="AN271" s="49">
        <v>2579631300</v>
      </c>
      <c r="AO271" s="50">
        <v>10318525200</v>
      </c>
      <c r="AP271" s="1" t="s">
        <v>1901</v>
      </c>
    </row>
    <row r="272" spans="1:42" customFormat="1" ht="102" x14ac:dyDescent="0.25">
      <c r="A272" s="36">
        <v>271</v>
      </c>
      <c r="B272" s="38" t="s">
        <v>630</v>
      </c>
      <c r="C272" s="37" t="s">
        <v>314</v>
      </c>
      <c r="D272" s="38" t="s">
        <v>2385</v>
      </c>
      <c r="E272" s="88" t="s">
        <v>1427</v>
      </c>
      <c r="F272" s="88" t="s">
        <v>1428</v>
      </c>
      <c r="G272" s="40">
        <v>0.89339999999999997</v>
      </c>
      <c r="H272" s="36">
        <v>2022</v>
      </c>
      <c r="I272" s="37" t="s">
        <v>1397</v>
      </c>
      <c r="J272" s="38" t="s">
        <v>2085</v>
      </c>
      <c r="K272" s="87" t="s">
        <v>25</v>
      </c>
      <c r="L272" s="38"/>
      <c r="M272" s="37" t="s">
        <v>636</v>
      </c>
      <c r="N272" s="36">
        <v>40</v>
      </c>
      <c r="O272" s="38" t="s">
        <v>1157</v>
      </c>
      <c r="P272" s="36" t="s">
        <v>1429</v>
      </c>
      <c r="Q272" s="37" t="s">
        <v>1398</v>
      </c>
      <c r="R272" s="36">
        <v>4003019</v>
      </c>
      <c r="S272" s="37" t="s">
        <v>1434</v>
      </c>
      <c r="T272" s="38" t="s">
        <v>1435</v>
      </c>
      <c r="U272" s="38" t="s">
        <v>1432</v>
      </c>
      <c r="V272" s="36">
        <v>400301900</v>
      </c>
      <c r="W272" s="37" t="s">
        <v>1434</v>
      </c>
      <c r="X272" s="37" t="s">
        <v>2105</v>
      </c>
      <c r="Y272" s="38" t="s">
        <v>36</v>
      </c>
      <c r="Z272" s="36">
        <v>5</v>
      </c>
      <c r="AA272" s="36" t="s">
        <v>2185</v>
      </c>
      <c r="AB272" s="38" t="s">
        <v>2286</v>
      </c>
      <c r="AC272" s="38" t="s">
        <v>2403</v>
      </c>
      <c r="AD272" s="38" t="s">
        <v>1403</v>
      </c>
      <c r="AE272" s="38" t="s">
        <v>2287</v>
      </c>
      <c r="AF272" s="36" t="s">
        <v>2187</v>
      </c>
      <c r="AG272" s="11">
        <v>0.3</v>
      </c>
      <c r="AH272" s="12">
        <v>0.7</v>
      </c>
      <c r="AI272" s="13">
        <v>1</v>
      </c>
      <c r="AJ272" s="14">
        <v>1</v>
      </c>
      <c r="AK272" s="46">
        <v>7557471581.7600002</v>
      </c>
      <c r="AL272" s="47">
        <v>7678839446.1599998</v>
      </c>
      <c r="AM272" s="48">
        <v>7678839446.1599998</v>
      </c>
      <c r="AN272" s="49">
        <v>7678839446.1599998</v>
      </c>
      <c r="AO272" s="50">
        <v>30593989920.240002</v>
      </c>
      <c r="AP272" s="1" t="s">
        <v>1901</v>
      </c>
    </row>
    <row r="273" spans="1:42" customFormat="1" ht="102" x14ac:dyDescent="0.25">
      <c r="A273" s="36">
        <v>272</v>
      </c>
      <c r="B273" s="38" t="s">
        <v>630</v>
      </c>
      <c r="C273" s="37" t="s">
        <v>314</v>
      </c>
      <c r="D273" s="38" t="s">
        <v>2385</v>
      </c>
      <c r="E273" s="88" t="s">
        <v>1427</v>
      </c>
      <c r="F273" s="88" t="s">
        <v>1428</v>
      </c>
      <c r="G273" s="40">
        <v>0.89339999999999997</v>
      </c>
      <c r="H273" s="36">
        <v>2022</v>
      </c>
      <c r="I273" s="37" t="s">
        <v>1397</v>
      </c>
      <c r="J273" s="38" t="s">
        <v>2085</v>
      </c>
      <c r="K273" s="87" t="s">
        <v>25</v>
      </c>
      <c r="L273" s="38"/>
      <c r="M273" s="37" t="s">
        <v>636</v>
      </c>
      <c r="N273" s="36">
        <v>40</v>
      </c>
      <c r="O273" s="38" t="s">
        <v>1157</v>
      </c>
      <c r="P273" s="36" t="s">
        <v>1429</v>
      </c>
      <c r="Q273" s="37" t="s">
        <v>1398</v>
      </c>
      <c r="R273" s="36">
        <v>4003020</v>
      </c>
      <c r="S273" s="37" t="s">
        <v>1436</v>
      </c>
      <c r="T273" s="38" t="s">
        <v>1437</v>
      </c>
      <c r="U273" s="38" t="s">
        <v>1432</v>
      </c>
      <c r="V273" s="36">
        <v>400302000</v>
      </c>
      <c r="W273" s="37" t="s">
        <v>1438</v>
      </c>
      <c r="X273" s="41" t="s">
        <v>1439</v>
      </c>
      <c r="Y273" s="38" t="s">
        <v>36</v>
      </c>
      <c r="Z273" s="36">
        <v>13</v>
      </c>
      <c r="AA273" s="36" t="s">
        <v>2185</v>
      </c>
      <c r="AB273" s="38" t="s">
        <v>2286</v>
      </c>
      <c r="AC273" s="38" t="s">
        <v>2403</v>
      </c>
      <c r="AD273" s="38" t="s">
        <v>1403</v>
      </c>
      <c r="AE273" s="38" t="s">
        <v>2287</v>
      </c>
      <c r="AF273" s="36" t="s">
        <v>2187</v>
      </c>
      <c r="AG273" s="11">
        <v>1</v>
      </c>
      <c r="AH273" s="12">
        <v>2</v>
      </c>
      <c r="AI273" s="13">
        <v>3</v>
      </c>
      <c r="AJ273" s="14">
        <v>2</v>
      </c>
      <c r="AK273" s="46">
        <v>6016682421.0100002</v>
      </c>
      <c r="AL273" s="47">
        <v>6094691080.0100002</v>
      </c>
      <c r="AM273" s="48">
        <v>6427037525.0100002</v>
      </c>
      <c r="AN273" s="49">
        <v>6769354363.0100002</v>
      </c>
      <c r="AO273" s="50">
        <v>25307765389.040001</v>
      </c>
      <c r="AP273" s="1" t="s">
        <v>1901</v>
      </c>
    </row>
    <row r="274" spans="1:42" customFormat="1" ht="102" x14ac:dyDescent="0.25">
      <c r="A274" s="36">
        <v>273</v>
      </c>
      <c r="B274" s="38" t="s">
        <v>630</v>
      </c>
      <c r="C274" s="37" t="s">
        <v>314</v>
      </c>
      <c r="D274" s="38" t="s">
        <v>2385</v>
      </c>
      <c r="E274" s="88" t="s">
        <v>1440</v>
      </c>
      <c r="F274" s="88" t="s">
        <v>1441</v>
      </c>
      <c r="G274" s="40">
        <v>8.0399999999999999E-2</v>
      </c>
      <c r="H274" s="36">
        <v>2022</v>
      </c>
      <c r="I274" s="37" t="s">
        <v>1397</v>
      </c>
      <c r="J274" s="38" t="s">
        <v>2086</v>
      </c>
      <c r="K274" s="87" t="s">
        <v>25</v>
      </c>
      <c r="L274" s="38"/>
      <c r="M274" s="37" t="s">
        <v>636</v>
      </c>
      <c r="N274" s="36">
        <v>40</v>
      </c>
      <c r="O274" s="38" t="s">
        <v>1157</v>
      </c>
      <c r="P274" s="36" t="s">
        <v>1429</v>
      </c>
      <c r="Q274" s="37" t="s">
        <v>1398</v>
      </c>
      <c r="R274" s="36">
        <v>4003018</v>
      </c>
      <c r="S274" s="37" t="s">
        <v>1430</v>
      </c>
      <c r="T274" s="38" t="s">
        <v>1431</v>
      </c>
      <c r="U274" s="38" t="s">
        <v>1432</v>
      </c>
      <c r="V274" s="36">
        <v>400301800</v>
      </c>
      <c r="W274" s="37" t="s">
        <v>1430</v>
      </c>
      <c r="X274" s="41" t="s">
        <v>1442</v>
      </c>
      <c r="Y274" s="38" t="s">
        <v>36</v>
      </c>
      <c r="Z274" s="36">
        <v>13</v>
      </c>
      <c r="AA274" s="36" t="s">
        <v>2185</v>
      </c>
      <c r="AB274" s="38" t="s">
        <v>2288</v>
      </c>
      <c r="AC274" s="38" t="s">
        <v>2403</v>
      </c>
      <c r="AD274" s="38" t="s">
        <v>1403</v>
      </c>
      <c r="AE274" s="38" t="s">
        <v>2287</v>
      </c>
      <c r="AF274" s="36" t="s">
        <v>2187</v>
      </c>
      <c r="AG274" s="11">
        <v>0.6</v>
      </c>
      <c r="AH274" s="12">
        <v>0.2</v>
      </c>
      <c r="AI274" s="13">
        <v>0.1</v>
      </c>
      <c r="AJ274" s="14">
        <v>0.1</v>
      </c>
      <c r="AK274" s="46">
        <v>716270000</v>
      </c>
      <c r="AL274" s="47">
        <v>742871600</v>
      </c>
      <c r="AM274" s="48">
        <v>742871600</v>
      </c>
      <c r="AN274" s="49">
        <v>742871600</v>
      </c>
      <c r="AO274" s="50">
        <v>2944884800</v>
      </c>
      <c r="AP274" s="1" t="s">
        <v>1901</v>
      </c>
    </row>
    <row r="275" spans="1:42" customFormat="1" ht="102" x14ac:dyDescent="0.25">
      <c r="A275" s="36">
        <v>274</v>
      </c>
      <c r="B275" s="38" t="s">
        <v>630</v>
      </c>
      <c r="C275" s="37" t="s">
        <v>314</v>
      </c>
      <c r="D275" s="38" t="s">
        <v>2385</v>
      </c>
      <c r="E275" s="88" t="s">
        <v>1440</v>
      </c>
      <c r="F275" s="88" t="s">
        <v>1441</v>
      </c>
      <c r="G275" s="40">
        <v>8.0399999999999999E-2</v>
      </c>
      <c r="H275" s="36">
        <v>2022</v>
      </c>
      <c r="I275" s="37" t="s">
        <v>1397</v>
      </c>
      <c r="J275" s="38" t="s">
        <v>2086</v>
      </c>
      <c r="K275" s="87" t="s">
        <v>25</v>
      </c>
      <c r="L275" s="38"/>
      <c r="M275" s="37" t="s">
        <v>636</v>
      </c>
      <c r="N275" s="36">
        <v>40</v>
      </c>
      <c r="O275" s="38" t="s">
        <v>1157</v>
      </c>
      <c r="P275" s="36">
        <v>4003</v>
      </c>
      <c r="Q275" s="37" t="s">
        <v>1398</v>
      </c>
      <c r="R275" s="36">
        <v>4003019</v>
      </c>
      <c r="S275" s="37" t="s">
        <v>1434</v>
      </c>
      <c r="T275" s="38" t="s">
        <v>1435</v>
      </c>
      <c r="U275" s="38" t="s">
        <v>1432</v>
      </c>
      <c r="V275" s="36">
        <v>400301900</v>
      </c>
      <c r="W275" s="37" t="s">
        <v>1434</v>
      </c>
      <c r="X275" s="37" t="s">
        <v>2090</v>
      </c>
      <c r="Y275" s="38" t="s">
        <v>36</v>
      </c>
      <c r="Z275" s="36">
        <v>4</v>
      </c>
      <c r="AA275" s="36" t="s">
        <v>2185</v>
      </c>
      <c r="AB275" s="38" t="s">
        <v>2288</v>
      </c>
      <c r="AC275" s="38" t="s">
        <v>2403</v>
      </c>
      <c r="AD275" s="38" t="s">
        <v>1403</v>
      </c>
      <c r="AE275" s="38" t="s">
        <v>2287</v>
      </c>
      <c r="AF275" s="36" t="s">
        <v>2187</v>
      </c>
      <c r="AG275" s="11">
        <v>0.1</v>
      </c>
      <c r="AH275" s="12">
        <v>0.3</v>
      </c>
      <c r="AI275" s="13">
        <v>0.3</v>
      </c>
      <c r="AJ275" s="14">
        <v>0.3</v>
      </c>
      <c r="AK275" s="46">
        <v>59735139.75</v>
      </c>
      <c r="AL275" s="47">
        <v>64513950.93</v>
      </c>
      <c r="AM275" s="48">
        <v>64513950.93</v>
      </c>
      <c r="AN275" s="49">
        <v>64513950.93</v>
      </c>
      <c r="AO275" s="50">
        <v>253276992.53999999</v>
      </c>
      <c r="AP275" s="1" t="s">
        <v>1901</v>
      </c>
    </row>
    <row r="276" spans="1:42" customFormat="1" ht="102" x14ac:dyDescent="0.25">
      <c r="A276" s="36">
        <v>275</v>
      </c>
      <c r="B276" s="38" t="s">
        <v>630</v>
      </c>
      <c r="C276" s="37" t="s">
        <v>314</v>
      </c>
      <c r="D276" s="38" t="s">
        <v>2385</v>
      </c>
      <c r="E276" s="88" t="s">
        <v>1440</v>
      </c>
      <c r="F276" s="88" t="s">
        <v>1441</v>
      </c>
      <c r="G276" s="40">
        <v>8.0399999999999999E-2</v>
      </c>
      <c r="H276" s="36">
        <v>2022</v>
      </c>
      <c r="I276" s="37" t="s">
        <v>1397</v>
      </c>
      <c r="J276" s="38" t="s">
        <v>2086</v>
      </c>
      <c r="K276" s="87" t="s">
        <v>25</v>
      </c>
      <c r="L276" s="38"/>
      <c r="M276" s="37" t="s">
        <v>636</v>
      </c>
      <c r="N276" s="36">
        <v>40</v>
      </c>
      <c r="O276" s="38" t="s">
        <v>1157</v>
      </c>
      <c r="P276" s="36">
        <v>4003</v>
      </c>
      <c r="Q276" s="37" t="s">
        <v>1398</v>
      </c>
      <c r="R276" s="36">
        <v>4003020</v>
      </c>
      <c r="S276" s="37" t="s">
        <v>1436</v>
      </c>
      <c r="T276" s="38" t="s">
        <v>1437</v>
      </c>
      <c r="U276" s="38" t="s">
        <v>1432</v>
      </c>
      <c r="V276" s="36">
        <v>400302000</v>
      </c>
      <c r="W276" s="37" t="s">
        <v>1438</v>
      </c>
      <c r="X276" s="41" t="s">
        <v>1443</v>
      </c>
      <c r="Y276" s="38" t="s">
        <v>36</v>
      </c>
      <c r="Z276" s="36">
        <v>4</v>
      </c>
      <c r="AA276" s="36" t="s">
        <v>2185</v>
      </c>
      <c r="AB276" s="38" t="s">
        <v>2288</v>
      </c>
      <c r="AC276" s="38" t="s">
        <v>2403</v>
      </c>
      <c r="AD276" s="38" t="s">
        <v>1403</v>
      </c>
      <c r="AE276" s="38" t="s">
        <v>2287</v>
      </c>
      <c r="AF276" s="36" t="s">
        <v>2187</v>
      </c>
      <c r="AG276" s="11">
        <v>0.2</v>
      </c>
      <c r="AH276" s="12">
        <v>0.8</v>
      </c>
      <c r="AI276" s="13">
        <v>1</v>
      </c>
      <c r="AJ276" s="14">
        <v>1</v>
      </c>
      <c r="AK276" s="46">
        <v>8598427258.9799995</v>
      </c>
      <c r="AL276" s="47">
        <v>4457179441.6199999</v>
      </c>
      <c r="AM276" s="48">
        <v>4789525885.6199999</v>
      </c>
      <c r="AN276" s="49">
        <v>5131842724.6199999</v>
      </c>
      <c r="AO276" s="50">
        <v>22976975310.84</v>
      </c>
      <c r="AP276" s="1" t="s">
        <v>1901</v>
      </c>
    </row>
    <row r="277" spans="1:42" customFormat="1" ht="102" x14ac:dyDescent="0.25">
      <c r="A277" s="36">
        <v>276</v>
      </c>
      <c r="B277" s="38" t="s">
        <v>630</v>
      </c>
      <c r="C277" s="37" t="s">
        <v>314</v>
      </c>
      <c r="D277" s="38" t="s">
        <v>2385</v>
      </c>
      <c r="E277" s="88" t="s">
        <v>1444</v>
      </c>
      <c r="F277" s="88" t="s">
        <v>1445</v>
      </c>
      <c r="G277" s="40">
        <v>0.86360000000000003</v>
      </c>
      <c r="H277" s="36">
        <v>2022</v>
      </c>
      <c r="I277" s="37" t="s">
        <v>1450</v>
      </c>
      <c r="J277" s="38" t="s">
        <v>1446</v>
      </c>
      <c r="K277" s="87" t="s">
        <v>25</v>
      </c>
      <c r="L277" s="38"/>
      <c r="M277" s="37" t="s">
        <v>636</v>
      </c>
      <c r="N277" s="36">
        <v>40</v>
      </c>
      <c r="O277" s="38" t="s">
        <v>1157</v>
      </c>
      <c r="P277" s="36" t="s">
        <v>1429</v>
      </c>
      <c r="Q277" s="37" t="s">
        <v>1398</v>
      </c>
      <c r="R277" s="36">
        <v>4003010</v>
      </c>
      <c r="S277" s="37" t="s">
        <v>1447</v>
      </c>
      <c r="T277" s="38" t="s">
        <v>1448</v>
      </c>
      <c r="U277" s="38" t="s">
        <v>615</v>
      </c>
      <c r="V277" s="36">
        <v>400301000</v>
      </c>
      <c r="W277" s="37" t="s">
        <v>1449</v>
      </c>
      <c r="X277" s="41" t="s">
        <v>1451</v>
      </c>
      <c r="Y277" s="38" t="s">
        <v>36</v>
      </c>
      <c r="Z277" s="36">
        <v>103089</v>
      </c>
      <c r="AA277" s="36" t="s">
        <v>2185</v>
      </c>
      <c r="AB277" s="38" t="s">
        <v>2286</v>
      </c>
      <c r="AC277" s="38" t="s">
        <v>2403</v>
      </c>
      <c r="AD277" s="38" t="s">
        <v>1403</v>
      </c>
      <c r="AE277" s="38" t="s">
        <v>2289</v>
      </c>
      <c r="AF277" s="36" t="s">
        <v>2187</v>
      </c>
      <c r="AG277" s="152">
        <v>6000</v>
      </c>
      <c r="AH277" s="164">
        <v>2000</v>
      </c>
      <c r="AI277" s="165">
        <v>1000</v>
      </c>
      <c r="AJ277" s="166">
        <v>1000</v>
      </c>
      <c r="AK277" s="46">
        <v>2762750000</v>
      </c>
      <c r="AL277" s="47">
        <v>2929010000</v>
      </c>
      <c r="AM277" s="48">
        <v>2929010000</v>
      </c>
      <c r="AN277" s="49">
        <v>2929010000</v>
      </c>
      <c r="AO277" s="50">
        <v>11549780000</v>
      </c>
      <c r="AP277" s="1" t="s">
        <v>1901</v>
      </c>
    </row>
    <row r="278" spans="1:42" customFormat="1" ht="102" x14ac:dyDescent="0.25">
      <c r="A278" s="36">
        <v>277</v>
      </c>
      <c r="B278" s="38" t="s">
        <v>630</v>
      </c>
      <c r="C278" s="37" t="s">
        <v>314</v>
      </c>
      <c r="D278" s="38" t="s">
        <v>2385</v>
      </c>
      <c r="E278" s="88" t="s">
        <v>1444</v>
      </c>
      <c r="F278" s="88" t="s">
        <v>1445</v>
      </c>
      <c r="G278" s="40">
        <v>0.86360000000000003</v>
      </c>
      <c r="H278" s="36">
        <v>2022</v>
      </c>
      <c r="I278" s="37" t="s">
        <v>1450</v>
      </c>
      <c r="J278" s="38" t="s">
        <v>1446</v>
      </c>
      <c r="K278" s="87" t="s">
        <v>25</v>
      </c>
      <c r="L278" s="38"/>
      <c r="M278" s="37" t="s">
        <v>636</v>
      </c>
      <c r="N278" s="36">
        <v>40</v>
      </c>
      <c r="O278" s="38" t="s">
        <v>1157</v>
      </c>
      <c r="P278" s="36" t="s">
        <v>1429</v>
      </c>
      <c r="Q278" s="37" t="s">
        <v>1398</v>
      </c>
      <c r="R278" s="36">
        <v>4003010</v>
      </c>
      <c r="S278" s="37" t="s">
        <v>1447</v>
      </c>
      <c r="T278" s="38" t="s">
        <v>1448</v>
      </c>
      <c r="U278" s="38" t="s">
        <v>615</v>
      </c>
      <c r="V278" s="36">
        <v>400301000</v>
      </c>
      <c r="W278" s="37" t="s">
        <v>1449</v>
      </c>
      <c r="X278" s="41" t="s">
        <v>1452</v>
      </c>
      <c r="Y278" s="38" t="s">
        <v>36</v>
      </c>
      <c r="Z278" s="36">
        <v>17696</v>
      </c>
      <c r="AA278" s="36" t="s">
        <v>2185</v>
      </c>
      <c r="AB278" s="38" t="s">
        <v>2286</v>
      </c>
      <c r="AC278" s="38" t="s">
        <v>2403</v>
      </c>
      <c r="AD278" s="38" t="s">
        <v>1403</v>
      </c>
      <c r="AE278" s="38" t="s">
        <v>2289</v>
      </c>
      <c r="AF278" s="36" t="s">
        <v>2187</v>
      </c>
      <c r="AG278" s="152">
        <v>600</v>
      </c>
      <c r="AH278" s="164">
        <v>2000</v>
      </c>
      <c r="AI278" s="165">
        <v>1400</v>
      </c>
      <c r="AJ278" s="166">
        <v>3000</v>
      </c>
      <c r="AK278" s="46">
        <v>332520000</v>
      </c>
      <c r="AL278" s="47">
        <v>359121600</v>
      </c>
      <c r="AM278" s="48">
        <v>359121600</v>
      </c>
      <c r="AN278" s="49">
        <v>359121600</v>
      </c>
      <c r="AO278" s="50">
        <v>1409884800</v>
      </c>
      <c r="AP278" s="1" t="s">
        <v>1901</v>
      </c>
    </row>
    <row r="279" spans="1:42" customFormat="1" ht="102" x14ac:dyDescent="0.25">
      <c r="A279" s="36">
        <v>278</v>
      </c>
      <c r="B279" s="38" t="s">
        <v>630</v>
      </c>
      <c r="C279" s="37" t="s">
        <v>314</v>
      </c>
      <c r="D279" s="38" t="s">
        <v>2385</v>
      </c>
      <c r="E279" s="88" t="s">
        <v>1444</v>
      </c>
      <c r="F279" s="88" t="s">
        <v>1445</v>
      </c>
      <c r="G279" s="40">
        <v>0.86360000000000003</v>
      </c>
      <c r="H279" s="36">
        <v>2022</v>
      </c>
      <c r="I279" s="37" t="s">
        <v>1450</v>
      </c>
      <c r="J279" s="38" t="s">
        <v>1446</v>
      </c>
      <c r="K279" s="87" t="s">
        <v>25</v>
      </c>
      <c r="L279" s="38"/>
      <c r="M279" s="37" t="s">
        <v>636</v>
      </c>
      <c r="N279" s="36">
        <v>40</v>
      </c>
      <c r="O279" s="38" t="s">
        <v>1157</v>
      </c>
      <c r="P279" s="36" t="s">
        <v>1429</v>
      </c>
      <c r="Q279" s="37" t="s">
        <v>1398</v>
      </c>
      <c r="R279" s="36">
        <v>4003031</v>
      </c>
      <c r="S279" s="37" t="s">
        <v>1453</v>
      </c>
      <c r="T279" s="38" t="s">
        <v>1454</v>
      </c>
      <c r="U279" s="38" t="s">
        <v>1455</v>
      </c>
      <c r="V279" s="36">
        <v>400303100</v>
      </c>
      <c r="W279" s="37" t="s">
        <v>1456</v>
      </c>
      <c r="X279" s="41" t="s">
        <v>2089</v>
      </c>
      <c r="Y279" s="38" t="s">
        <v>36</v>
      </c>
      <c r="Z279" s="36">
        <v>0</v>
      </c>
      <c r="AA279" s="36" t="s">
        <v>2185</v>
      </c>
      <c r="AB279" s="38" t="s">
        <v>2286</v>
      </c>
      <c r="AC279" s="38" t="s">
        <v>2403</v>
      </c>
      <c r="AD279" s="38" t="s">
        <v>1403</v>
      </c>
      <c r="AE279" s="38" t="s">
        <v>2289</v>
      </c>
      <c r="AF279" s="36" t="s">
        <v>2187</v>
      </c>
      <c r="AG279" s="11">
        <v>0.5</v>
      </c>
      <c r="AH279" s="12">
        <v>1</v>
      </c>
      <c r="AI279" s="13">
        <v>1</v>
      </c>
      <c r="AJ279" s="14">
        <v>0.5</v>
      </c>
      <c r="AK279" s="46">
        <v>59735139.75</v>
      </c>
      <c r="AL279" s="47">
        <v>64513950.93</v>
      </c>
      <c r="AM279" s="48">
        <v>64513950.93</v>
      </c>
      <c r="AN279" s="49">
        <v>64513950.93</v>
      </c>
      <c r="AO279" s="50">
        <v>253276992.53999999</v>
      </c>
      <c r="AP279" s="1" t="s">
        <v>1901</v>
      </c>
    </row>
    <row r="280" spans="1:42" customFormat="1" ht="102" x14ac:dyDescent="0.25">
      <c r="A280" s="36">
        <v>279</v>
      </c>
      <c r="B280" s="38" t="s">
        <v>630</v>
      </c>
      <c r="C280" s="37" t="s">
        <v>314</v>
      </c>
      <c r="D280" s="38" t="s">
        <v>2385</v>
      </c>
      <c r="E280" s="88" t="s">
        <v>1457</v>
      </c>
      <c r="F280" s="88" t="s">
        <v>1460</v>
      </c>
      <c r="G280" s="36" t="s">
        <v>1458</v>
      </c>
      <c r="H280" s="36">
        <v>2022</v>
      </c>
      <c r="I280" s="37" t="s">
        <v>634</v>
      </c>
      <c r="J280" s="38" t="s">
        <v>1459</v>
      </c>
      <c r="K280" s="87" t="s">
        <v>25</v>
      </c>
      <c r="L280" s="38"/>
      <c r="M280" s="37" t="s">
        <v>636</v>
      </c>
      <c r="N280" s="36">
        <v>40</v>
      </c>
      <c r="O280" s="38" t="s">
        <v>1157</v>
      </c>
      <c r="P280" s="36" t="s">
        <v>1429</v>
      </c>
      <c r="Q280" s="37" t="s">
        <v>1398</v>
      </c>
      <c r="R280" s="36">
        <v>4003010</v>
      </c>
      <c r="S280" s="37" t="s">
        <v>1447</v>
      </c>
      <c r="T280" s="38" t="s">
        <v>1448</v>
      </c>
      <c r="U280" s="38" t="s">
        <v>615</v>
      </c>
      <c r="V280" s="36">
        <v>400301000</v>
      </c>
      <c r="W280" s="37" t="s">
        <v>1449</v>
      </c>
      <c r="X280" s="41" t="s">
        <v>1461</v>
      </c>
      <c r="Y280" s="38" t="s">
        <v>36</v>
      </c>
      <c r="Z280" s="36">
        <f>+SUM(374,1326,9865,3116,778,4941,1384,2647,1600,3160,3119,2145,621,94676)</f>
        <v>129752</v>
      </c>
      <c r="AA280" s="36" t="s">
        <v>2185</v>
      </c>
      <c r="AB280" s="38" t="s">
        <v>2286</v>
      </c>
      <c r="AC280" s="38" t="s">
        <v>2403</v>
      </c>
      <c r="AD280" s="38" t="s">
        <v>1403</v>
      </c>
      <c r="AE280" s="38" t="s">
        <v>2289</v>
      </c>
      <c r="AF280" s="36" t="s">
        <v>2187</v>
      </c>
      <c r="AG280" s="2">
        <v>1500</v>
      </c>
      <c r="AH280" s="4">
        <v>1500</v>
      </c>
      <c r="AI280" s="8">
        <v>1500</v>
      </c>
      <c r="AJ280" s="6">
        <v>1500</v>
      </c>
      <c r="AK280" s="46">
        <v>268750000</v>
      </c>
      <c r="AL280" s="47">
        <v>268750000</v>
      </c>
      <c r="AM280" s="48">
        <v>268750000</v>
      </c>
      <c r="AN280" s="49">
        <v>268750000</v>
      </c>
      <c r="AO280" s="50">
        <v>1075000000</v>
      </c>
      <c r="AP280" s="1" t="s">
        <v>1901</v>
      </c>
    </row>
    <row r="281" spans="1:42" customFormat="1" ht="102" x14ac:dyDescent="0.25">
      <c r="A281" s="36">
        <v>280</v>
      </c>
      <c r="B281" s="38" t="s">
        <v>630</v>
      </c>
      <c r="C281" s="37" t="s">
        <v>314</v>
      </c>
      <c r="D281" s="38" t="s">
        <v>2385</v>
      </c>
      <c r="E281" s="88" t="s">
        <v>2077</v>
      </c>
      <c r="F281" s="88" t="s">
        <v>2078</v>
      </c>
      <c r="G281" s="40">
        <v>5.0000000000000001E-3</v>
      </c>
      <c r="H281" s="36">
        <v>2023</v>
      </c>
      <c r="I281" s="37" t="s">
        <v>2083</v>
      </c>
      <c r="J281" s="38" t="s">
        <v>2084</v>
      </c>
      <c r="K281" s="38" t="s">
        <v>25</v>
      </c>
      <c r="L281" s="38"/>
      <c r="M281" s="37" t="s">
        <v>636</v>
      </c>
      <c r="N281" s="36">
        <v>40</v>
      </c>
      <c r="O281" s="38" t="s">
        <v>1157</v>
      </c>
      <c r="P281" s="36">
        <v>4003</v>
      </c>
      <c r="Q281" s="37" t="s">
        <v>1398</v>
      </c>
      <c r="R281" s="36">
        <v>4003052</v>
      </c>
      <c r="S281" s="37" t="s">
        <v>1411</v>
      </c>
      <c r="T281" s="38" t="s">
        <v>1412</v>
      </c>
      <c r="U281" s="38" t="s">
        <v>234</v>
      </c>
      <c r="V281" s="36">
        <v>400305200</v>
      </c>
      <c r="W281" s="41" t="s">
        <v>380</v>
      </c>
      <c r="X281" s="41" t="s">
        <v>1413</v>
      </c>
      <c r="Y281" s="38" t="s">
        <v>36</v>
      </c>
      <c r="Z281" s="36">
        <v>4</v>
      </c>
      <c r="AA281" s="36" t="s">
        <v>2185</v>
      </c>
      <c r="AB281" s="38"/>
      <c r="AC281" s="38" t="s">
        <v>2403</v>
      </c>
      <c r="AD281" s="38" t="s">
        <v>1403</v>
      </c>
      <c r="AE281" s="38" t="s">
        <v>2210</v>
      </c>
      <c r="AF281" s="36" t="s">
        <v>2187</v>
      </c>
      <c r="AG281" s="2">
        <v>10</v>
      </c>
      <c r="AH281" s="4">
        <v>10</v>
      </c>
      <c r="AI281" s="8">
        <v>10</v>
      </c>
      <c r="AJ281" s="6">
        <v>10</v>
      </c>
      <c r="AK281" s="46">
        <v>1123178666.6700001</v>
      </c>
      <c r="AL281" s="47">
        <v>1213032960</v>
      </c>
      <c r="AM281" s="48">
        <v>1213032960</v>
      </c>
      <c r="AN281" s="49">
        <v>1213032960</v>
      </c>
      <c r="AO281" s="50">
        <v>4762277546.6700001</v>
      </c>
      <c r="AP281" s="1" t="s">
        <v>1901</v>
      </c>
    </row>
    <row r="282" spans="1:42" customFormat="1" ht="102" x14ac:dyDescent="0.25">
      <c r="A282" s="36">
        <v>281</v>
      </c>
      <c r="B282" s="38" t="s">
        <v>630</v>
      </c>
      <c r="C282" s="37" t="s">
        <v>314</v>
      </c>
      <c r="D282" s="38" t="s">
        <v>2385</v>
      </c>
      <c r="E282" s="88" t="s">
        <v>2077</v>
      </c>
      <c r="F282" s="88" t="s">
        <v>2078</v>
      </c>
      <c r="G282" s="40">
        <f>+G281</f>
        <v>5.0000000000000001E-3</v>
      </c>
      <c r="H282" s="36">
        <v>2023</v>
      </c>
      <c r="I282" s="37" t="s">
        <v>2083</v>
      </c>
      <c r="J282" s="38" t="s">
        <v>2084</v>
      </c>
      <c r="K282" s="38" t="s">
        <v>25</v>
      </c>
      <c r="L282" s="38"/>
      <c r="M282" s="37" t="s">
        <v>636</v>
      </c>
      <c r="N282" s="36">
        <v>40</v>
      </c>
      <c r="O282" s="38" t="s">
        <v>1157</v>
      </c>
      <c r="P282" s="36">
        <v>4003</v>
      </c>
      <c r="Q282" s="37" t="s">
        <v>1398</v>
      </c>
      <c r="R282" s="36">
        <v>4003055</v>
      </c>
      <c r="S282" s="37" t="s">
        <v>232</v>
      </c>
      <c r="T282" s="38" t="s">
        <v>233</v>
      </c>
      <c r="U282" s="38" t="s">
        <v>1414</v>
      </c>
      <c r="V282" s="36">
        <v>400305500</v>
      </c>
      <c r="W282" s="41" t="s">
        <v>380</v>
      </c>
      <c r="X282" s="41" t="s">
        <v>1415</v>
      </c>
      <c r="Y282" s="38" t="s">
        <v>36</v>
      </c>
      <c r="Z282" s="36">
        <v>4</v>
      </c>
      <c r="AA282" s="36" t="s">
        <v>2185</v>
      </c>
      <c r="AB282" s="38"/>
      <c r="AC282" s="38" t="s">
        <v>2403</v>
      </c>
      <c r="AD282" s="38" t="s">
        <v>1403</v>
      </c>
      <c r="AE282" s="38" t="s">
        <v>2210</v>
      </c>
      <c r="AF282" s="36" t="s">
        <v>2187</v>
      </c>
      <c r="AG282" s="2">
        <v>10</v>
      </c>
      <c r="AH282" s="4">
        <v>15</v>
      </c>
      <c r="AI282" s="8">
        <v>15</v>
      </c>
      <c r="AJ282" s="6">
        <v>10</v>
      </c>
      <c r="AK282" s="46">
        <v>1673973333.3299999</v>
      </c>
      <c r="AL282" s="47">
        <v>1516291200</v>
      </c>
      <c r="AM282" s="48">
        <v>1516291200</v>
      </c>
      <c r="AN282" s="49">
        <v>1516291200</v>
      </c>
      <c r="AO282" s="50">
        <v>6222846933.3299999</v>
      </c>
      <c r="AP282" s="1" t="s">
        <v>1901</v>
      </c>
    </row>
    <row r="283" spans="1:42" customFormat="1" ht="102" x14ac:dyDescent="0.25">
      <c r="A283" s="36">
        <v>282</v>
      </c>
      <c r="B283" s="38" t="s">
        <v>630</v>
      </c>
      <c r="C283" s="37" t="s">
        <v>314</v>
      </c>
      <c r="D283" s="38" t="s">
        <v>2385</v>
      </c>
      <c r="E283" s="88" t="s">
        <v>631</v>
      </c>
      <c r="F283" s="88" t="s">
        <v>632</v>
      </c>
      <c r="G283" s="36" t="s">
        <v>633</v>
      </c>
      <c r="H283" s="36">
        <v>2022</v>
      </c>
      <c r="I283" s="37" t="s">
        <v>634</v>
      </c>
      <c r="J283" s="38" t="s">
        <v>635</v>
      </c>
      <c r="K283" s="38" t="s">
        <v>36</v>
      </c>
      <c r="L283" s="38"/>
      <c r="M283" s="37" t="s">
        <v>636</v>
      </c>
      <c r="N283" s="36">
        <v>40</v>
      </c>
      <c r="O283" s="38" t="s">
        <v>1157</v>
      </c>
      <c r="P283" s="36">
        <v>4003</v>
      </c>
      <c r="Q283" s="37" t="s">
        <v>1398</v>
      </c>
      <c r="R283" s="36">
        <v>4003053</v>
      </c>
      <c r="S283" s="37" t="s">
        <v>1462</v>
      </c>
      <c r="T283" s="38" t="s">
        <v>1463</v>
      </c>
      <c r="U283" s="38" t="s">
        <v>1464</v>
      </c>
      <c r="V283" s="36">
        <v>400305300</v>
      </c>
      <c r="W283" s="37" t="s">
        <v>1465</v>
      </c>
      <c r="X283" s="41" t="s">
        <v>1466</v>
      </c>
      <c r="Y283" s="38" t="s">
        <v>36</v>
      </c>
      <c r="Z283" s="36">
        <v>12</v>
      </c>
      <c r="AA283" s="36" t="s">
        <v>2185</v>
      </c>
      <c r="AB283" s="38" t="s">
        <v>2286</v>
      </c>
      <c r="AC283" s="38" t="s">
        <v>2403</v>
      </c>
      <c r="AD283" s="38" t="s">
        <v>1403</v>
      </c>
      <c r="AE283" s="38" t="s">
        <v>2290</v>
      </c>
      <c r="AF283" s="36" t="s">
        <v>2187</v>
      </c>
      <c r="AG283" s="11">
        <v>1</v>
      </c>
      <c r="AH283" s="12">
        <v>15</v>
      </c>
      <c r="AI283" s="13">
        <v>4</v>
      </c>
      <c r="AJ283" s="14">
        <v>4</v>
      </c>
      <c r="AK283" s="46">
        <v>309040477.82999998</v>
      </c>
      <c r="AL283" s="47">
        <v>333763716.06</v>
      </c>
      <c r="AM283" s="48">
        <v>333763716.06</v>
      </c>
      <c r="AN283" s="49">
        <v>333763716.06</v>
      </c>
      <c r="AO283" s="50">
        <v>1310331626.01</v>
      </c>
      <c r="AP283" s="1" t="s">
        <v>1901</v>
      </c>
    </row>
    <row r="284" spans="1:42" customFormat="1" ht="51" customHeight="1" x14ac:dyDescent="0.25">
      <c r="A284" s="36">
        <v>283</v>
      </c>
      <c r="B284" s="37" t="s">
        <v>264</v>
      </c>
      <c r="C284" s="37" t="s">
        <v>265</v>
      </c>
      <c r="D284" s="38" t="s">
        <v>2388</v>
      </c>
      <c r="E284" s="37" t="s">
        <v>624</v>
      </c>
      <c r="F284" s="37" t="s">
        <v>625</v>
      </c>
      <c r="G284" s="65">
        <v>0.8</v>
      </c>
      <c r="H284" s="36">
        <v>2023</v>
      </c>
      <c r="I284" s="37" t="s">
        <v>626</v>
      </c>
      <c r="J284" s="38" t="s">
        <v>627</v>
      </c>
      <c r="K284" s="87" t="s">
        <v>25</v>
      </c>
      <c r="L284" s="38" t="s">
        <v>2404</v>
      </c>
      <c r="M284" s="37" t="s">
        <v>1495</v>
      </c>
      <c r="N284" s="36">
        <v>45</v>
      </c>
      <c r="O284" s="37" t="s">
        <v>786</v>
      </c>
      <c r="P284" s="36" t="s">
        <v>1467</v>
      </c>
      <c r="Q284" s="37" t="s">
        <v>1468</v>
      </c>
      <c r="R284" s="36">
        <v>45020030</v>
      </c>
      <c r="S284" s="112" t="s">
        <v>1147</v>
      </c>
      <c r="T284" s="113" t="s">
        <v>1148</v>
      </c>
      <c r="U284" s="112" t="s">
        <v>500</v>
      </c>
      <c r="V284" s="171" t="s">
        <v>1469</v>
      </c>
      <c r="W284" s="112" t="s">
        <v>1149</v>
      </c>
      <c r="X284" s="41" t="s">
        <v>1470</v>
      </c>
      <c r="Y284" s="37" t="s">
        <v>36</v>
      </c>
      <c r="Z284" s="62">
        <v>0</v>
      </c>
      <c r="AA284" s="36" t="s">
        <v>2185</v>
      </c>
      <c r="AB284" s="37" t="s">
        <v>2405</v>
      </c>
      <c r="AC284" s="37" t="s">
        <v>2406</v>
      </c>
      <c r="AD284" s="37" t="s">
        <v>2187</v>
      </c>
      <c r="AE284" s="37" t="s">
        <v>2209</v>
      </c>
      <c r="AF284" s="37" t="s">
        <v>2187</v>
      </c>
      <c r="AG284" s="71">
        <v>0.25</v>
      </c>
      <c r="AH284" s="53">
        <v>0.25</v>
      </c>
      <c r="AI284" s="54">
        <v>0.25</v>
      </c>
      <c r="AJ284" s="55">
        <v>0.25</v>
      </c>
      <c r="AK284" s="46">
        <v>110000000</v>
      </c>
      <c r="AL284" s="47">
        <v>116457000</v>
      </c>
      <c r="AM284" s="48">
        <v>121582166.7</v>
      </c>
      <c r="AN284" s="49">
        <v>128719039.89</v>
      </c>
      <c r="AO284" s="50">
        <v>476758206.58999997</v>
      </c>
      <c r="AP284" s="37" t="s">
        <v>1902</v>
      </c>
    </row>
    <row r="285" spans="1:42" customFormat="1" ht="63.75" x14ac:dyDescent="0.25">
      <c r="A285" s="36">
        <v>284</v>
      </c>
      <c r="B285" s="37" t="s">
        <v>264</v>
      </c>
      <c r="C285" s="37" t="s">
        <v>265</v>
      </c>
      <c r="D285" s="38" t="s">
        <v>2388</v>
      </c>
      <c r="E285" s="37" t="s">
        <v>624</v>
      </c>
      <c r="F285" s="37" t="s">
        <v>625</v>
      </c>
      <c r="G285" s="65">
        <v>0.8</v>
      </c>
      <c r="H285" s="36">
        <v>2023</v>
      </c>
      <c r="I285" s="37" t="s">
        <v>626</v>
      </c>
      <c r="J285" s="38" t="s">
        <v>627</v>
      </c>
      <c r="K285" s="87" t="s">
        <v>25</v>
      </c>
      <c r="L285" s="38" t="s">
        <v>2404</v>
      </c>
      <c r="M285" s="37" t="s">
        <v>1495</v>
      </c>
      <c r="N285" s="36">
        <v>45</v>
      </c>
      <c r="O285" s="37" t="s">
        <v>786</v>
      </c>
      <c r="P285" s="36" t="s">
        <v>1467</v>
      </c>
      <c r="Q285" s="37" t="s">
        <v>1468</v>
      </c>
      <c r="R285" s="36" t="s">
        <v>1471</v>
      </c>
      <c r="S285" s="112" t="s">
        <v>232</v>
      </c>
      <c r="T285" s="113" t="s">
        <v>1472</v>
      </c>
      <c r="U285" s="112" t="s">
        <v>1473</v>
      </c>
      <c r="V285" s="171" t="s">
        <v>1474</v>
      </c>
      <c r="W285" s="112" t="s">
        <v>1475</v>
      </c>
      <c r="X285" s="41" t="s">
        <v>1476</v>
      </c>
      <c r="Y285" s="37" t="s">
        <v>36</v>
      </c>
      <c r="Z285" s="62">
        <v>0</v>
      </c>
      <c r="AA285" s="36" t="s">
        <v>2185</v>
      </c>
      <c r="AB285" s="37" t="s">
        <v>2405</v>
      </c>
      <c r="AC285" s="36" t="s">
        <v>2187</v>
      </c>
      <c r="AD285" s="37" t="s">
        <v>2187</v>
      </c>
      <c r="AE285" s="37" t="s">
        <v>2209</v>
      </c>
      <c r="AF285" s="37" t="s">
        <v>2187</v>
      </c>
      <c r="AG285" s="42">
        <v>4</v>
      </c>
      <c r="AH285" s="43">
        <v>10</v>
      </c>
      <c r="AI285" s="44">
        <v>10</v>
      </c>
      <c r="AJ285" s="45">
        <v>4</v>
      </c>
      <c r="AK285" s="46">
        <v>50000000</v>
      </c>
      <c r="AL285" s="47">
        <v>52935000</v>
      </c>
      <c r="AM285" s="48">
        <v>54972997.5</v>
      </c>
      <c r="AN285" s="49">
        <v>58199912.450000003</v>
      </c>
      <c r="AO285" s="50">
        <v>216107909.94999999</v>
      </c>
      <c r="AP285" s="37" t="s">
        <v>1902</v>
      </c>
    </row>
    <row r="286" spans="1:42" customFormat="1" ht="63.75" x14ac:dyDescent="0.25">
      <c r="A286" s="36">
        <v>285</v>
      </c>
      <c r="B286" s="37" t="s">
        <v>264</v>
      </c>
      <c r="C286" s="37" t="s">
        <v>265</v>
      </c>
      <c r="D286" s="38" t="s">
        <v>2388</v>
      </c>
      <c r="E286" s="37" t="s">
        <v>624</v>
      </c>
      <c r="F286" s="37" t="s">
        <v>625</v>
      </c>
      <c r="G286" s="65">
        <v>0.8</v>
      </c>
      <c r="H286" s="36">
        <v>2023</v>
      </c>
      <c r="I286" s="37" t="s">
        <v>626</v>
      </c>
      <c r="J286" s="38" t="s">
        <v>627</v>
      </c>
      <c r="K286" s="87" t="s">
        <v>25</v>
      </c>
      <c r="L286" s="38" t="s">
        <v>2404</v>
      </c>
      <c r="M286" s="37" t="s">
        <v>1495</v>
      </c>
      <c r="N286" s="36">
        <v>45</v>
      </c>
      <c r="O286" s="37" t="s">
        <v>786</v>
      </c>
      <c r="P286" s="36" t="s">
        <v>1467</v>
      </c>
      <c r="Q286" s="37" t="s">
        <v>1468</v>
      </c>
      <c r="R286" s="36" t="s">
        <v>1477</v>
      </c>
      <c r="S286" s="112" t="s">
        <v>1478</v>
      </c>
      <c r="T286" s="113" t="s">
        <v>944</v>
      </c>
      <c r="U286" s="112" t="s">
        <v>203</v>
      </c>
      <c r="V286" s="171" t="s">
        <v>1479</v>
      </c>
      <c r="W286" s="112" t="s">
        <v>297</v>
      </c>
      <c r="X286" s="41" t="s">
        <v>1480</v>
      </c>
      <c r="Y286" s="37" t="s">
        <v>36</v>
      </c>
      <c r="Z286" s="62">
        <v>31</v>
      </c>
      <c r="AA286" s="36" t="s">
        <v>2192</v>
      </c>
      <c r="AB286" s="37" t="s">
        <v>2405</v>
      </c>
      <c r="AC286" s="36" t="s">
        <v>2187</v>
      </c>
      <c r="AD286" s="37" t="s">
        <v>2187</v>
      </c>
      <c r="AE286" s="37" t="s">
        <v>2209</v>
      </c>
      <c r="AF286" s="37" t="s">
        <v>2187</v>
      </c>
      <c r="AG286" s="42">
        <v>31</v>
      </c>
      <c r="AH286" s="43">
        <v>31</v>
      </c>
      <c r="AI286" s="44">
        <v>31</v>
      </c>
      <c r="AJ286" s="45">
        <v>31</v>
      </c>
      <c r="AK286" s="46">
        <v>80000000</v>
      </c>
      <c r="AL286" s="47">
        <v>84696000</v>
      </c>
      <c r="AM286" s="48">
        <v>89026083</v>
      </c>
      <c r="AN286" s="49">
        <v>94251914.069999993</v>
      </c>
      <c r="AO286" s="50">
        <v>347973997.06999999</v>
      </c>
      <c r="AP286" s="37" t="s">
        <v>1902</v>
      </c>
    </row>
    <row r="287" spans="1:42" customFormat="1" ht="63.75" x14ac:dyDescent="0.25">
      <c r="A287" s="36">
        <v>286</v>
      </c>
      <c r="B287" s="37" t="s">
        <v>264</v>
      </c>
      <c r="C287" s="37" t="s">
        <v>265</v>
      </c>
      <c r="D287" s="38" t="s">
        <v>2388</v>
      </c>
      <c r="E287" s="37" t="s">
        <v>624</v>
      </c>
      <c r="F287" s="37" t="s">
        <v>625</v>
      </c>
      <c r="G287" s="65">
        <v>0.8</v>
      </c>
      <c r="H287" s="36">
        <v>2023</v>
      </c>
      <c r="I287" s="37" t="s">
        <v>626</v>
      </c>
      <c r="J287" s="38" t="s">
        <v>627</v>
      </c>
      <c r="K287" s="87" t="s">
        <v>25</v>
      </c>
      <c r="L287" s="38" t="s">
        <v>2404</v>
      </c>
      <c r="M287" s="37" t="s">
        <v>1495</v>
      </c>
      <c r="N287" s="36">
        <v>45</v>
      </c>
      <c r="O287" s="37" t="s">
        <v>786</v>
      </c>
      <c r="P287" s="36" t="s">
        <v>1467</v>
      </c>
      <c r="Q287" s="37" t="s">
        <v>1468</v>
      </c>
      <c r="R287" s="171" t="s">
        <v>1481</v>
      </c>
      <c r="S287" s="112" t="s">
        <v>1482</v>
      </c>
      <c r="T287" s="113" t="s">
        <v>1483</v>
      </c>
      <c r="U287" s="112" t="s">
        <v>1484</v>
      </c>
      <c r="V287" s="171" t="s">
        <v>1485</v>
      </c>
      <c r="W287" s="112" t="s">
        <v>1486</v>
      </c>
      <c r="X287" s="41" t="s">
        <v>1487</v>
      </c>
      <c r="Y287" s="37" t="s">
        <v>36</v>
      </c>
      <c r="Z287" s="62">
        <v>8</v>
      </c>
      <c r="AA287" s="79" t="s">
        <v>2185</v>
      </c>
      <c r="AB287" s="37" t="s">
        <v>2405</v>
      </c>
      <c r="AC287" s="36" t="s">
        <v>2187</v>
      </c>
      <c r="AD287" s="37" t="s">
        <v>2187</v>
      </c>
      <c r="AE287" s="37" t="s">
        <v>2209</v>
      </c>
      <c r="AF287" s="37" t="s">
        <v>2187</v>
      </c>
      <c r="AG287" s="42">
        <v>5</v>
      </c>
      <c r="AH287" s="43">
        <v>15</v>
      </c>
      <c r="AI287" s="44">
        <v>10</v>
      </c>
      <c r="AJ287" s="45">
        <v>10</v>
      </c>
      <c r="AK287" s="46">
        <v>150000000</v>
      </c>
      <c r="AL287" s="47">
        <v>158805000</v>
      </c>
      <c r="AM287" s="48">
        <v>165988279.5</v>
      </c>
      <c r="AN287" s="49">
        <v>175731791.50999999</v>
      </c>
      <c r="AO287" s="50">
        <v>650525071.00999999</v>
      </c>
      <c r="AP287" s="37" t="s">
        <v>1902</v>
      </c>
    </row>
    <row r="288" spans="1:42" customFormat="1" ht="63.75" x14ac:dyDescent="0.25">
      <c r="A288" s="36">
        <v>287</v>
      </c>
      <c r="B288" s="37" t="s">
        <v>264</v>
      </c>
      <c r="C288" s="37" t="s">
        <v>265</v>
      </c>
      <c r="D288" s="38" t="s">
        <v>2388</v>
      </c>
      <c r="E288" s="37" t="s">
        <v>624</v>
      </c>
      <c r="F288" s="37" t="s">
        <v>625</v>
      </c>
      <c r="G288" s="65">
        <v>0.8</v>
      </c>
      <c r="H288" s="36">
        <v>2023</v>
      </c>
      <c r="I288" s="37" t="s">
        <v>626</v>
      </c>
      <c r="J288" s="38" t="s">
        <v>627</v>
      </c>
      <c r="K288" s="87" t="s">
        <v>25</v>
      </c>
      <c r="L288" s="38" t="s">
        <v>2404</v>
      </c>
      <c r="M288" s="37" t="s">
        <v>1495</v>
      </c>
      <c r="N288" s="36">
        <v>45</v>
      </c>
      <c r="O288" s="37" t="s">
        <v>786</v>
      </c>
      <c r="P288" s="51" t="s">
        <v>1488</v>
      </c>
      <c r="Q288" s="58" t="s">
        <v>1143</v>
      </c>
      <c r="R288" s="51" t="s">
        <v>1489</v>
      </c>
      <c r="S288" s="58" t="s">
        <v>1000</v>
      </c>
      <c r="T288" s="59" t="s">
        <v>1490</v>
      </c>
      <c r="U288" s="58" t="s">
        <v>500</v>
      </c>
      <c r="V288" s="51" t="s">
        <v>1491</v>
      </c>
      <c r="W288" s="58" t="s">
        <v>829</v>
      </c>
      <c r="X288" s="41" t="s">
        <v>2407</v>
      </c>
      <c r="Y288" s="37" t="s">
        <v>36</v>
      </c>
      <c r="Z288" s="62">
        <v>0</v>
      </c>
      <c r="AA288" s="36" t="s">
        <v>2185</v>
      </c>
      <c r="AB288" s="37" t="s">
        <v>2204</v>
      </c>
      <c r="AC288" s="37" t="s">
        <v>2205</v>
      </c>
      <c r="AD288" s="37" t="s">
        <v>2187</v>
      </c>
      <c r="AE288" s="37" t="s">
        <v>2209</v>
      </c>
      <c r="AF288" s="37" t="s">
        <v>2187</v>
      </c>
      <c r="AG288" s="71">
        <v>0.2</v>
      </c>
      <c r="AH288" s="53">
        <v>0.3</v>
      </c>
      <c r="AI288" s="54">
        <v>0.4</v>
      </c>
      <c r="AJ288" s="55">
        <v>0.1</v>
      </c>
      <c r="AK288" s="46">
        <v>883000000</v>
      </c>
      <c r="AL288" s="47">
        <v>934832100</v>
      </c>
      <c r="AM288" s="48">
        <v>974030996.85000002</v>
      </c>
      <c r="AN288" s="49">
        <v>1031206616.37</v>
      </c>
      <c r="AO288" s="50">
        <v>3823069713.2199998</v>
      </c>
      <c r="AP288" s="37" t="s">
        <v>1902</v>
      </c>
    </row>
    <row r="289" spans="1:42" customFormat="1" ht="89.25" x14ac:dyDescent="0.25">
      <c r="A289" s="36">
        <v>288</v>
      </c>
      <c r="B289" s="37" t="s">
        <v>328</v>
      </c>
      <c r="C289" s="37" t="s">
        <v>465</v>
      </c>
      <c r="D289" s="38" t="s">
        <v>2384</v>
      </c>
      <c r="E289" s="37" t="s">
        <v>1492</v>
      </c>
      <c r="F289" s="37" t="s">
        <v>1493</v>
      </c>
      <c r="G289" s="40" t="s">
        <v>1494</v>
      </c>
      <c r="H289" s="40" t="s">
        <v>1494</v>
      </c>
      <c r="I289" s="37" t="s">
        <v>1495</v>
      </c>
      <c r="J289" s="38" t="s">
        <v>1496</v>
      </c>
      <c r="K289" s="87" t="s">
        <v>25</v>
      </c>
      <c r="L289" s="38" t="s">
        <v>2191</v>
      </c>
      <c r="M289" s="37" t="s">
        <v>1495</v>
      </c>
      <c r="N289" s="36">
        <v>45</v>
      </c>
      <c r="O289" s="37" t="s">
        <v>786</v>
      </c>
      <c r="P289" s="36" t="s">
        <v>1467</v>
      </c>
      <c r="Q289" s="37" t="s">
        <v>1468</v>
      </c>
      <c r="R289" s="36" t="s">
        <v>1497</v>
      </c>
      <c r="S289" s="112" t="s">
        <v>1498</v>
      </c>
      <c r="T289" s="113" t="s">
        <v>1499</v>
      </c>
      <c r="U289" s="112" t="s">
        <v>968</v>
      </c>
      <c r="V289" s="171" t="s">
        <v>1500</v>
      </c>
      <c r="W289" s="112" t="s">
        <v>1146</v>
      </c>
      <c r="X289" s="41" t="s">
        <v>1501</v>
      </c>
      <c r="Y289" s="37" t="s">
        <v>36</v>
      </c>
      <c r="Z289" s="62">
        <v>0</v>
      </c>
      <c r="AA289" s="36" t="s">
        <v>2185</v>
      </c>
      <c r="AB289" s="37" t="s">
        <v>2186</v>
      </c>
      <c r="AC289" s="36" t="s">
        <v>2187</v>
      </c>
      <c r="AD289" s="37" t="s">
        <v>2187</v>
      </c>
      <c r="AE289" s="37" t="s">
        <v>2210</v>
      </c>
      <c r="AF289" s="37" t="s">
        <v>2187</v>
      </c>
      <c r="AG289" s="71">
        <v>0.25</v>
      </c>
      <c r="AH289" s="53">
        <v>0.25</v>
      </c>
      <c r="AI289" s="54">
        <v>0.25</v>
      </c>
      <c r="AJ289" s="55">
        <v>0.25</v>
      </c>
      <c r="AK289" s="46">
        <v>200000000</v>
      </c>
      <c r="AL289" s="47">
        <v>211740000</v>
      </c>
      <c r="AM289" s="48">
        <v>222030564</v>
      </c>
      <c r="AN289" s="49">
        <v>235063758.11000001</v>
      </c>
      <c r="AO289" s="50">
        <v>868834322.11000001</v>
      </c>
      <c r="AP289" s="37" t="s">
        <v>1902</v>
      </c>
    </row>
    <row r="290" spans="1:42" customFormat="1" ht="89.25" x14ac:dyDescent="0.25">
      <c r="A290" s="36">
        <v>289</v>
      </c>
      <c r="B290" s="37" t="s">
        <v>328</v>
      </c>
      <c r="C290" s="37" t="s">
        <v>465</v>
      </c>
      <c r="D290" s="38" t="s">
        <v>2384</v>
      </c>
      <c r="E290" s="37" t="s">
        <v>1492</v>
      </c>
      <c r="F290" s="37" t="s">
        <v>1493</v>
      </c>
      <c r="G290" s="40" t="s">
        <v>1494</v>
      </c>
      <c r="H290" s="40" t="s">
        <v>1494</v>
      </c>
      <c r="I290" s="37" t="s">
        <v>1495</v>
      </c>
      <c r="J290" s="38" t="s">
        <v>1496</v>
      </c>
      <c r="K290" s="87" t="s">
        <v>25</v>
      </c>
      <c r="L290" s="38" t="s">
        <v>2191</v>
      </c>
      <c r="M290" s="37" t="s">
        <v>1495</v>
      </c>
      <c r="N290" s="36">
        <v>45</v>
      </c>
      <c r="O290" s="37" t="s">
        <v>786</v>
      </c>
      <c r="P290" s="36" t="s">
        <v>1467</v>
      </c>
      <c r="Q290" s="37" t="s">
        <v>1468</v>
      </c>
      <c r="R290" s="36" t="s">
        <v>1502</v>
      </c>
      <c r="S290" s="112" t="s">
        <v>1503</v>
      </c>
      <c r="T290" s="113" t="s">
        <v>1504</v>
      </c>
      <c r="U290" s="112" t="s">
        <v>792</v>
      </c>
      <c r="V290" s="171" t="s">
        <v>1505</v>
      </c>
      <c r="W290" s="112" t="s">
        <v>1506</v>
      </c>
      <c r="X290" s="37" t="s">
        <v>2076</v>
      </c>
      <c r="Y290" s="37" t="s">
        <v>36</v>
      </c>
      <c r="Z290" s="62">
        <v>42</v>
      </c>
      <c r="AA290" s="36" t="s">
        <v>2185</v>
      </c>
      <c r="AB290" s="37" t="s">
        <v>2186</v>
      </c>
      <c r="AC290" s="37" t="s">
        <v>2206</v>
      </c>
      <c r="AD290" s="37" t="s">
        <v>2187</v>
      </c>
      <c r="AE290" s="37" t="s">
        <v>2210</v>
      </c>
      <c r="AF290" s="37" t="s">
        <v>2187</v>
      </c>
      <c r="AG290" s="42">
        <v>5</v>
      </c>
      <c r="AH290" s="43">
        <v>15</v>
      </c>
      <c r="AI290" s="44">
        <v>15</v>
      </c>
      <c r="AJ290" s="45">
        <v>7</v>
      </c>
      <c r="AK290" s="46">
        <v>100000000</v>
      </c>
      <c r="AL290" s="47">
        <v>105870000</v>
      </c>
      <c r="AM290" s="48">
        <v>111015282</v>
      </c>
      <c r="AN290" s="49">
        <v>117531879.05</v>
      </c>
      <c r="AO290" s="50">
        <v>434417161.05000001</v>
      </c>
      <c r="AP290" s="37" t="s">
        <v>1902</v>
      </c>
    </row>
    <row r="291" spans="1:42" customFormat="1" ht="89.25" x14ac:dyDescent="0.25">
      <c r="A291" s="36">
        <v>290</v>
      </c>
      <c r="B291" s="37" t="s">
        <v>328</v>
      </c>
      <c r="C291" s="37" t="s">
        <v>465</v>
      </c>
      <c r="D291" s="38" t="s">
        <v>2384</v>
      </c>
      <c r="E291" s="37" t="s">
        <v>1492</v>
      </c>
      <c r="F291" s="37" t="s">
        <v>1493</v>
      </c>
      <c r="G291" s="40" t="s">
        <v>1494</v>
      </c>
      <c r="H291" s="40" t="s">
        <v>1494</v>
      </c>
      <c r="I291" s="37" t="s">
        <v>1495</v>
      </c>
      <c r="J291" s="38" t="s">
        <v>1496</v>
      </c>
      <c r="K291" s="87" t="s">
        <v>25</v>
      </c>
      <c r="L291" s="38" t="s">
        <v>2191</v>
      </c>
      <c r="M291" s="37" t="s">
        <v>1495</v>
      </c>
      <c r="N291" s="36">
        <v>45</v>
      </c>
      <c r="O291" s="37" t="s">
        <v>786</v>
      </c>
      <c r="P291" s="36" t="s">
        <v>1467</v>
      </c>
      <c r="Q291" s="37" t="s">
        <v>1468</v>
      </c>
      <c r="R291" s="36" t="s">
        <v>1471</v>
      </c>
      <c r="S291" s="112" t="s">
        <v>232</v>
      </c>
      <c r="T291" s="113" t="s">
        <v>1472</v>
      </c>
      <c r="U291" s="112" t="s">
        <v>1473</v>
      </c>
      <c r="V291" s="171" t="s">
        <v>1474</v>
      </c>
      <c r="W291" s="112" t="s">
        <v>1475</v>
      </c>
      <c r="X291" s="41" t="s">
        <v>1507</v>
      </c>
      <c r="Y291" s="37" t="s">
        <v>36</v>
      </c>
      <c r="Z291" s="62">
        <v>0</v>
      </c>
      <c r="AA291" s="36" t="s">
        <v>2185</v>
      </c>
      <c r="AB291" s="37" t="s">
        <v>2208</v>
      </c>
      <c r="AC291" s="37" t="s">
        <v>2206</v>
      </c>
      <c r="AD291" s="37" t="s">
        <v>2187</v>
      </c>
      <c r="AE291" s="37" t="s">
        <v>2210</v>
      </c>
      <c r="AF291" s="37" t="s">
        <v>2187</v>
      </c>
      <c r="AG291" s="42">
        <v>5</v>
      </c>
      <c r="AH291" s="43">
        <v>15</v>
      </c>
      <c r="AI291" s="44">
        <v>15</v>
      </c>
      <c r="AJ291" s="45">
        <v>7</v>
      </c>
      <c r="AK291" s="46">
        <v>50000000</v>
      </c>
      <c r="AL291" s="47">
        <v>52935000</v>
      </c>
      <c r="AM291" s="48">
        <v>54972997.5</v>
      </c>
      <c r="AN291" s="49">
        <v>58199912.450000003</v>
      </c>
      <c r="AO291" s="50">
        <v>216107909.94999999</v>
      </c>
      <c r="AP291" s="37" t="s">
        <v>1902</v>
      </c>
    </row>
    <row r="292" spans="1:42" customFormat="1" ht="89.25" x14ac:dyDescent="0.25">
      <c r="A292" s="36">
        <v>291</v>
      </c>
      <c r="B292" s="37" t="s">
        <v>328</v>
      </c>
      <c r="C292" s="37" t="s">
        <v>465</v>
      </c>
      <c r="D292" s="38" t="s">
        <v>2384</v>
      </c>
      <c r="E292" s="37" t="s">
        <v>1492</v>
      </c>
      <c r="F292" s="37" t="s">
        <v>1493</v>
      </c>
      <c r="G292" s="40" t="s">
        <v>1494</v>
      </c>
      <c r="H292" s="40" t="s">
        <v>1494</v>
      </c>
      <c r="I292" s="37" t="s">
        <v>1495</v>
      </c>
      <c r="J292" s="38" t="s">
        <v>1496</v>
      </c>
      <c r="K292" s="87" t="s">
        <v>25</v>
      </c>
      <c r="L292" s="38" t="s">
        <v>2191</v>
      </c>
      <c r="M292" s="37" t="s">
        <v>1495</v>
      </c>
      <c r="N292" s="36">
        <v>45</v>
      </c>
      <c r="O292" s="37" t="s">
        <v>786</v>
      </c>
      <c r="P292" s="36">
        <v>4502</v>
      </c>
      <c r="Q292" s="37" t="s">
        <v>1468</v>
      </c>
      <c r="R292" s="171" t="s">
        <v>2111</v>
      </c>
      <c r="S292" s="112" t="s">
        <v>1508</v>
      </c>
      <c r="T292" s="113" t="s">
        <v>1509</v>
      </c>
      <c r="U292" s="112" t="s">
        <v>1510</v>
      </c>
      <c r="V292" s="171" t="s">
        <v>1511</v>
      </c>
      <c r="W292" s="112" t="s">
        <v>1512</v>
      </c>
      <c r="X292" s="41" t="s">
        <v>1513</v>
      </c>
      <c r="Y292" s="37" t="s">
        <v>36</v>
      </c>
      <c r="Z292" s="62">
        <v>46</v>
      </c>
      <c r="AA292" s="36" t="s">
        <v>2185</v>
      </c>
      <c r="AB292" s="37" t="s">
        <v>2186</v>
      </c>
      <c r="AC292" s="36" t="s">
        <v>2187</v>
      </c>
      <c r="AD292" s="37" t="s">
        <v>2187</v>
      </c>
      <c r="AE292" s="37" t="s">
        <v>2210</v>
      </c>
      <c r="AF292" s="37" t="s">
        <v>2187</v>
      </c>
      <c r="AG292" s="42">
        <v>250</v>
      </c>
      <c r="AH292" s="43">
        <v>1000</v>
      </c>
      <c r="AI292" s="44">
        <v>500</v>
      </c>
      <c r="AJ292" s="45">
        <v>250</v>
      </c>
      <c r="AK292" s="46">
        <v>3960000000</v>
      </c>
      <c r="AL292" s="47">
        <v>6892452000</v>
      </c>
      <c r="AM292" s="48">
        <v>5587641703.1999998</v>
      </c>
      <c r="AN292" s="49">
        <v>4827586260.1700001</v>
      </c>
      <c r="AO292" s="50">
        <v>21267679963.369999</v>
      </c>
      <c r="AP292" s="37" t="s">
        <v>1902</v>
      </c>
    </row>
    <row r="293" spans="1:42" customFormat="1" ht="89.25" x14ac:dyDescent="0.25">
      <c r="A293" s="36">
        <v>292</v>
      </c>
      <c r="B293" s="37" t="s">
        <v>328</v>
      </c>
      <c r="C293" s="37" t="s">
        <v>465</v>
      </c>
      <c r="D293" s="38" t="s">
        <v>2384</v>
      </c>
      <c r="E293" s="37" t="s">
        <v>1492</v>
      </c>
      <c r="F293" s="37" t="s">
        <v>1493</v>
      </c>
      <c r="G293" s="40" t="s">
        <v>1494</v>
      </c>
      <c r="H293" s="40" t="s">
        <v>1494</v>
      </c>
      <c r="I293" s="37" t="s">
        <v>1495</v>
      </c>
      <c r="J293" s="38" t="s">
        <v>1496</v>
      </c>
      <c r="K293" s="87" t="s">
        <v>25</v>
      </c>
      <c r="L293" s="38" t="s">
        <v>2191</v>
      </c>
      <c r="M293" s="37" t="s">
        <v>1495</v>
      </c>
      <c r="N293" s="36">
        <v>45</v>
      </c>
      <c r="O293" s="37" t="s">
        <v>786</v>
      </c>
      <c r="P293" s="51" t="s">
        <v>1488</v>
      </c>
      <c r="Q293" s="58" t="s">
        <v>1143</v>
      </c>
      <c r="R293" s="51" t="s">
        <v>1489</v>
      </c>
      <c r="S293" s="58" t="s">
        <v>1000</v>
      </c>
      <c r="T293" s="59" t="s">
        <v>1490</v>
      </c>
      <c r="U293" s="58" t="s">
        <v>500</v>
      </c>
      <c r="V293" s="51" t="s">
        <v>1491</v>
      </c>
      <c r="W293" s="58" t="s">
        <v>829</v>
      </c>
      <c r="X293" s="41" t="s">
        <v>2173</v>
      </c>
      <c r="Y293" s="37" t="s">
        <v>36</v>
      </c>
      <c r="Z293" s="62">
        <v>0</v>
      </c>
      <c r="AA293" s="36" t="s">
        <v>2185</v>
      </c>
      <c r="AB293" s="37" t="s">
        <v>2204</v>
      </c>
      <c r="AC293" s="36" t="s">
        <v>2187</v>
      </c>
      <c r="AD293" s="37" t="s">
        <v>2187</v>
      </c>
      <c r="AE293" s="37" t="s">
        <v>2210</v>
      </c>
      <c r="AF293" s="37" t="s">
        <v>2187</v>
      </c>
      <c r="AG293" s="71">
        <v>0.2</v>
      </c>
      <c r="AH293" s="53">
        <v>0.3</v>
      </c>
      <c r="AI293" s="54">
        <v>0.4</v>
      </c>
      <c r="AJ293" s="55">
        <v>0.1</v>
      </c>
      <c r="AK293" s="46">
        <v>710000000</v>
      </c>
      <c r="AL293" s="47">
        <v>751677000</v>
      </c>
      <c r="AM293" s="48">
        <v>782327423.70000005</v>
      </c>
      <c r="AN293" s="49">
        <v>828250043.47000003</v>
      </c>
      <c r="AO293" s="50">
        <v>3072254467.1700001</v>
      </c>
      <c r="AP293" s="37" t="s">
        <v>1902</v>
      </c>
    </row>
    <row r="294" spans="1:42" ht="63.75" x14ac:dyDescent="0.2">
      <c r="A294" s="36">
        <v>293</v>
      </c>
      <c r="B294" s="37" t="s">
        <v>328</v>
      </c>
      <c r="C294" s="37" t="s">
        <v>465</v>
      </c>
      <c r="D294" s="38" t="s">
        <v>2384</v>
      </c>
      <c r="E294" s="37" t="s">
        <v>1514</v>
      </c>
      <c r="F294" s="37" t="s">
        <v>1515</v>
      </c>
      <c r="G294" s="40">
        <v>0.23710000000000001</v>
      </c>
      <c r="H294" s="36">
        <v>2023</v>
      </c>
      <c r="I294" s="37" t="s">
        <v>1516</v>
      </c>
      <c r="J294" s="38" t="s">
        <v>1517</v>
      </c>
      <c r="K294" s="37" t="s">
        <v>25</v>
      </c>
      <c r="L294" s="38"/>
      <c r="M294" s="37" t="s">
        <v>1518</v>
      </c>
      <c r="N294" s="36">
        <v>45</v>
      </c>
      <c r="O294" s="37" t="s">
        <v>786</v>
      </c>
      <c r="P294" s="36" t="s">
        <v>1467</v>
      </c>
      <c r="Q294" s="37" t="s">
        <v>1468</v>
      </c>
      <c r="R294" s="36" t="s">
        <v>1519</v>
      </c>
      <c r="S294" s="112" t="s">
        <v>1520</v>
      </c>
      <c r="T294" s="113" t="s">
        <v>1521</v>
      </c>
      <c r="U294" s="112" t="s">
        <v>1522</v>
      </c>
      <c r="V294" s="171" t="s">
        <v>1523</v>
      </c>
      <c r="W294" s="112" t="s">
        <v>1524</v>
      </c>
      <c r="X294" s="41" t="s">
        <v>1525</v>
      </c>
      <c r="Y294" s="37" t="s">
        <v>36</v>
      </c>
      <c r="Z294" s="62">
        <v>6</v>
      </c>
      <c r="AA294" s="36" t="s">
        <v>2185</v>
      </c>
      <c r="AB294" s="37" t="s">
        <v>2208</v>
      </c>
      <c r="AC294" s="37" t="s">
        <v>2207</v>
      </c>
      <c r="AD294" s="37" t="s">
        <v>2187</v>
      </c>
      <c r="AE294" s="37" t="s">
        <v>2210</v>
      </c>
      <c r="AF294" s="37" t="s">
        <v>2187</v>
      </c>
      <c r="AG294" s="42">
        <v>1</v>
      </c>
      <c r="AH294" s="43">
        <v>2</v>
      </c>
      <c r="AI294" s="44">
        <v>2</v>
      </c>
      <c r="AJ294" s="45">
        <v>1</v>
      </c>
      <c r="AK294" s="46">
        <v>30000000</v>
      </c>
      <c r="AL294" s="47">
        <v>31761000</v>
      </c>
      <c r="AM294" s="48">
        <v>32983798.5</v>
      </c>
      <c r="AN294" s="49">
        <v>34919947.469999999</v>
      </c>
      <c r="AO294" s="50">
        <v>129664745.97</v>
      </c>
      <c r="AP294" s="37" t="s">
        <v>1902</v>
      </c>
    </row>
    <row r="295" spans="1:42" customFormat="1" ht="76.5" x14ac:dyDescent="0.25">
      <c r="A295" s="36">
        <v>294</v>
      </c>
      <c r="B295" s="37" t="s">
        <v>264</v>
      </c>
      <c r="C295" s="37" t="s">
        <v>265</v>
      </c>
      <c r="D295" s="38" t="s">
        <v>2388</v>
      </c>
      <c r="E295" s="115" t="s">
        <v>1526</v>
      </c>
      <c r="F295" s="115" t="s">
        <v>1527</v>
      </c>
      <c r="G295" s="36">
        <v>38</v>
      </c>
      <c r="H295" s="36">
        <v>2023</v>
      </c>
      <c r="I295" s="56" t="s">
        <v>1528</v>
      </c>
      <c r="J295" s="38" t="s">
        <v>1529</v>
      </c>
      <c r="K295" s="87">
        <v>0</v>
      </c>
      <c r="L295" s="38" t="s">
        <v>2404</v>
      </c>
      <c r="M295" s="37" t="s">
        <v>1495</v>
      </c>
      <c r="N295" s="36">
        <v>45</v>
      </c>
      <c r="O295" s="37" t="s">
        <v>786</v>
      </c>
      <c r="P295" s="51" t="s">
        <v>1467</v>
      </c>
      <c r="Q295" s="58" t="s">
        <v>1468</v>
      </c>
      <c r="R295" s="51" t="s">
        <v>1530</v>
      </c>
      <c r="S295" s="58" t="s">
        <v>1531</v>
      </c>
      <c r="T295" s="59" t="s">
        <v>1532</v>
      </c>
      <c r="U295" s="58" t="s">
        <v>1533</v>
      </c>
      <c r="V295" s="51" t="s">
        <v>1534</v>
      </c>
      <c r="W295" s="58" t="s">
        <v>1535</v>
      </c>
      <c r="X295" s="41" t="s">
        <v>1536</v>
      </c>
      <c r="Y295" s="37" t="s">
        <v>36</v>
      </c>
      <c r="Z295" s="62">
        <v>6</v>
      </c>
      <c r="AA295" s="36" t="s">
        <v>2185</v>
      </c>
      <c r="AB295" s="37" t="s">
        <v>2186</v>
      </c>
      <c r="AC295" s="36" t="s">
        <v>2187</v>
      </c>
      <c r="AD295" s="37" t="s">
        <v>2187</v>
      </c>
      <c r="AE295" s="37" t="s">
        <v>2408</v>
      </c>
      <c r="AF295" s="37" t="s">
        <v>2187</v>
      </c>
      <c r="AG295" s="42">
        <v>3</v>
      </c>
      <c r="AH295" s="43">
        <v>6</v>
      </c>
      <c r="AI295" s="44">
        <v>6</v>
      </c>
      <c r="AJ295" s="45">
        <v>6</v>
      </c>
      <c r="AK295" s="46">
        <v>230000000</v>
      </c>
      <c r="AL295" s="47">
        <v>243501000</v>
      </c>
      <c r="AM295" s="48">
        <v>255655934.69999999</v>
      </c>
      <c r="AN295" s="49">
        <v>270662938.06999999</v>
      </c>
      <c r="AO295" s="50">
        <v>999819872.76999998</v>
      </c>
      <c r="AP295" s="37" t="s">
        <v>1902</v>
      </c>
    </row>
    <row r="296" spans="1:42" customFormat="1" ht="76.5" x14ac:dyDescent="0.25">
      <c r="A296" s="36">
        <v>295</v>
      </c>
      <c r="B296" s="37" t="s">
        <v>264</v>
      </c>
      <c r="C296" s="37" t="s">
        <v>265</v>
      </c>
      <c r="D296" s="38" t="s">
        <v>2388</v>
      </c>
      <c r="E296" s="115" t="s">
        <v>1526</v>
      </c>
      <c r="F296" s="115" t="s">
        <v>1527</v>
      </c>
      <c r="G296" s="36">
        <v>38</v>
      </c>
      <c r="H296" s="36">
        <v>2023</v>
      </c>
      <c r="I296" s="56" t="s">
        <v>1528</v>
      </c>
      <c r="J296" s="38" t="s">
        <v>1529</v>
      </c>
      <c r="K296" s="87" t="s">
        <v>36</v>
      </c>
      <c r="L296" s="38" t="s">
        <v>2404</v>
      </c>
      <c r="M296" s="37" t="s">
        <v>1495</v>
      </c>
      <c r="N296" s="36">
        <v>45</v>
      </c>
      <c r="O296" s="38" t="s">
        <v>786</v>
      </c>
      <c r="P296" s="36" t="s">
        <v>787</v>
      </c>
      <c r="Q296" s="37" t="s">
        <v>788</v>
      </c>
      <c r="R296" s="36" t="s">
        <v>1537</v>
      </c>
      <c r="S296" s="112" t="s">
        <v>1538</v>
      </c>
      <c r="T296" s="113" t="s">
        <v>1539</v>
      </c>
      <c r="U296" s="112" t="s">
        <v>65</v>
      </c>
      <c r="V296" s="171" t="s">
        <v>1540</v>
      </c>
      <c r="W296" s="112" t="s">
        <v>1541</v>
      </c>
      <c r="X296" s="41" t="s">
        <v>1997</v>
      </c>
      <c r="Y296" s="37" t="s">
        <v>36</v>
      </c>
      <c r="Z296" s="62">
        <v>0</v>
      </c>
      <c r="AA296" s="36" t="s">
        <v>2185</v>
      </c>
      <c r="AB296" s="37" t="s">
        <v>2186</v>
      </c>
      <c r="AC296" s="36" t="s">
        <v>2187</v>
      </c>
      <c r="AD296" s="37" t="s">
        <v>2187</v>
      </c>
      <c r="AE296" s="37" t="s">
        <v>2408</v>
      </c>
      <c r="AF296" s="37" t="s">
        <v>2187</v>
      </c>
      <c r="AG296" s="42">
        <v>1</v>
      </c>
      <c r="AH296" s="43">
        <v>2</v>
      </c>
      <c r="AI296" s="44">
        <v>2</v>
      </c>
      <c r="AJ296" s="45">
        <v>2</v>
      </c>
      <c r="AK296" s="46">
        <v>100000000</v>
      </c>
      <c r="AL296" s="47">
        <v>105870000</v>
      </c>
      <c r="AM296" s="48">
        <v>109945995</v>
      </c>
      <c r="AN296" s="49">
        <v>116399824.91</v>
      </c>
      <c r="AO296" s="50">
        <v>432215819.91000003</v>
      </c>
      <c r="AP296" s="37" t="s">
        <v>1902</v>
      </c>
    </row>
    <row r="297" spans="1:42" customFormat="1" ht="76.5" x14ac:dyDescent="0.25">
      <c r="A297" s="36">
        <v>296</v>
      </c>
      <c r="B297" s="37" t="s">
        <v>264</v>
      </c>
      <c r="C297" s="37" t="s">
        <v>265</v>
      </c>
      <c r="D297" s="38" t="s">
        <v>2388</v>
      </c>
      <c r="E297" s="115" t="s">
        <v>1526</v>
      </c>
      <c r="F297" s="115" t="s">
        <v>1527</v>
      </c>
      <c r="G297" s="36">
        <v>38</v>
      </c>
      <c r="H297" s="36">
        <v>2023</v>
      </c>
      <c r="I297" s="56" t="s">
        <v>1528</v>
      </c>
      <c r="J297" s="38" t="s">
        <v>1529</v>
      </c>
      <c r="K297" s="87" t="s">
        <v>36</v>
      </c>
      <c r="L297" s="38" t="s">
        <v>2404</v>
      </c>
      <c r="M297" s="37" t="s">
        <v>1495</v>
      </c>
      <c r="N297" s="36">
        <v>45</v>
      </c>
      <c r="O297" s="38" t="s">
        <v>786</v>
      </c>
      <c r="P297" s="36">
        <v>4501</v>
      </c>
      <c r="Q297" s="37" t="s">
        <v>788</v>
      </c>
      <c r="R297" s="171" t="s">
        <v>1542</v>
      </c>
      <c r="S297" s="112" t="s">
        <v>1543</v>
      </c>
      <c r="T297" s="113" t="s">
        <v>1544</v>
      </c>
      <c r="U297" s="112" t="s">
        <v>500</v>
      </c>
      <c r="V297" s="171" t="s">
        <v>1545</v>
      </c>
      <c r="W297" s="112" t="s">
        <v>1546</v>
      </c>
      <c r="X297" s="41" t="s">
        <v>2174</v>
      </c>
      <c r="Y297" s="37" t="s">
        <v>36</v>
      </c>
      <c r="Z297" s="62">
        <v>0</v>
      </c>
      <c r="AA297" s="36" t="s">
        <v>2185</v>
      </c>
      <c r="AB297" s="37" t="s">
        <v>2186</v>
      </c>
      <c r="AC297" s="36" t="s">
        <v>2187</v>
      </c>
      <c r="AD297" s="37" t="s">
        <v>1547</v>
      </c>
      <c r="AE297" s="37" t="s">
        <v>2408</v>
      </c>
      <c r="AF297" s="37" t="s">
        <v>2187</v>
      </c>
      <c r="AG297" s="71">
        <v>0.3</v>
      </c>
      <c r="AH297" s="53">
        <v>1.5</v>
      </c>
      <c r="AI297" s="54">
        <v>1</v>
      </c>
      <c r="AJ297" s="55">
        <v>0.2</v>
      </c>
      <c r="AK297" s="46">
        <v>400000000</v>
      </c>
      <c r="AL297" s="47">
        <v>423480000</v>
      </c>
      <c r="AM297" s="48">
        <v>439783980</v>
      </c>
      <c r="AN297" s="49">
        <v>465599299.63</v>
      </c>
      <c r="AO297" s="50">
        <v>1728863279.6300001</v>
      </c>
      <c r="AP297" s="37" t="s">
        <v>1902</v>
      </c>
    </row>
    <row r="298" spans="1:42" customFormat="1" ht="76.5" x14ac:dyDescent="0.25">
      <c r="A298" s="36">
        <v>297</v>
      </c>
      <c r="B298" s="37" t="s">
        <v>264</v>
      </c>
      <c r="C298" s="37" t="s">
        <v>265</v>
      </c>
      <c r="D298" s="38" t="s">
        <v>2388</v>
      </c>
      <c r="E298" s="115" t="s">
        <v>1526</v>
      </c>
      <c r="F298" s="115" t="s">
        <v>1527</v>
      </c>
      <c r="G298" s="36">
        <v>38</v>
      </c>
      <c r="H298" s="36">
        <v>2023</v>
      </c>
      <c r="I298" s="56" t="s">
        <v>1528</v>
      </c>
      <c r="J298" s="38" t="s">
        <v>1529</v>
      </c>
      <c r="K298" s="87" t="s">
        <v>36</v>
      </c>
      <c r="L298" s="38" t="s">
        <v>2404</v>
      </c>
      <c r="M298" s="37" t="s">
        <v>1495</v>
      </c>
      <c r="N298" s="36">
        <v>45</v>
      </c>
      <c r="O298" s="38" t="s">
        <v>786</v>
      </c>
      <c r="P298" s="51" t="s">
        <v>1488</v>
      </c>
      <c r="Q298" s="58" t="s">
        <v>1143</v>
      </c>
      <c r="R298" s="51" t="s">
        <v>1548</v>
      </c>
      <c r="S298" s="58" t="s">
        <v>1144</v>
      </c>
      <c r="T298" s="59" t="s">
        <v>1145</v>
      </c>
      <c r="U298" s="58" t="s">
        <v>301</v>
      </c>
      <c r="V298" s="51" t="s">
        <v>1549</v>
      </c>
      <c r="W298" s="58" t="s">
        <v>1146</v>
      </c>
      <c r="X298" s="37" t="s">
        <v>2073</v>
      </c>
      <c r="Y298" s="37" t="s">
        <v>36</v>
      </c>
      <c r="Z298" s="62">
        <v>0</v>
      </c>
      <c r="AA298" s="36" t="s">
        <v>2185</v>
      </c>
      <c r="AB298" s="37" t="s">
        <v>2186</v>
      </c>
      <c r="AC298" s="36" t="s">
        <v>2187</v>
      </c>
      <c r="AD298" s="37" t="s">
        <v>2187</v>
      </c>
      <c r="AE298" s="37" t="s">
        <v>2408</v>
      </c>
      <c r="AF298" s="37" t="s">
        <v>2187</v>
      </c>
      <c r="AG298" s="71">
        <v>0.2</v>
      </c>
      <c r="AH298" s="53">
        <v>1</v>
      </c>
      <c r="AI298" s="54">
        <v>0.6</v>
      </c>
      <c r="AJ298" s="55">
        <v>0.2</v>
      </c>
      <c r="AK298" s="46">
        <v>1267000000</v>
      </c>
      <c r="AL298" s="47">
        <v>1341372900</v>
      </c>
      <c r="AM298" s="48">
        <v>1398041405.55</v>
      </c>
      <c r="AN298" s="49">
        <v>1480106436.0599999</v>
      </c>
      <c r="AO298" s="50">
        <v>5486520741.6099997</v>
      </c>
      <c r="AP298" s="37" t="s">
        <v>1902</v>
      </c>
    </row>
    <row r="299" spans="1:42" customFormat="1" ht="89.25" x14ac:dyDescent="0.25">
      <c r="A299" s="36">
        <v>298</v>
      </c>
      <c r="B299" s="37" t="s">
        <v>264</v>
      </c>
      <c r="C299" s="37" t="s">
        <v>265</v>
      </c>
      <c r="D299" s="38" t="s">
        <v>2388</v>
      </c>
      <c r="E299" s="37" t="s">
        <v>1550</v>
      </c>
      <c r="F299" s="37" t="s">
        <v>1551</v>
      </c>
      <c r="G299" s="65" t="s">
        <v>1552</v>
      </c>
      <c r="H299" s="36">
        <v>2023</v>
      </c>
      <c r="I299" s="37" t="s">
        <v>1553</v>
      </c>
      <c r="J299" s="38" t="s">
        <v>1554</v>
      </c>
      <c r="K299" s="87" t="s">
        <v>25</v>
      </c>
      <c r="L299" s="38" t="s">
        <v>2404</v>
      </c>
      <c r="M299" s="37" t="s">
        <v>1495</v>
      </c>
      <c r="N299" s="36">
        <v>45</v>
      </c>
      <c r="O299" s="38" t="s">
        <v>786</v>
      </c>
      <c r="P299" s="36" t="s">
        <v>787</v>
      </c>
      <c r="Q299" s="37" t="s">
        <v>788</v>
      </c>
      <c r="R299" s="171" t="s">
        <v>1555</v>
      </c>
      <c r="S299" s="112" t="s">
        <v>1556</v>
      </c>
      <c r="T299" s="113" t="s">
        <v>1557</v>
      </c>
      <c r="U299" s="112" t="s">
        <v>500</v>
      </c>
      <c r="V299" s="171" t="s">
        <v>1558</v>
      </c>
      <c r="W299" s="112" t="s">
        <v>1559</v>
      </c>
      <c r="X299" s="41" t="s">
        <v>1998</v>
      </c>
      <c r="Y299" s="37" t="s">
        <v>36</v>
      </c>
      <c r="Z299" s="62">
        <v>1</v>
      </c>
      <c r="AA299" s="36" t="s">
        <v>2185</v>
      </c>
      <c r="AB299" s="37" t="s">
        <v>2186</v>
      </c>
      <c r="AC299" s="37" t="s">
        <v>2205</v>
      </c>
      <c r="AD299" s="37" t="s">
        <v>1547</v>
      </c>
      <c r="AE299" s="37" t="s">
        <v>2408</v>
      </c>
      <c r="AF299" s="37" t="s">
        <v>2187</v>
      </c>
      <c r="AG299" s="71">
        <v>0.1</v>
      </c>
      <c r="AH299" s="53">
        <v>0.15</v>
      </c>
      <c r="AI299" s="54">
        <v>0.2</v>
      </c>
      <c r="AJ299" s="55">
        <v>0.55000000000000004</v>
      </c>
      <c r="AK299" s="46">
        <v>920000000</v>
      </c>
      <c r="AL299" s="47">
        <v>974004000</v>
      </c>
      <c r="AM299" s="48">
        <v>1011503154</v>
      </c>
      <c r="AN299" s="49">
        <v>1070878389.14</v>
      </c>
      <c r="AO299" s="50">
        <v>3976385543.1399999</v>
      </c>
      <c r="AP299" s="37" t="s">
        <v>1902</v>
      </c>
    </row>
    <row r="300" spans="1:42" customFormat="1" ht="89.25" x14ac:dyDescent="0.25">
      <c r="A300" s="36">
        <v>299</v>
      </c>
      <c r="B300" s="37" t="s">
        <v>264</v>
      </c>
      <c r="C300" s="37" t="s">
        <v>265</v>
      </c>
      <c r="D300" s="38" t="s">
        <v>2388</v>
      </c>
      <c r="E300" s="37" t="s">
        <v>1550</v>
      </c>
      <c r="F300" s="37" t="s">
        <v>1551</v>
      </c>
      <c r="G300" s="65" t="s">
        <v>1552</v>
      </c>
      <c r="H300" s="36">
        <v>2023</v>
      </c>
      <c r="I300" s="37" t="s">
        <v>1553</v>
      </c>
      <c r="J300" s="38" t="s">
        <v>1554</v>
      </c>
      <c r="K300" s="87" t="s">
        <v>25</v>
      </c>
      <c r="L300" s="38" t="s">
        <v>2404</v>
      </c>
      <c r="M300" s="37" t="s">
        <v>1495</v>
      </c>
      <c r="N300" s="36">
        <v>45</v>
      </c>
      <c r="O300" s="38" t="s">
        <v>786</v>
      </c>
      <c r="P300" s="36" t="s">
        <v>787</v>
      </c>
      <c r="Q300" s="37" t="s">
        <v>788</v>
      </c>
      <c r="R300" s="171" t="s">
        <v>1555</v>
      </c>
      <c r="S300" s="112" t="s">
        <v>1556</v>
      </c>
      <c r="T300" s="113" t="s">
        <v>1557</v>
      </c>
      <c r="U300" s="112" t="s">
        <v>500</v>
      </c>
      <c r="V300" s="171" t="s">
        <v>1558</v>
      </c>
      <c r="W300" s="112" t="s">
        <v>1559</v>
      </c>
      <c r="X300" s="41" t="s">
        <v>1560</v>
      </c>
      <c r="Y300" s="37" t="s">
        <v>36</v>
      </c>
      <c r="Z300" s="62">
        <v>1</v>
      </c>
      <c r="AA300" s="36" t="s">
        <v>2185</v>
      </c>
      <c r="AB300" s="37" t="s">
        <v>2186</v>
      </c>
      <c r="AC300" s="36" t="s">
        <v>2187</v>
      </c>
      <c r="AD300" s="37" t="s">
        <v>1547</v>
      </c>
      <c r="AE300" s="37" t="s">
        <v>2408</v>
      </c>
      <c r="AF300" s="37" t="s">
        <v>2187</v>
      </c>
      <c r="AG300" s="71">
        <v>0.25</v>
      </c>
      <c r="AH300" s="53">
        <v>0.25</v>
      </c>
      <c r="AI300" s="54">
        <v>0.25</v>
      </c>
      <c r="AJ300" s="55">
        <v>0.25</v>
      </c>
      <c r="AK300" s="46">
        <v>721000000</v>
      </c>
      <c r="AL300" s="47">
        <v>795083700</v>
      </c>
      <c r="AM300" s="48">
        <v>814843207.14999998</v>
      </c>
      <c r="AN300" s="49">
        <v>862674503.40999997</v>
      </c>
      <c r="AO300" s="50">
        <v>3193601410.5599999</v>
      </c>
      <c r="AP300" s="37" t="s">
        <v>1902</v>
      </c>
    </row>
    <row r="301" spans="1:42" customFormat="1" ht="89.25" x14ac:dyDescent="0.25">
      <c r="A301" s="36">
        <v>300</v>
      </c>
      <c r="B301" s="37" t="s">
        <v>264</v>
      </c>
      <c r="C301" s="37" t="s">
        <v>265</v>
      </c>
      <c r="D301" s="38" t="s">
        <v>2388</v>
      </c>
      <c r="E301" s="37" t="s">
        <v>1550</v>
      </c>
      <c r="F301" s="37" t="s">
        <v>1551</v>
      </c>
      <c r="G301" s="65" t="s">
        <v>1552</v>
      </c>
      <c r="H301" s="36">
        <v>2023</v>
      </c>
      <c r="I301" s="37" t="s">
        <v>1553</v>
      </c>
      <c r="J301" s="38" t="s">
        <v>1554</v>
      </c>
      <c r="K301" s="37" t="s">
        <v>25</v>
      </c>
      <c r="L301" s="38" t="s">
        <v>2404</v>
      </c>
      <c r="M301" s="37" t="s">
        <v>1495</v>
      </c>
      <c r="N301" s="36">
        <v>45</v>
      </c>
      <c r="O301" s="38" t="s">
        <v>786</v>
      </c>
      <c r="P301" s="36">
        <v>4501</v>
      </c>
      <c r="Q301" s="37" t="s">
        <v>788</v>
      </c>
      <c r="R301" s="171" t="s">
        <v>1542</v>
      </c>
      <c r="S301" s="112" t="s">
        <v>1543</v>
      </c>
      <c r="T301" s="113" t="s">
        <v>1544</v>
      </c>
      <c r="U301" s="112" t="s">
        <v>500</v>
      </c>
      <c r="V301" s="171" t="s">
        <v>1545</v>
      </c>
      <c r="W301" s="112" t="s">
        <v>1546</v>
      </c>
      <c r="X301" s="41" t="s">
        <v>2175</v>
      </c>
      <c r="Y301" s="37" t="s">
        <v>36</v>
      </c>
      <c r="Z301" s="62">
        <v>0.2</v>
      </c>
      <c r="AA301" s="36" t="s">
        <v>2185</v>
      </c>
      <c r="AB301" s="37" t="s">
        <v>2204</v>
      </c>
      <c r="AC301" s="36" t="s">
        <v>2187</v>
      </c>
      <c r="AD301" s="37" t="s">
        <v>1547</v>
      </c>
      <c r="AE301" s="37" t="s">
        <v>2408</v>
      </c>
      <c r="AF301" s="37" t="s">
        <v>2187</v>
      </c>
      <c r="AG301" s="71">
        <v>0.2</v>
      </c>
      <c r="AH301" s="53">
        <v>0.3</v>
      </c>
      <c r="AI301" s="54">
        <v>0.4</v>
      </c>
      <c r="AJ301" s="55">
        <v>0.1</v>
      </c>
      <c r="AK301" s="46">
        <v>720000000</v>
      </c>
      <c r="AL301" s="47">
        <v>762264000</v>
      </c>
      <c r="AM301" s="48">
        <v>792038878.79999995</v>
      </c>
      <c r="AN301" s="49">
        <v>826033169.87</v>
      </c>
      <c r="AO301" s="50">
        <v>3100336048.6700001</v>
      </c>
      <c r="AP301" s="37" t="s">
        <v>1902</v>
      </c>
    </row>
    <row r="302" spans="1:42" customFormat="1" ht="89.25" x14ac:dyDescent="0.25">
      <c r="A302" s="36">
        <v>301</v>
      </c>
      <c r="B302" s="37" t="s">
        <v>264</v>
      </c>
      <c r="C302" s="37" t="s">
        <v>265</v>
      </c>
      <c r="D302" s="38" t="s">
        <v>2388</v>
      </c>
      <c r="E302" s="37" t="s">
        <v>1550</v>
      </c>
      <c r="F302" s="37" t="s">
        <v>1551</v>
      </c>
      <c r="G302" s="65" t="s">
        <v>1552</v>
      </c>
      <c r="H302" s="36">
        <v>2023</v>
      </c>
      <c r="I302" s="37" t="s">
        <v>1553</v>
      </c>
      <c r="J302" s="38" t="s">
        <v>1554</v>
      </c>
      <c r="K302" s="87" t="s">
        <v>25</v>
      </c>
      <c r="L302" s="38" t="s">
        <v>2404</v>
      </c>
      <c r="M302" s="37" t="s">
        <v>1495</v>
      </c>
      <c r="N302" s="36">
        <v>45</v>
      </c>
      <c r="O302" s="38" t="s">
        <v>786</v>
      </c>
      <c r="P302" s="36" t="s">
        <v>787</v>
      </c>
      <c r="Q302" s="37" t="s">
        <v>788</v>
      </c>
      <c r="R302" s="171" t="s">
        <v>1561</v>
      </c>
      <c r="S302" s="112" t="s">
        <v>1562</v>
      </c>
      <c r="T302" s="113" t="s">
        <v>1563</v>
      </c>
      <c r="U302" s="112" t="s">
        <v>500</v>
      </c>
      <c r="V302" s="171" t="s">
        <v>1564</v>
      </c>
      <c r="W302" s="112" t="s">
        <v>1565</v>
      </c>
      <c r="X302" s="41" t="s">
        <v>1999</v>
      </c>
      <c r="Y302" s="37" t="s">
        <v>36</v>
      </c>
      <c r="Z302" s="62">
        <v>4</v>
      </c>
      <c r="AA302" s="36" t="s">
        <v>2185</v>
      </c>
      <c r="AB302" s="37" t="s">
        <v>2186</v>
      </c>
      <c r="AC302" s="36" t="s">
        <v>2187</v>
      </c>
      <c r="AD302" s="37" t="s">
        <v>1547</v>
      </c>
      <c r="AE302" s="37" t="s">
        <v>2408</v>
      </c>
      <c r="AF302" s="37" t="s">
        <v>2187</v>
      </c>
      <c r="AG302" s="42">
        <v>1</v>
      </c>
      <c r="AH302" s="43">
        <v>1</v>
      </c>
      <c r="AI302" s="44">
        <v>1</v>
      </c>
      <c r="AJ302" s="45">
        <v>1</v>
      </c>
      <c r="AK302" s="46">
        <v>820000000</v>
      </c>
      <c r="AL302" s="47">
        <v>868134000</v>
      </c>
      <c r="AM302" s="48">
        <v>901557159</v>
      </c>
      <c r="AN302" s="49">
        <v>954478564.23000002</v>
      </c>
      <c r="AO302" s="50">
        <v>3544169723.23</v>
      </c>
      <c r="AP302" s="37" t="s">
        <v>1902</v>
      </c>
    </row>
    <row r="303" spans="1:42" customFormat="1" ht="89.25" x14ac:dyDescent="0.25">
      <c r="A303" s="36">
        <v>302</v>
      </c>
      <c r="B303" s="37" t="s">
        <v>264</v>
      </c>
      <c r="C303" s="37" t="s">
        <v>265</v>
      </c>
      <c r="D303" s="38" t="s">
        <v>2388</v>
      </c>
      <c r="E303" s="37" t="s">
        <v>1550</v>
      </c>
      <c r="F303" s="37" t="s">
        <v>1551</v>
      </c>
      <c r="G303" s="65" t="s">
        <v>1552</v>
      </c>
      <c r="H303" s="36">
        <v>2023</v>
      </c>
      <c r="I303" s="37" t="s">
        <v>1553</v>
      </c>
      <c r="J303" s="38" t="s">
        <v>1554</v>
      </c>
      <c r="K303" s="87" t="s">
        <v>25</v>
      </c>
      <c r="L303" s="38" t="s">
        <v>2404</v>
      </c>
      <c r="M303" s="37" t="s">
        <v>1495</v>
      </c>
      <c r="N303" s="36">
        <v>45</v>
      </c>
      <c r="O303" s="38" t="s">
        <v>786</v>
      </c>
      <c r="P303" s="36" t="s">
        <v>787</v>
      </c>
      <c r="Q303" s="37" t="s">
        <v>788</v>
      </c>
      <c r="R303" s="171" t="s">
        <v>1566</v>
      </c>
      <c r="S303" s="112" t="s">
        <v>232</v>
      </c>
      <c r="T303" s="113" t="s">
        <v>1567</v>
      </c>
      <c r="U303" s="112" t="s">
        <v>1473</v>
      </c>
      <c r="V303" s="171" t="s">
        <v>1568</v>
      </c>
      <c r="W303" s="112" t="s">
        <v>1569</v>
      </c>
      <c r="X303" s="41" t="s">
        <v>2000</v>
      </c>
      <c r="Y303" s="37" t="s">
        <v>36</v>
      </c>
      <c r="Z303" s="62">
        <v>2</v>
      </c>
      <c r="AA303" s="36" t="s">
        <v>2185</v>
      </c>
      <c r="AB303" s="37" t="s">
        <v>2186</v>
      </c>
      <c r="AC303" s="37" t="s">
        <v>2205</v>
      </c>
      <c r="AD303" s="37" t="s">
        <v>1547</v>
      </c>
      <c r="AE303" s="37" t="s">
        <v>2408</v>
      </c>
      <c r="AF303" s="37" t="s">
        <v>2187</v>
      </c>
      <c r="AG303" s="42">
        <v>1</v>
      </c>
      <c r="AH303" s="43">
        <v>1</v>
      </c>
      <c r="AI303" s="44">
        <v>1</v>
      </c>
      <c r="AJ303" s="45">
        <v>1</v>
      </c>
      <c r="AK303" s="46">
        <v>790000000</v>
      </c>
      <c r="AL303" s="47">
        <v>845728520</v>
      </c>
      <c r="AM303" s="48">
        <v>878691906.91999996</v>
      </c>
      <c r="AN303" s="49">
        <v>930271121.86000001</v>
      </c>
      <c r="AO303" s="50">
        <v>3444691548.7800002</v>
      </c>
      <c r="AP303" s="37" t="s">
        <v>1902</v>
      </c>
    </row>
    <row r="304" spans="1:42" customFormat="1" ht="89.25" x14ac:dyDescent="0.25">
      <c r="A304" s="36">
        <v>303</v>
      </c>
      <c r="B304" s="37" t="s">
        <v>264</v>
      </c>
      <c r="C304" s="37" t="s">
        <v>265</v>
      </c>
      <c r="D304" s="38" t="s">
        <v>2388</v>
      </c>
      <c r="E304" s="37" t="s">
        <v>1550</v>
      </c>
      <c r="F304" s="37" t="s">
        <v>1551</v>
      </c>
      <c r="G304" s="65" t="s">
        <v>1552</v>
      </c>
      <c r="H304" s="36">
        <v>2023</v>
      </c>
      <c r="I304" s="37" t="s">
        <v>1553</v>
      </c>
      <c r="J304" s="38" t="s">
        <v>1554</v>
      </c>
      <c r="K304" s="87" t="s">
        <v>25</v>
      </c>
      <c r="L304" s="38" t="s">
        <v>2404</v>
      </c>
      <c r="M304" s="37" t="s">
        <v>1495</v>
      </c>
      <c r="N304" s="36">
        <v>45</v>
      </c>
      <c r="O304" s="38" t="s">
        <v>786</v>
      </c>
      <c r="P304" s="36" t="s">
        <v>787</v>
      </c>
      <c r="Q304" s="37" t="s">
        <v>788</v>
      </c>
      <c r="R304" s="36" t="s">
        <v>789</v>
      </c>
      <c r="S304" s="112" t="s">
        <v>790</v>
      </c>
      <c r="T304" s="113" t="s">
        <v>791</v>
      </c>
      <c r="U304" s="112" t="s">
        <v>792</v>
      </c>
      <c r="V304" s="171" t="s">
        <v>793</v>
      </c>
      <c r="W304" s="112" t="s">
        <v>794</v>
      </c>
      <c r="X304" s="41" t="s">
        <v>1570</v>
      </c>
      <c r="Y304" s="37" t="s">
        <v>36</v>
      </c>
      <c r="Z304" s="62">
        <v>0</v>
      </c>
      <c r="AA304" s="36" t="s">
        <v>2185</v>
      </c>
      <c r="AB304" s="37" t="s">
        <v>2186</v>
      </c>
      <c r="AC304" s="36" t="s">
        <v>2187</v>
      </c>
      <c r="AD304" s="37" t="s">
        <v>1547</v>
      </c>
      <c r="AE304" s="37" t="s">
        <v>2408</v>
      </c>
      <c r="AF304" s="37" t="s">
        <v>2187</v>
      </c>
      <c r="AG304" s="19">
        <v>1</v>
      </c>
      <c r="AH304" s="20">
        <v>1</v>
      </c>
      <c r="AI304" s="21">
        <v>1</v>
      </c>
      <c r="AJ304" s="22">
        <v>1</v>
      </c>
      <c r="AK304" s="46">
        <v>2369400000</v>
      </c>
      <c r="AL304" s="47">
        <v>2404035780</v>
      </c>
      <c r="AM304" s="48">
        <v>2422950253.3899999</v>
      </c>
      <c r="AN304" s="49">
        <v>2402088284.9699998</v>
      </c>
      <c r="AO304" s="50">
        <v>9598474318.3600006</v>
      </c>
      <c r="AP304" s="37" t="s">
        <v>1902</v>
      </c>
    </row>
    <row r="305" spans="1:42" customFormat="1" ht="89.25" x14ac:dyDescent="0.25">
      <c r="A305" s="36">
        <v>304</v>
      </c>
      <c r="B305" s="37" t="s">
        <v>264</v>
      </c>
      <c r="C305" s="37" t="s">
        <v>265</v>
      </c>
      <c r="D305" s="38" t="s">
        <v>2388</v>
      </c>
      <c r="E305" s="37" t="s">
        <v>1550</v>
      </c>
      <c r="F305" s="37" t="s">
        <v>1551</v>
      </c>
      <c r="G305" s="65" t="s">
        <v>1552</v>
      </c>
      <c r="H305" s="36">
        <v>2023</v>
      </c>
      <c r="I305" s="37" t="s">
        <v>1553</v>
      </c>
      <c r="J305" s="38" t="s">
        <v>1554</v>
      </c>
      <c r="K305" s="87" t="s">
        <v>25</v>
      </c>
      <c r="L305" s="38" t="s">
        <v>2404</v>
      </c>
      <c r="M305" s="37" t="s">
        <v>1495</v>
      </c>
      <c r="N305" s="51">
        <v>12</v>
      </c>
      <c r="O305" s="58" t="s">
        <v>1571</v>
      </c>
      <c r="P305" s="36" t="s">
        <v>1572</v>
      </c>
      <c r="Q305" s="37" t="s">
        <v>1573</v>
      </c>
      <c r="R305" s="36" t="s">
        <v>1574</v>
      </c>
      <c r="S305" s="112" t="s">
        <v>1575</v>
      </c>
      <c r="T305" s="113" t="s">
        <v>1576</v>
      </c>
      <c r="U305" s="112" t="s">
        <v>369</v>
      </c>
      <c r="V305" s="171" t="s">
        <v>1577</v>
      </c>
      <c r="W305" s="112" t="s">
        <v>1578</v>
      </c>
      <c r="X305" s="41" t="s">
        <v>2001</v>
      </c>
      <c r="Y305" s="37" t="s">
        <v>36</v>
      </c>
      <c r="Z305" s="62">
        <v>0</v>
      </c>
      <c r="AA305" s="36" t="s">
        <v>2185</v>
      </c>
      <c r="AB305" s="37" t="s">
        <v>2186</v>
      </c>
      <c r="AC305" s="36" t="s">
        <v>2187</v>
      </c>
      <c r="AD305" s="37" t="s">
        <v>1547</v>
      </c>
      <c r="AE305" s="37" t="s">
        <v>2408</v>
      </c>
      <c r="AF305" s="37" t="s">
        <v>2187</v>
      </c>
      <c r="AG305" s="71">
        <v>0.25</v>
      </c>
      <c r="AH305" s="53">
        <v>0.25</v>
      </c>
      <c r="AI305" s="54">
        <v>0.25</v>
      </c>
      <c r="AJ305" s="55">
        <v>0.25</v>
      </c>
      <c r="AK305" s="46">
        <v>780059607</v>
      </c>
      <c r="AL305" s="47">
        <v>812791305</v>
      </c>
      <c r="AM305" s="48">
        <v>775073290.5</v>
      </c>
      <c r="AN305" s="49">
        <v>580567880.08000004</v>
      </c>
      <c r="AO305" s="50">
        <v>2948492082.5799999</v>
      </c>
      <c r="AP305" s="37" t="s">
        <v>1902</v>
      </c>
    </row>
    <row r="306" spans="1:42" customFormat="1" ht="114.75" x14ac:dyDescent="0.25">
      <c r="A306" s="36">
        <v>305</v>
      </c>
      <c r="B306" s="38" t="s">
        <v>264</v>
      </c>
      <c r="C306" s="37" t="s">
        <v>265</v>
      </c>
      <c r="D306" s="38" t="s">
        <v>2388</v>
      </c>
      <c r="E306" s="37" t="s">
        <v>1579</v>
      </c>
      <c r="F306" s="38" t="s">
        <v>1580</v>
      </c>
      <c r="G306" s="65">
        <v>0.8</v>
      </c>
      <c r="H306" s="36">
        <v>2023</v>
      </c>
      <c r="I306" s="37" t="s">
        <v>1581</v>
      </c>
      <c r="J306" s="38" t="s">
        <v>1582</v>
      </c>
      <c r="K306" s="87" t="s">
        <v>25</v>
      </c>
      <c r="L306" s="38" t="s">
        <v>2404</v>
      </c>
      <c r="M306" s="37" t="s">
        <v>1495</v>
      </c>
      <c r="N306" s="36">
        <v>41</v>
      </c>
      <c r="O306" s="37" t="s">
        <v>2112</v>
      </c>
      <c r="P306" s="36" t="s">
        <v>1583</v>
      </c>
      <c r="Q306" s="37" t="s">
        <v>1584</v>
      </c>
      <c r="R306" s="171" t="s">
        <v>1585</v>
      </c>
      <c r="S306" s="112" t="s">
        <v>1586</v>
      </c>
      <c r="T306" s="113" t="s">
        <v>1587</v>
      </c>
      <c r="U306" s="113" t="s">
        <v>1588</v>
      </c>
      <c r="V306" s="171" t="s">
        <v>1589</v>
      </c>
      <c r="W306" s="112" t="s">
        <v>1590</v>
      </c>
      <c r="X306" s="41" t="s">
        <v>2074</v>
      </c>
      <c r="Y306" s="38" t="s">
        <v>36</v>
      </c>
      <c r="Z306" s="62">
        <v>500</v>
      </c>
      <c r="AA306" s="36" t="s">
        <v>2185</v>
      </c>
      <c r="AB306" s="38" t="s">
        <v>2186</v>
      </c>
      <c r="AC306" s="36" t="s">
        <v>2187</v>
      </c>
      <c r="AD306" s="38" t="s">
        <v>1547</v>
      </c>
      <c r="AE306" s="38" t="s">
        <v>2408</v>
      </c>
      <c r="AF306" s="37" t="s">
        <v>2187</v>
      </c>
      <c r="AG306" s="42">
        <v>500</v>
      </c>
      <c r="AH306" s="43">
        <v>500</v>
      </c>
      <c r="AI306" s="44">
        <v>500</v>
      </c>
      <c r="AJ306" s="45">
        <v>500</v>
      </c>
      <c r="AK306" s="46">
        <v>100000000</v>
      </c>
      <c r="AL306" s="47">
        <v>105870000</v>
      </c>
      <c r="AM306" s="48">
        <v>109945995</v>
      </c>
      <c r="AN306" s="49">
        <v>116399824.91</v>
      </c>
      <c r="AO306" s="50">
        <v>432215819.91000003</v>
      </c>
      <c r="AP306" s="37" t="s">
        <v>1902</v>
      </c>
    </row>
    <row r="307" spans="1:42" customFormat="1" ht="102" x14ac:dyDescent="0.25">
      <c r="A307" s="36">
        <v>306</v>
      </c>
      <c r="B307" s="38" t="s">
        <v>264</v>
      </c>
      <c r="C307" s="37" t="s">
        <v>265</v>
      </c>
      <c r="D307" s="38" t="s">
        <v>2388</v>
      </c>
      <c r="E307" s="37" t="s">
        <v>1579</v>
      </c>
      <c r="F307" s="38" t="s">
        <v>1580</v>
      </c>
      <c r="G307" s="65">
        <v>0.8</v>
      </c>
      <c r="H307" s="36">
        <v>2023</v>
      </c>
      <c r="I307" s="37" t="s">
        <v>1581</v>
      </c>
      <c r="J307" s="38" t="s">
        <v>1582</v>
      </c>
      <c r="K307" s="87" t="s">
        <v>25</v>
      </c>
      <c r="L307" s="38" t="s">
        <v>2404</v>
      </c>
      <c r="M307" s="37" t="s">
        <v>1495</v>
      </c>
      <c r="N307" s="36">
        <v>41</v>
      </c>
      <c r="O307" s="38" t="s">
        <v>2112</v>
      </c>
      <c r="P307" s="36" t="s">
        <v>1583</v>
      </c>
      <c r="Q307" s="37" t="s">
        <v>1584</v>
      </c>
      <c r="R307" s="36">
        <v>4101074</v>
      </c>
      <c r="S307" s="112" t="s">
        <v>1591</v>
      </c>
      <c r="T307" s="113" t="s">
        <v>1592</v>
      </c>
      <c r="U307" s="113" t="s">
        <v>807</v>
      </c>
      <c r="V307" s="171" t="s">
        <v>1593</v>
      </c>
      <c r="W307" s="112" t="s">
        <v>1594</v>
      </c>
      <c r="X307" s="41" t="s">
        <v>1595</v>
      </c>
      <c r="Y307" s="38" t="s">
        <v>36</v>
      </c>
      <c r="Z307" s="62">
        <v>200</v>
      </c>
      <c r="AA307" s="36" t="s">
        <v>2185</v>
      </c>
      <c r="AB307" s="38" t="s">
        <v>2186</v>
      </c>
      <c r="AC307" s="36" t="s">
        <v>2187</v>
      </c>
      <c r="AD307" s="38" t="s">
        <v>1547</v>
      </c>
      <c r="AE307" s="38" t="s">
        <v>2408</v>
      </c>
      <c r="AF307" s="37" t="s">
        <v>2187</v>
      </c>
      <c r="AG307" s="42">
        <v>20</v>
      </c>
      <c r="AH307" s="43">
        <v>30</v>
      </c>
      <c r="AI307" s="44">
        <v>30</v>
      </c>
      <c r="AJ307" s="45">
        <v>20</v>
      </c>
      <c r="AK307" s="46">
        <v>50000000</v>
      </c>
      <c r="AL307" s="47">
        <v>52935000</v>
      </c>
      <c r="AM307" s="48">
        <v>54972997.5</v>
      </c>
      <c r="AN307" s="49">
        <v>58199912.450000003</v>
      </c>
      <c r="AO307" s="50">
        <v>216107909.94999999</v>
      </c>
      <c r="AP307" s="37" t="s">
        <v>1902</v>
      </c>
    </row>
    <row r="308" spans="1:42" customFormat="1" ht="102" x14ac:dyDescent="0.25">
      <c r="A308" s="36">
        <v>307</v>
      </c>
      <c r="B308" s="38" t="s">
        <v>264</v>
      </c>
      <c r="C308" s="37" t="s">
        <v>265</v>
      </c>
      <c r="D308" s="38" t="s">
        <v>2388</v>
      </c>
      <c r="E308" s="37" t="s">
        <v>1579</v>
      </c>
      <c r="F308" s="38" t="s">
        <v>1580</v>
      </c>
      <c r="G308" s="65">
        <v>0.8</v>
      </c>
      <c r="H308" s="36">
        <v>2023</v>
      </c>
      <c r="I308" s="37" t="s">
        <v>1581</v>
      </c>
      <c r="J308" s="38" t="s">
        <v>1582</v>
      </c>
      <c r="K308" s="87" t="s">
        <v>25</v>
      </c>
      <c r="L308" s="38" t="s">
        <v>2404</v>
      </c>
      <c r="M308" s="37" t="s">
        <v>1495</v>
      </c>
      <c r="N308" s="36">
        <v>41</v>
      </c>
      <c r="O308" s="38" t="s">
        <v>2112</v>
      </c>
      <c r="P308" s="36" t="s">
        <v>1583</v>
      </c>
      <c r="Q308" s="37" t="s">
        <v>1584</v>
      </c>
      <c r="R308" s="36" t="s">
        <v>1596</v>
      </c>
      <c r="S308" s="112" t="s">
        <v>1597</v>
      </c>
      <c r="T308" s="113" t="s">
        <v>1598</v>
      </c>
      <c r="U308" s="113" t="s">
        <v>1599</v>
      </c>
      <c r="V308" s="171" t="s">
        <v>1600</v>
      </c>
      <c r="W308" s="112" t="s">
        <v>1601</v>
      </c>
      <c r="X308" s="41" t="s">
        <v>1602</v>
      </c>
      <c r="Y308" s="38" t="s">
        <v>25</v>
      </c>
      <c r="Z308" s="65">
        <v>1</v>
      </c>
      <c r="AA308" s="36" t="s">
        <v>2185</v>
      </c>
      <c r="AB308" s="38" t="s">
        <v>2208</v>
      </c>
      <c r="AC308" s="36" t="s">
        <v>2187</v>
      </c>
      <c r="AD308" s="38" t="s">
        <v>1547</v>
      </c>
      <c r="AE308" s="38" t="s">
        <v>2408</v>
      </c>
      <c r="AF308" s="37" t="s">
        <v>2187</v>
      </c>
      <c r="AG308" s="83">
        <v>0.25</v>
      </c>
      <c r="AH308" s="84">
        <v>0.25</v>
      </c>
      <c r="AI308" s="85">
        <v>0.25</v>
      </c>
      <c r="AJ308" s="86">
        <v>0.25</v>
      </c>
      <c r="AK308" s="46">
        <v>100000000</v>
      </c>
      <c r="AL308" s="47">
        <v>105870000</v>
      </c>
      <c r="AM308" s="48">
        <v>109945995</v>
      </c>
      <c r="AN308" s="49">
        <v>116399824.91</v>
      </c>
      <c r="AO308" s="50">
        <v>432215819.91000003</v>
      </c>
      <c r="AP308" s="37" t="s">
        <v>1902</v>
      </c>
    </row>
    <row r="309" spans="1:42" customFormat="1" ht="102" x14ac:dyDescent="0.25">
      <c r="A309" s="36">
        <v>308</v>
      </c>
      <c r="B309" s="38" t="s">
        <v>264</v>
      </c>
      <c r="C309" s="37" t="s">
        <v>265</v>
      </c>
      <c r="D309" s="38" t="s">
        <v>2388</v>
      </c>
      <c r="E309" s="37" t="s">
        <v>1579</v>
      </c>
      <c r="F309" s="38" t="s">
        <v>1580</v>
      </c>
      <c r="G309" s="65">
        <v>0.8</v>
      </c>
      <c r="H309" s="36">
        <v>2023</v>
      </c>
      <c r="I309" s="37" t="s">
        <v>1581</v>
      </c>
      <c r="J309" s="38" t="s">
        <v>1582</v>
      </c>
      <c r="K309" s="87" t="s">
        <v>25</v>
      </c>
      <c r="L309" s="38" t="s">
        <v>2404</v>
      </c>
      <c r="M309" s="37" t="s">
        <v>1495</v>
      </c>
      <c r="N309" s="36">
        <v>41</v>
      </c>
      <c r="O309" s="38" t="s">
        <v>2112</v>
      </c>
      <c r="P309" s="36" t="s">
        <v>1583</v>
      </c>
      <c r="Q309" s="37" t="s">
        <v>1584</v>
      </c>
      <c r="R309" s="36" t="s">
        <v>1603</v>
      </c>
      <c r="S309" s="112" t="s">
        <v>1604</v>
      </c>
      <c r="T309" s="113" t="s">
        <v>1605</v>
      </c>
      <c r="U309" s="113" t="s">
        <v>1606</v>
      </c>
      <c r="V309" s="171" t="s">
        <v>1607</v>
      </c>
      <c r="W309" s="112" t="s">
        <v>1608</v>
      </c>
      <c r="X309" s="41" t="s">
        <v>1609</v>
      </c>
      <c r="Y309" s="38" t="s">
        <v>36</v>
      </c>
      <c r="Z309" s="62">
        <v>1</v>
      </c>
      <c r="AA309" s="36" t="s">
        <v>2185</v>
      </c>
      <c r="AB309" s="38" t="s">
        <v>2186</v>
      </c>
      <c r="AC309" s="36" t="s">
        <v>2187</v>
      </c>
      <c r="AD309" s="38" t="s">
        <v>1547</v>
      </c>
      <c r="AE309" s="38" t="s">
        <v>2408</v>
      </c>
      <c r="AF309" s="37" t="s">
        <v>2187</v>
      </c>
      <c r="AG309" s="52">
        <v>0</v>
      </c>
      <c r="AH309" s="53">
        <v>0</v>
      </c>
      <c r="AI309" s="54">
        <v>0.25</v>
      </c>
      <c r="AJ309" s="55">
        <v>0.75</v>
      </c>
      <c r="AK309" s="46">
        <v>0</v>
      </c>
      <c r="AL309" s="47">
        <v>0</v>
      </c>
      <c r="AM309" s="48">
        <v>311550000</v>
      </c>
      <c r="AN309" s="49">
        <v>329837985</v>
      </c>
      <c r="AO309" s="50">
        <v>641387985</v>
      </c>
      <c r="AP309" s="37" t="s">
        <v>1902</v>
      </c>
    </row>
    <row r="310" spans="1:42" customFormat="1" ht="102" x14ac:dyDescent="0.25">
      <c r="A310" s="36">
        <v>309</v>
      </c>
      <c r="B310" s="38" t="s">
        <v>264</v>
      </c>
      <c r="C310" s="37" t="s">
        <v>265</v>
      </c>
      <c r="D310" s="38" t="s">
        <v>2388</v>
      </c>
      <c r="E310" s="37" t="s">
        <v>1579</v>
      </c>
      <c r="F310" s="38" t="s">
        <v>1580</v>
      </c>
      <c r="G310" s="65">
        <v>0.8</v>
      </c>
      <c r="H310" s="36">
        <v>2023</v>
      </c>
      <c r="I310" s="37" t="s">
        <v>1581</v>
      </c>
      <c r="J310" s="38" t="s">
        <v>1582</v>
      </c>
      <c r="K310" s="87" t="s">
        <v>25</v>
      </c>
      <c r="L310" s="38" t="s">
        <v>2404</v>
      </c>
      <c r="M310" s="37" t="s">
        <v>1495</v>
      </c>
      <c r="N310" s="36">
        <v>41</v>
      </c>
      <c r="O310" s="38" t="s">
        <v>2112</v>
      </c>
      <c r="P310" s="36" t="s">
        <v>1583</v>
      </c>
      <c r="Q310" s="37" t="s">
        <v>1584</v>
      </c>
      <c r="R310" s="36" t="s">
        <v>1603</v>
      </c>
      <c r="S310" s="112" t="s">
        <v>1604</v>
      </c>
      <c r="T310" s="113" t="s">
        <v>1605</v>
      </c>
      <c r="U310" s="113" t="s">
        <v>1606</v>
      </c>
      <c r="V310" s="171" t="s">
        <v>1607</v>
      </c>
      <c r="W310" s="112" t="s">
        <v>1608</v>
      </c>
      <c r="X310" s="41" t="s">
        <v>1610</v>
      </c>
      <c r="Y310" s="38" t="s">
        <v>36</v>
      </c>
      <c r="Z310" s="62">
        <v>89</v>
      </c>
      <c r="AA310" s="36" t="s">
        <v>2185</v>
      </c>
      <c r="AB310" s="38" t="s">
        <v>2208</v>
      </c>
      <c r="AC310" s="36" t="s">
        <v>2187</v>
      </c>
      <c r="AD310" s="38" t="s">
        <v>1547</v>
      </c>
      <c r="AE310" s="38" t="s">
        <v>2408</v>
      </c>
      <c r="AF310" s="37" t="s">
        <v>2187</v>
      </c>
      <c r="AG310" s="42">
        <v>30</v>
      </c>
      <c r="AH310" s="43">
        <v>50</v>
      </c>
      <c r="AI310" s="44">
        <v>40</v>
      </c>
      <c r="AJ310" s="45">
        <v>30</v>
      </c>
      <c r="AK310" s="46">
        <v>100000000</v>
      </c>
      <c r="AL310" s="47">
        <v>105870000</v>
      </c>
      <c r="AM310" s="48">
        <v>109945995</v>
      </c>
      <c r="AN310" s="49">
        <v>116399824.91</v>
      </c>
      <c r="AO310" s="50">
        <v>432215819.91000003</v>
      </c>
      <c r="AP310" s="37" t="s">
        <v>1902</v>
      </c>
    </row>
    <row r="311" spans="1:42" customFormat="1" ht="102" x14ac:dyDescent="0.25">
      <c r="A311" s="36">
        <v>310</v>
      </c>
      <c r="B311" s="38" t="s">
        <v>264</v>
      </c>
      <c r="C311" s="37" t="s">
        <v>265</v>
      </c>
      <c r="D311" s="38" t="s">
        <v>2388</v>
      </c>
      <c r="E311" s="37" t="s">
        <v>1579</v>
      </c>
      <c r="F311" s="38" t="s">
        <v>1580</v>
      </c>
      <c r="G311" s="65">
        <v>0.8</v>
      </c>
      <c r="H311" s="36">
        <v>2023</v>
      </c>
      <c r="I311" s="37" t="s">
        <v>1581</v>
      </c>
      <c r="J311" s="38" t="s">
        <v>1582</v>
      </c>
      <c r="K311" s="87" t="s">
        <v>25</v>
      </c>
      <c r="L311" s="38" t="s">
        <v>2404</v>
      </c>
      <c r="M311" s="37" t="s">
        <v>1495</v>
      </c>
      <c r="N311" s="36">
        <v>41</v>
      </c>
      <c r="O311" s="38" t="s">
        <v>2112</v>
      </c>
      <c r="P311" s="36" t="s">
        <v>1583</v>
      </c>
      <c r="Q311" s="37" t="s">
        <v>1584</v>
      </c>
      <c r="R311" s="36" t="s">
        <v>1611</v>
      </c>
      <c r="S311" s="112" t="s">
        <v>1612</v>
      </c>
      <c r="T311" s="113" t="s">
        <v>1613</v>
      </c>
      <c r="U311" s="113" t="s">
        <v>1614</v>
      </c>
      <c r="V311" s="171" t="s">
        <v>1615</v>
      </c>
      <c r="W311" s="112" t="s">
        <v>1614</v>
      </c>
      <c r="X311" s="41" t="s">
        <v>1616</v>
      </c>
      <c r="Y311" s="38" t="s">
        <v>36</v>
      </c>
      <c r="Z311" s="62">
        <v>850</v>
      </c>
      <c r="AA311" s="36" t="s">
        <v>2185</v>
      </c>
      <c r="AB311" s="38" t="s">
        <v>2405</v>
      </c>
      <c r="AC311" s="36" t="s">
        <v>2187</v>
      </c>
      <c r="AD311" s="38" t="s">
        <v>1547</v>
      </c>
      <c r="AE311" s="38" t="s">
        <v>2408</v>
      </c>
      <c r="AF311" s="37" t="s">
        <v>2187</v>
      </c>
      <c r="AG311" s="42">
        <v>100</v>
      </c>
      <c r="AH311" s="43">
        <v>100</v>
      </c>
      <c r="AI311" s="44">
        <v>100</v>
      </c>
      <c r="AJ311" s="45">
        <v>100</v>
      </c>
      <c r="AK311" s="46">
        <v>50000000</v>
      </c>
      <c r="AL311" s="47">
        <v>52935000</v>
      </c>
      <c r="AM311" s="48">
        <v>54972997.5</v>
      </c>
      <c r="AN311" s="49">
        <v>58199912.450000003</v>
      </c>
      <c r="AO311" s="50">
        <v>216107909.94999999</v>
      </c>
      <c r="AP311" s="37" t="s">
        <v>1902</v>
      </c>
    </row>
    <row r="312" spans="1:42" customFormat="1" ht="102" x14ac:dyDescent="0.25">
      <c r="A312" s="36">
        <v>311</v>
      </c>
      <c r="B312" s="38" t="s">
        <v>264</v>
      </c>
      <c r="C312" s="37" t="s">
        <v>265</v>
      </c>
      <c r="D312" s="38" t="s">
        <v>2388</v>
      </c>
      <c r="E312" s="37" t="s">
        <v>1579</v>
      </c>
      <c r="F312" s="38" t="s">
        <v>1580</v>
      </c>
      <c r="G312" s="65">
        <v>0.8</v>
      </c>
      <c r="H312" s="36">
        <v>2023</v>
      </c>
      <c r="I312" s="37" t="s">
        <v>1581</v>
      </c>
      <c r="J312" s="38" t="s">
        <v>1582</v>
      </c>
      <c r="K312" s="87" t="s">
        <v>25</v>
      </c>
      <c r="L312" s="38" t="s">
        <v>2404</v>
      </c>
      <c r="M312" s="37" t="s">
        <v>1495</v>
      </c>
      <c r="N312" s="36">
        <v>41</v>
      </c>
      <c r="O312" s="38" t="s">
        <v>2112</v>
      </c>
      <c r="P312" s="36" t="s">
        <v>1583</v>
      </c>
      <c r="Q312" s="37" t="s">
        <v>1584</v>
      </c>
      <c r="R312" s="36" t="s">
        <v>1617</v>
      </c>
      <c r="S312" s="112" t="s">
        <v>1618</v>
      </c>
      <c r="T312" s="113" t="s">
        <v>1619</v>
      </c>
      <c r="U312" s="113" t="s">
        <v>1620</v>
      </c>
      <c r="V312" s="171" t="s">
        <v>1621</v>
      </c>
      <c r="W312" s="112" t="s">
        <v>1622</v>
      </c>
      <c r="X312" s="41" t="s">
        <v>1623</v>
      </c>
      <c r="Y312" s="38" t="s">
        <v>36</v>
      </c>
      <c r="Z312" s="62">
        <v>6</v>
      </c>
      <c r="AA312" s="36" t="s">
        <v>2185</v>
      </c>
      <c r="AB312" s="38" t="s">
        <v>2186</v>
      </c>
      <c r="AC312" s="36" t="s">
        <v>2187</v>
      </c>
      <c r="AD312" s="38" t="s">
        <v>1547</v>
      </c>
      <c r="AE312" s="38" t="s">
        <v>2408</v>
      </c>
      <c r="AF312" s="37" t="s">
        <v>2187</v>
      </c>
      <c r="AG312" s="42">
        <v>2</v>
      </c>
      <c r="AH312" s="43">
        <v>4</v>
      </c>
      <c r="AI312" s="44">
        <v>3</v>
      </c>
      <c r="AJ312" s="45">
        <v>3</v>
      </c>
      <c r="AK312" s="46">
        <v>50000000</v>
      </c>
      <c r="AL312" s="47">
        <v>52935000</v>
      </c>
      <c r="AM312" s="48">
        <v>54972997.5</v>
      </c>
      <c r="AN312" s="49">
        <v>58199912.450000003</v>
      </c>
      <c r="AO312" s="50">
        <v>216107909.94999999</v>
      </c>
      <c r="AP312" s="37" t="s">
        <v>1902</v>
      </c>
    </row>
    <row r="313" spans="1:42" customFormat="1" ht="102" x14ac:dyDescent="0.25">
      <c r="A313" s="36">
        <v>312</v>
      </c>
      <c r="B313" s="38" t="s">
        <v>264</v>
      </c>
      <c r="C313" s="37" t="s">
        <v>265</v>
      </c>
      <c r="D313" s="38" t="s">
        <v>2388</v>
      </c>
      <c r="E313" s="37" t="s">
        <v>1579</v>
      </c>
      <c r="F313" s="38" t="s">
        <v>1580</v>
      </c>
      <c r="G313" s="65">
        <v>0.8</v>
      </c>
      <c r="H313" s="36">
        <v>2023</v>
      </c>
      <c r="I313" s="37" t="s">
        <v>1581</v>
      </c>
      <c r="J313" s="38" t="s">
        <v>1582</v>
      </c>
      <c r="K313" s="87" t="s">
        <v>25</v>
      </c>
      <c r="L313" s="38" t="s">
        <v>2404</v>
      </c>
      <c r="M313" s="37" t="s">
        <v>1495</v>
      </c>
      <c r="N313" s="36">
        <v>41</v>
      </c>
      <c r="O313" s="38" t="s">
        <v>2112</v>
      </c>
      <c r="P313" s="36" t="s">
        <v>1583</v>
      </c>
      <c r="Q313" s="37" t="s">
        <v>1584</v>
      </c>
      <c r="R313" s="36" t="s">
        <v>1624</v>
      </c>
      <c r="S313" s="112" t="s">
        <v>1625</v>
      </c>
      <c r="T313" s="113" t="s">
        <v>1626</v>
      </c>
      <c r="U313" s="113" t="s">
        <v>203</v>
      </c>
      <c r="V313" s="171" t="s">
        <v>1627</v>
      </c>
      <c r="W313" s="112" t="s">
        <v>1628</v>
      </c>
      <c r="X313" s="37" t="s">
        <v>2075</v>
      </c>
      <c r="Y313" s="38" t="s">
        <v>36</v>
      </c>
      <c r="Z313" s="62">
        <v>1500</v>
      </c>
      <c r="AA313" s="36" t="s">
        <v>2185</v>
      </c>
      <c r="AB313" s="38" t="s">
        <v>2186</v>
      </c>
      <c r="AC313" s="36" t="s">
        <v>2187</v>
      </c>
      <c r="AD313" s="38" t="s">
        <v>1547</v>
      </c>
      <c r="AE313" s="38" t="s">
        <v>2408</v>
      </c>
      <c r="AF313" s="37" t="s">
        <v>2187</v>
      </c>
      <c r="AG313" s="42">
        <v>500</v>
      </c>
      <c r="AH313" s="43">
        <v>500</v>
      </c>
      <c r="AI313" s="44">
        <v>500</v>
      </c>
      <c r="AJ313" s="45">
        <v>500</v>
      </c>
      <c r="AK313" s="46">
        <v>200000000</v>
      </c>
      <c r="AL313" s="47">
        <v>206640000</v>
      </c>
      <c r="AM313" s="48">
        <v>214595630</v>
      </c>
      <c r="AN313" s="49">
        <v>133454473</v>
      </c>
      <c r="AO313" s="50">
        <v>754690103</v>
      </c>
      <c r="AP313" s="37" t="s">
        <v>1902</v>
      </c>
    </row>
    <row r="314" spans="1:42" customFormat="1" ht="63.75" x14ac:dyDescent="0.25">
      <c r="A314" s="36">
        <v>313</v>
      </c>
      <c r="B314" s="37" t="s">
        <v>264</v>
      </c>
      <c r="C314" s="37" t="s">
        <v>265</v>
      </c>
      <c r="D314" s="38" t="s">
        <v>2388</v>
      </c>
      <c r="E314" s="37" t="s">
        <v>1629</v>
      </c>
      <c r="F314" s="37" t="s">
        <v>1630</v>
      </c>
      <c r="G314" s="65">
        <v>0.5</v>
      </c>
      <c r="H314" s="64">
        <v>2023</v>
      </c>
      <c r="I314" s="56" t="s">
        <v>1631</v>
      </c>
      <c r="J314" s="38" t="s">
        <v>1632</v>
      </c>
      <c r="K314" s="87" t="s">
        <v>25</v>
      </c>
      <c r="L314" s="38" t="s">
        <v>2191</v>
      </c>
      <c r="M314" s="37" t="s">
        <v>1495</v>
      </c>
      <c r="N314" s="36">
        <v>45</v>
      </c>
      <c r="O314" s="38" t="s">
        <v>786</v>
      </c>
      <c r="P314" s="36" t="s">
        <v>787</v>
      </c>
      <c r="Q314" s="37" t="s">
        <v>788</v>
      </c>
      <c r="R314" s="171" t="s">
        <v>1633</v>
      </c>
      <c r="S314" s="112" t="s">
        <v>201</v>
      </c>
      <c r="T314" s="113" t="s">
        <v>944</v>
      </c>
      <c r="U314" s="112" t="s">
        <v>203</v>
      </c>
      <c r="V314" s="171" t="s">
        <v>1634</v>
      </c>
      <c r="W314" s="112" t="s">
        <v>297</v>
      </c>
      <c r="X314" s="41" t="s">
        <v>2080</v>
      </c>
      <c r="Y314" s="37" t="s">
        <v>36</v>
      </c>
      <c r="Z314" s="62">
        <v>600</v>
      </c>
      <c r="AA314" s="36" t="s">
        <v>2185</v>
      </c>
      <c r="AB314" s="37" t="s">
        <v>2208</v>
      </c>
      <c r="AC314" s="36" t="s">
        <v>2187</v>
      </c>
      <c r="AD314" s="37" t="s">
        <v>1547</v>
      </c>
      <c r="AE314" s="37" t="s">
        <v>2210</v>
      </c>
      <c r="AF314" s="37" t="s">
        <v>2187</v>
      </c>
      <c r="AG314" s="42">
        <v>300</v>
      </c>
      <c r="AH314" s="43">
        <v>400</v>
      </c>
      <c r="AI314" s="44">
        <v>336</v>
      </c>
      <c r="AJ314" s="45">
        <v>100</v>
      </c>
      <c r="AK314" s="46">
        <v>70000000</v>
      </c>
      <c r="AL314" s="47">
        <v>74109000</v>
      </c>
      <c r="AM314" s="48">
        <v>76962196.5</v>
      </c>
      <c r="AN314" s="49">
        <v>81479877.430000007</v>
      </c>
      <c r="AO314" s="50">
        <v>302551073.93000001</v>
      </c>
      <c r="AP314" s="37" t="s">
        <v>1902</v>
      </c>
    </row>
    <row r="315" spans="1:42" customFormat="1" ht="57.75" customHeight="1" x14ac:dyDescent="0.25">
      <c r="A315" s="36">
        <v>314</v>
      </c>
      <c r="B315" s="37" t="s">
        <v>328</v>
      </c>
      <c r="C315" s="37" t="s">
        <v>465</v>
      </c>
      <c r="D315" s="38" t="s">
        <v>2384</v>
      </c>
      <c r="E315" s="80" t="s">
        <v>466</v>
      </c>
      <c r="F315" s="37" t="s">
        <v>467</v>
      </c>
      <c r="G315" s="36">
        <v>80</v>
      </c>
      <c r="H315" s="36">
        <v>2022</v>
      </c>
      <c r="I315" s="37" t="s">
        <v>1635</v>
      </c>
      <c r="J315" s="38" t="s">
        <v>469</v>
      </c>
      <c r="K315" s="37" t="s">
        <v>36</v>
      </c>
      <c r="L315" s="38"/>
      <c r="M315" s="37" t="s">
        <v>470</v>
      </c>
      <c r="N315" s="36">
        <v>45</v>
      </c>
      <c r="O315" s="38" t="s">
        <v>786</v>
      </c>
      <c r="P315" s="36">
        <v>4599</v>
      </c>
      <c r="Q315" s="37" t="s">
        <v>1143</v>
      </c>
      <c r="R315" s="36" t="s">
        <v>1636</v>
      </c>
      <c r="S315" s="112" t="s">
        <v>232</v>
      </c>
      <c r="T315" s="113" t="s">
        <v>1637</v>
      </c>
      <c r="U315" s="112" t="s">
        <v>1638</v>
      </c>
      <c r="V315" s="171" t="s">
        <v>1639</v>
      </c>
      <c r="W315" s="112" t="s">
        <v>1640</v>
      </c>
      <c r="X315" s="41" t="s">
        <v>1641</v>
      </c>
      <c r="Y315" s="37" t="s">
        <v>36</v>
      </c>
      <c r="Z315" s="62">
        <v>1</v>
      </c>
      <c r="AA315" s="36" t="s">
        <v>2185</v>
      </c>
      <c r="AB315" s="37" t="s">
        <v>2186</v>
      </c>
      <c r="AC315" s="36" t="s">
        <v>2187</v>
      </c>
      <c r="AD315" s="37" t="s">
        <v>2187</v>
      </c>
      <c r="AE315" s="37" t="s">
        <v>2210</v>
      </c>
      <c r="AF315" s="37" t="s">
        <v>2187</v>
      </c>
      <c r="AG315" s="71">
        <v>0.25</v>
      </c>
      <c r="AH315" s="53">
        <v>0.25</v>
      </c>
      <c r="AI315" s="54">
        <v>0.25</v>
      </c>
      <c r="AJ315" s="55">
        <v>0.25</v>
      </c>
      <c r="AK315" s="46">
        <v>200000000</v>
      </c>
      <c r="AL315" s="47">
        <v>211740000</v>
      </c>
      <c r="AM315" s="48">
        <v>223099851</v>
      </c>
      <c r="AN315" s="49">
        <v>236195812.25</v>
      </c>
      <c r="AO315" s="50">
        <v>871035663.25</v>
      </c>
      <c r="AP315" s="37" t="s">
        <v>1902</v>
      </c>
    </row>
    <row r="316" spans="1:42" customFormat="1" ht="48.75" customHeight="1" x14ac:dyDescent="0.25">
      <c r="A316" s="36">
        <v>315</v>
      </c>
      <c r="B316" s="37" t="s">
        <v>328</v>
      </c>
      <c r="C316" s="37" t="s">
        <v>465</v>
      </c>
      <c r="D316" s="38" t="s">
        <v>2384</v>
      </c>
      <c r="E316" s="80" t="s">
        <v>466</v>
      </c>
      <c r="F316" s="37" t="s">
        <v>467</v>
      </c>
      <c r="G316" s="36">
        <v>80</v>
      </c>
      <c r="H316" s="36">
        <v>2022</v>
      </c>
      <c r="I316" s="37" t="s">
        <v>1635</v>
      </c>
      <c r="J316" s="38" t="s">
        <v>469</v>
      </c>
      <c r="K316" s="37" t="s">
        <v>36</v>
      </c>
      <c r="L316" s="38"/>
      <c r="M316" s="37" t="s">
        <v>470</v>
      </c>
      <c r="N316" s="36">
        <v>45</v>
      </c>
      <c r="O316" s="38" t="s">
        <v>786</v>
      </c>
      <c r="P316" s="36">
        <v>4501</v>
      </c>
      <c r="Q316" s="37" t="s">
        <v>788</v>
      </c>
      <c r="R316" s="36" t="s">
        <v>1555</v>
      </c>
      <c r="S316" s="37" t="s">
        <v>2510</v>
      </c>
      <c r="T316" s="38" t="s">
        <v>2511</v>
      </c>
      <c r="U316" s="37" t="s">
        <v>500</v>
      </c>
      <c r="V316" s="36" t="s">
        <v>1558</v>
      </c>
      <c r="W316" s="37" t="s">
        <v>1559</v>
      </c>
      <c r="X316" s="41" t="s">
        <v>2409</v>
      </c>
      <c r="Y316" s="37" t="s">
        <v>36</v>
      </c>
      <c r="Z316" s="62">
        <v>0</v>
      </c>
      <c r="AA316" s="36" t="s">
        <v>2185</v>
      </c>
      <c r="AB316" s="37" t="s">
        <v>2186</v>
      </c>
      <c r="AC316" s="36" t="s">
        <v>2187</v>
      </c>
      <c r="AD316" s="37" t="s">
        <v>2187</v>
      </c>
      <c r="AE316" s="37" t="s">
        <v>2210</v>
      </c>
      <c r="AF316" s="37" t="s">
        <v>2187</v>
      </c>
      <c r="AG316" s="71">
        <v>0.25</v>
      </c>
      <c r="AH316" s="53">
        <v>0.25</v>
      </c>
      <c r="AI316" s="54">
        <v>0.25</v>
      </c>
      <c r="AJ316" s="55">
        <v>0.25</v>
      </c>
      <c r="AK316" s="46">
        <v>95000000</v>
      </c>
      <c r="AL316" s="47">
        <v>100576500</v>
      </c>
      <c r="AM316" s="48">
        <v>105838768.34999999</v>
      </c>
      <c r="AN316" s="49">
        <v>112051504.05</v>
      </c>
      <c r="AO316" s="50">
        <v>413466772.39999998</v>
      </c>
      <c r="AP316" s="37" t="s">
        <v>1902</v>
      </c>
    </row>
    <row r="317" spans="1:42" customFormat="1" ht="48.75" customHeight="1" x14ac:dyDescent="0.25">
      <c r="A317" s="36">
        <v>316</v>
      </c>
      <c r="B317" s="37" t="s">
        <v>328</v>
      </c>
      <c r="C317" s="37" t="s">
        <v>465</v>
      </c>
      <c r="D317" s="38" t="s">
        <v>2384</v>
      </c>
      <c r="E317" s="80" t="s">
        <v>466</v>
      </c>
      <c r="F317" s="37" t="s">
        <v>467</v>
      </c>
      <c r="G317" s="36">
        <v>80</v>
      </c>
      <c r="H317" s="36">
        <v>2022</v>
      </c>
      <c r="I317" s="37" t="s">
        <v>1635</v>
      </c>
      <c r="J317" s="38" t="s">
        <v>469</v>
      </c>
      <c r="K317" s="37" t="s">
        <v>36</v>
      </c>
      <c r="L317" s="38"/>
      <c r="M317" s="37" t="s">
        <v>470</v>
      </c>
      <c r="N317" s="36">
        <v>45</v>
      </c>
      <c r="O317" s="37" t="s">
        <v>786</v>
      </c>
      <c r="P317" s="36" t="s">
        <v>1488</v>
      </c>
      <c r="Q317" s="37" t="s">
        <v>1143</v>
      </c>
      <c r="R317" s="36" t="s">
        <v>1642</v>
      </c>
      <c r="S317" s="112" t="s">
        <v>1643</v>
      </c>
      <c r="T317" s="113" t="s">
        <v>1644</v>
      </c>
      <c r="U317" s="112" t="s">
        <v>968</v>
      </c>
      <c r="V317" s="171" t="s">
        <v>1645</v>
      </c>
      <c r="W317" s="112" t="s">
        <v>1646</v>
      </c>
      <c r="X317" s="41" t="s">
        <v>1647</v>
      </c>
      <c r="Y317" s="37" t="s">
        <v>36</v>
      </c>
      <c r="Z317" s="62">
        <v>0</v>
      </c>
      <c r="AA317" s="36" t="s">
        <v>2185</v>
      </c>
      <c r="AB317" s="37" t="s">
        <v>2208</v>
      </c>
      <c r="AC317" s="36" t="s">
        <v>2187</v>
      </c>
      <c r="AD317" s="37" t="s">
        <v>2187</v>
      </c>
      <c r="AE317" s="37" t="s">
        <v>2210</v>
      </c>
      <c r="AF317" s="37" t="s">
        <v>2187</v>
      </c>
      <c r="AG317" s="71">
        <v>0.25</v>
      </c>
      <c r="AH317" s="53">
        <v>0.25</v>
      </c>
      <c r="AI317" s="54">
        <v>0.25</v>
      </c>
      <c r="AJ317" s="55">
        <v>0.25</v>
      </c>
      <c r="AK317" s="46">
        <v>50000000</v>
      </c>
      <c r="AL317" s="47">
        <v>52935000</v>
      </c>
      <c r="AM317" s="48">
        <v>54972997.5</v>
      </c>
      <c r="AN317" s="49">
        <v>58199912.450000003</v>
      </c>
      <c r="AO317" s="50">
        <v>216107909.94999999</v>
      </c>
      <c r="AP317" s="37" t="s">
        <v>1902</v>
      </c>
    </row>
    <row r="318" spans="1:42" customFormat="1" ht="54.95" customHeight="1" x14ac:dyDescent="0.25">
      <c r="A318" s="36">
        <v>317</v>
      </c>
      <c r="B318" s="37" t="s">
        <v>264</v>
      </c>
      <c r="C318" s="37" t="s">
        <v>265</v>
      </c>
      <c r="D318" s="38" t="s">
        <v>2389</v>
      </c>
      <c r="E318" s="37" t="s">
        <v>1648</v>
      </c>
      <c r="F318" s="37" t="s">
        <v>1649</v>
      </c>
      <c r="G318" s="40">
        <v>0.46700000000000003</v>
      </c>
      <c r="H318" s="36">
        <v>2022</v>
      </c>
      <c r="I318" s="37" t="s">
        <v>1650</v>
      </c>
      <c r="J318" s="61" t="s">
        <v>1658</v>
      </c>
      <c r="K318" s="37" t="s">
        <v>25</v>
      </c>
      <c r="L318" s="38" t="s">
        <v>2188</v>
      </c>
      <c r="M318" s="37" t="s">
        <v>1721</v>
      </c>
      <c r="N318" s="36">
        <v>41</v>
      </c>
      <c r="O318" s="37" t="s">
        <v>2112</v>
      </c>
      <c r="P318" s="36" t="s">
        <v>803</v>
      </c>
      <c r="Q318" s="37" t="s">
        <v>830</v>
      </c>
      <c r="R318" s="36" t="s">
        <v>1651</v>
      </c>
      <c r="S318" s="37" t="s">
        <v>1652</v>
      </c>
      <c r="T318" s="38" t="s">
        <v>1653</v>
      </c>
      <c r="U318" s="37" t="s">
        <v>834</v>
      </c>
      <c r="V318" s="36" t="s">
        <v>1654</v>
      </c>
      <c r="W318" s="37" t="s">
        <v>1655</v>
      </c>
      <c r="X318" s="41" t="s">
        <v>1656</v>
      </c>
      <c r="Y318" s="37" t="s">
        <v>36</v>
      </c>
      <c r="Z318" s="36">
        <v>0</v>
      </c>
      <c r="AA318" s="36" t="s">
        <v>2185</v>
      </c>
      <c r="AB318" s="37" t="s">
        <v>2410</v>
      </c>
      <c r="AC318" s="36" t="s">
        <v>2189</v>
      </c>
      <c r="AD318" s="37" t="s">
        <v>2411</v>
      </c>
      <c r="AE318" s="37" t="s">
        <v>2190</v>
      </c>
      <c r="AF318" s="37" t="s">
        <v>2191</v>
      </c>
      <c r="AG318" s="42">
        <v>1</v>
      </c>
      <c r="AH318" s="43">
        <v>2</v>
      </c>
      <c r="AI318" s="44">
        <v>2</v>
      </c>
      <c r="AJ318" s="45">
        <v>2</v>
      </c>
      <c r="AK318" s="46">
        <v>195000000</v>
      </c>
      <c r="AL318" s="47">
        <v>206115000</v>
      </c>
      <c r="AM318" s="48">
        <v>212298450</v>
      </c>
      <c r="AN318" s="49">
        <v>218667403.5</v>
      </c>
      <c r="AO318" s="50">
        <v>832080853.5</v>
      </c>
      <c r="AP318" s="37" t="s">
        <v>2014</v>
      </c>
    </row>
    <row r="319" spans="1:42" customFormat="1" ht="54.95" customHeight="1" x14ac:dyDescent="0.25">
      <c r="A319" s="36">
        <v>318</v>
      </c>
      <c r="B319" s="37" t="s">
        <v>264</v>
      </c>
      <c r="C319" s="37" t="s">
        <v>265</v>
      </c>
      <c r="D319" s="38" t="s">
        <v>2389</v>
      </c>
      <c r="E319" s="37" t="s">
        <v>1648</v>
      </c>
      <c r="F319" s="37" t="s">
        <v>1649</v>
      </c>
      <c r="G319" s="40">
        <v>0.46700000000000003</v>
      </c>
      <c r="H319" s="36">
        <v>2022</v>
      </c>
      <c r="I319" s="37" t="s">
        <v>1650</v>
      </c>
      <c r="J319" s="61" t="s">
        <v>1658</v>
      </c>
      <c r="K319" s="37" t="s">
        <v>25</v>
      </c>
      <c r="L319" s="38" t="s">
        <v>2188</v>
      </c>
      <c r="M319" s="37" t="s">
        <v>1721</v>
      </c>
      <c r="N319" s="36">
        <v>41</v>
      </c>
      <c r="O319" s="37" t="s">
        <v>2112</v>
      </c>
      <c r="P319" s="36" t="s">
        <v>803</v>
      </c>
      <c r="Q319" s="37" t="s">
        <v>830</v>
      </c>
      <c r="R319" s="36" t="s">
        <v>1659</v>
      </c>
      <c r="S319" s="37" t="s">
        <v>1019</v>
      </c>
      <c r="T319" s="38" t="s">
        <v>1020</v>
      </c>
      <c r="U319" s="37" t="s">
        <v>834</v>
      </c>
      <c r="V319" s="36" t="s">
        <v>1660</v>
      </c>
      <c r="W319" s="37" t="s">
        <v>1021</v>
      </c>
      <c r="X319" s="41" t="s">
        <v>2065</v>
      </c>
      <c r="Y319" s="37" t="s">
        <v>36</v>
      </c>
      <c r="Z319" s="36">
        <v>0</v>
      </c>
      <c r="AA319" s="36" t="s">
        <v>2192</v>
      </c>
      <c r="AB319" s="38" t="s">
        <v>2410</v>
      </c>
      <c r="AC319" s="36" t="s">
        <v>2189</v>
      </c>
      <c r="AD319" s="37" t="s">
        <v>2411</v>
      </c>
      <c r="AE319" s="37" t="s">
        <v>2190</v>
      </c>
      <c r="AF319" s="37" t="s">
        <v>2191</v>
      </c>
      <c r="AG319" s="19">
        <v>42</v>
      </c>
      <c r="AH319" s="20">
        <v>42</v>
      </c>
      <c r="AI319" s="21">
        <v>42</v>
      </c>
      <c r="AJ319" s="22">
        <v>42</v>
      </c>
      <c r="AK319" s="46">
        <v>121740227.78</v>
      </c>
      <c r="AL319" s="47">
        <v>128679420.76000001</v>
      </c>
      <c r="AM319" s="48">
        <v>132539803.39</v>
      </c>
      <c r="AN319" s="49">
        <v>136515997.49000001</v>
      </c>
      <c r="AO319" s="50">
        <v>519475449.42000002</v>
      </c>
      <c r="AP319" s="37" t="s">
        <v>2014</v>
      </c>
    </row>
    <row r="320" spans="1:42" customFormat="1" ht="54.95" customHeight="1" x14ac:dyDescent="0.25">
      <c r="A320" s="36">
        <v>319</v>
      </c>
      <c r="B320" s="37" t="s">
        <v>264</v>
      </c>
      <c r="C320" s="37" t="s">
        <v>265</v>
      </c>
      <c r="D320" s="38" t="s">
        <v>2389</v>
      </c>
      <c r="E320" s="37" t="s">
        <v>1648</v>
      </c>
      <c r="F320" s="37" t="s">
        <v>1649</v>
      </c>
      <c r="G320" s="40">
        <v>0.46700000000000003</v>
      </c>
      <c r="H320" s="36">
        <v>2022</v>
      </c>
      <c r="I320" s="37" t="s">
        <v>1650</v>
      </c>
      <c r="J320" s="61" t="s">
        <v>1658</v>
      </c>
      <c r="K320" s="37" t="s">
        <v>25</v>
      </c>
      <c r="L320" s="38" t="s">
        <v>2188</v>
      </c>
      <c r="M320" s="37" t="s">
        <v>1721</v>
      </c>
      <c r="N320" s="36">
        <v>45</v>
      </c>
      <c r="O320" s="37" t="s">
        <v>786</v>
      </c>
      <c r="P320" s="36" t="s">
        <v>1467</v>
      </c>
      <c r="Q320" s="37" t="s">
        <v>1468</v>
      </c>
      <c r="R320" s="36" t="s">
        <v>1502</v>
      </c>
      <c r="S320" s="37" t="s">
        <v>1503</v>
      </c>
      <c r="T320" s="38" t="s">
        <v>1504</v>
      </c>
      <c r="U320" s="37" t="s">
        <v>792</v>
      </c>
      <c r="V320" s="36" t="s">
        <v>1505</v>
      </c>
      <c r="W320" s="37" t="s">
        <v>1506</v>
      </c>
      <c r="X320" s="41" t="s">
        <v>1661</v>
      </c>
      <c r="Y320" s="37" t="s">
        <v>36</v>
      </c>
      <c r="Z320" s="36">
        <v>14</v>
      </c>
      <c r="AA320" s="36" t="s">
        <v>2192</v>
      </c>
      <c r="AB320" s="38" t="s">
        <v>2410</v>
      </c>
      <c r="AC320" s="36" t="s">
        <v>2189</v>
      </c>
      <c r="AD320" s="37" t="s">
        <v>2412</v>
      </c>
      <c r="AE320" s="37" t="s">
        <v>2190</v>
      </c>
      <c r="AF320" s="37" t="s">
        <v>2191</v>
      </c>
      <c r="AG320" s="116">
        <v>18</v>
      </c>
      <c r="AH320" s="117">
        <v>18</v>
      </c>
      <c r="AI320" s="118">
        <v>18</v>
      </c>
      <c r="AJ320" s="119">
        <v>18</v>
      </c>
      <c r="AK320" s="46">
        <v>125000000</v>
      </c>
      <c r="AL320" s="47">
        <v>132125000</v>
      </c>
      <c r="AM320" s="48">
        <v>136088750</v>
      </c>
      <c r="AN320" s="49">
        <v>140171412.5</v>
      </c>
      <c r="AO320" s="50">
        <v>533385162.5</v>
      </c>
      <c r="AP320" s="37" t="s">
        <v>2014</v>
      </c>
    </row>
    <row r="321" spans="1:42" customFormat="1" ht="54.95" customHeight="1" x14ac:dyDescent="0.25">
      <c r="A321" s="36">
        <v>320</v>
      </c>
      <c r="B321" s="37" t="s">
        <v>264</v>
      </c>
      <c r="C321" s="37" t="s">
        <v>265</v>
      </c>
      <c r="D321" s="38" t="s">
        <v>2389</v>
      </c>
      <c r="E321" s="37" t="s">
        <v>1648</v>
      </c>
      <c r="F321" s="37" t="s">
        <v>1649</v>
      </c>
      <c r="G321" s="40">
        <v>0.46700000000000003</v>
      </c>
      <c r="H321" s="36">
        <v>2022</v>
      </c>
      <c r="I321" s="37" t="s">
        <v>1650</v>
      </c>
      <c r="J321" s="61" t="s">
        <v>1658</v>
      </c>
      <c r="K321" s="37" t="s">
        <v>25</v>
      </c>
      <c r="L321" s="38" t="s">
        <v>2188</v>
      </c>
      <c r="M321" s="37" t="s">
        <v>1721</v>
      </c>
      <c r="N321" s="36">
        <v>41</v>
      </c>
      <c r="O321" s="37" t="s">
        <v>2112</v>
      </c>
      <c r="P321" s="51" t="s">
        <v>1662</v>
      </c>
      <c r="Q321" s="58" t="s">
        <v>1663</v>
      </c>
      <c r="R321" s="51" t="s">
        <v>1664</v>
      </c>
      <c r="S321" s="37" t="s">
        <v>1665</v>
      </c>
      <c r="T321" s="38" t="s">
        <v>1666</v>
      </c>
      <c r="U321" s="37" t="s">
        <v>203</v>
      </c>
      <c r="V321" s="36">
        <v>410204500</v>
      </c>
      <c r="W321" s="37" t="s">
        <v>297</v>
      </c>
      <c r="X321" s="37" t="s">
        <v>2002</v>
      </c>
      <c r="Y321" s="37" t="s">
        <v>36</v>
      </c>
      <c r="Z321" s="36">
        <v>1112</v>
      </c>
      <c r="AA321" s="36" t="s">
        <v>2192</v>
      </c>
      <c r="AB321" s="38" t="s">
        <v>2410</v>
      </c>
      <c r="AC321" s="36" t="s">
        <v>2189</v>
      </c>
      <c r="AD321" s="37" t="s">
        <v>2412</v>
      </c>
      <c r="AE321" s="37" t="s">
        <v>2190</v>
      </c>
      <c r="AF321" s="37" t="s">
        <v>2191</v>
      </c>
      <c r="AG321" s="19">
        <v>2000</v>
      </c>
      <c r="AH321" s="20">
        <v>2000</v>
      </c>
      <c r="AI321" s="21">
        <v>2000</v>
      </c>
      <c r="AJ321" s="22">
        <v>2000</v>
      </c>
      <c r="AK321" s="46">
        <v>140000000</v>
      </c>
      <c r="AL321" s="47">
        <v>147980000</v>
      </c>
      <c r="AM321" s="48">
        <v>152419400</v>
      </c>
      <c r="AN321" s="49">
        <v>156991982</v>
      </c>
      <c r="AO321" s="50">
        <v>597391382</v>
      </c>
      <c r="AP321" s="37" t="s">
        <v>2014</v>
      </c>
    </row>
    <row r="322" spans="1:42" customFormat="1" ht="54.95" customHeight="1" x14ac:dyDescent="0.25">
      <c r="A322" s="36">
        <v>321</v>
      </c>
      <c r="B322" s="37" t="s">
        <v>264</v>
      </c>
      <c r="C322" s="37" t="s">
        <v>265</v>
      </c>
      <c r="D322" s="38" t="s">
        <v>2389</v>
      </c>
      <c r="E322" s="37" t="s">
        <v>1648</v>
      </c>
      <c r="F322" s="37" t="s">
        <v>1649</v>
      </c>
      <c r="G322" s="40">
        <v>0.46700000000000003</v>
      </c>
      <c r="H322" s="36">
        <v>2022</v>
      </c>
      <c r="I322" s="37" t="s">
        <v>1650</v>
      </c>
      <c r="J322" s="61" t="s">
        <v>1658</v>
      </c>
      <c r="K322" s="37" t="s">
        <v>25</v>
      </c>
      <c r="L322" s="38" t="s">
        <v>2188</v>
      </c>
      <c r="M322" s="37" t="s">
        <v>1721</v>
      </c>
      <c r="N322" s="36">
        <v>41</v>
      </c>
      <c r="O322" s="37" t="s">
        <v>2112</v>
      </c>
      <c r="P322" s="51" t="s">
        <v>1662</v>
      </c>
      <c r="Q322" s="58" t="s">
        <v>1663</v>
      </c>
      <c r="R322" s="51" t="s">
        <v>1667</v>
      </c>
      <c r="S322" s="58" t="s">
        <v>1562</v>
      </c>
      <c r="T322" s="59" t="s">
        <v>1668</v>
      </c>
      <c r="U322" s="37" t="s">
        <v>500</v>
      </c>
      <c r="V322" s="36">
        <v>410204000</v>
      </c>
      <c r="W322" s="37" t="s">
        <v>1565</v>
      </c>
      <c r="X322" s="37" t="s">
        <v>2066</v>
      </c>
      <c r="Y322" s="37" t="s">
        <v>36</v>
      </c>
      <c r="Z322" s="36">
        <v>0</v>
      </c>
      <c r="AA322" s="36" t="s">
        <v>2185</v>
      </c>
      <c r="AB322" s="38" t="s">
        <v>2410</v>
      </c>
      <c r="AC322" s="36" t="s">
        <v>2189</v>
      </c>
      <c r="AD322" s="37" t="s">
        <v>2412</v>
      </c>
      <c r="AE322" s="37" t="s">
        <v>2190</v>
      </c>
      <c r="AF322" s="37" t="s">
        <v>2191</v>
      </c>
      <c r="AG322" s="2">
        <v>0.25</v>
      </c>
      <c r="AH322" s="4">
        <v>0.25</v>
      </c>
      <c r="AI322" s="8">
        <v>0.25</v>
      </c>
      <c r="AJ322" s="6">
        <v>0.25</v>
      </c>
      <c r="AK322" s="46">
        <v>50000000</v>
      </c>
      <c r="AL322" s="47">
        <v>52850000</v>
      </c>
      <c r="AM322" s="48">
        <v>54435500</v>
      </c>
      <c r="AN322" s="49">
        <v>56068565</v>
      </c>
      <c r="AO322" s="50">
        <v>213354065</v>
      </c>
      <c r="AP322" s="37" t="s">
        <v>2014</v>
      </c>
    </row>
    <row r="323" spans="1:42" customFormat="1" ht="54.95" customHeight="1" x14ac:dyDescent="0.25">
      <c r="A323" s="36">
        <v>322</v>
      </c>
      <c r="B323" s="37" t="s">
        <v>264</v>
      </c>
      <c r="C323" s="37" t="s">
        <v>265</v>
      </c>
      <c r="D323" s="38" t="s">
        <v>2389</v>
      </c>
      <c r="E323" s="37" t="s">
        <v>1648</v>
      </c>
      <c r="F323" s="37" t="s">
        <v>1649</v>
      </c>
      <c r="G323" s="40">
        <v>0.46700000000000003</v>
      </c>
      <c r="H323" s="36">
        <v>2022</v>
      </c>
      <c r="I323" s="37" t="s">
        <v>1650</v>
      </c>
      <c r="J323" s="61" t="s">
        <v>1658</v>
      </c>
      <c r="K323" s="37" t="s">
        <v>25</v>
      </c>
      <c r="L323" s="38" t="s">
        <v>2188</v>
      </c>
      <c r="M323" s="37" t="s">
        <v>1721</v>
      </c>
      <c r="N323" s="36">
        <v>41</v>
      </c>
      <c r="O323" s="37" t="s">
        <v>2112</v>
      </c>
      <c r="P323" s="51" t="s">
        <v>1662</v>
      </c>
      <c r="Q323" s="58" t="s">
        <v>1663</v>
      </c>
      <c r="R323" s="51" t="s">
        <v>1669</v>
      </c>
      <c r="S323" s="58" t="s">
        <v>1670</v>
      </c>
      <c r="T323" s="59" t="s">
        <v>1671</v>
      </c>
      <c r="U323" s="37" t="s">
        <v>1672</v>
      </c>
      <c r="V323" s="36">
        <v>410204700</v>
      </c>
      <c r="W323" s="37" t="s">
        <v>1673</v>
      </c>
      <c r="X323" s="41" t="s">
        <v>2067</v>
      </c>
      <c r="Y323" s="37" t="s">
        <v>36</v>
      </c>
      <c r="Z323" s="36">
        <v>42</v>
      </c>
      <c r="AA323" s="36" t="s">
        <v>2192</v>
      </c>
      <c r="AB323" s="38" t="s">
        <v>2410</v>
      </c>
      <c r="AC323" s="36" t="s">
        <v>2189</v>
      </c>
      <c r="AD323" s="37" t="s">
        <v>2412</v>
      </c>
      <c r="AE323" s="37" t="s">
        <v>2190</v>
      </c>
      <c r="AF323" s="37" t="s">
        <v>2191</v>
      </c>
      <c r="AG323" s="19">
        <v>42</v>
      </c>
      <c r="AH323" s="20">
        <v>42</v>
      </c>
      <c r="AI323" s="21">
        <v>42</v>
      </c>
      <c r="AJ323" s="22">
        <v>42</v>
      </c>
      <c r="AK323" s="46">
        <v>64959534.590000004</v>
      </c>
      <c r="AL323" s="47">
        <v>68662228.060000002</v>
      </c>
      <c r="AM323" s="48">
        <v>70722094.900000006</v>
      </c>
      <c r="AN323" s="49">
        <v>72843757.75</v>
      </c>
      <c r="AO323" s="50">
        <v>277187615.30000001</v>
      </c>
      <c r="AP323" s="37" t="s">
        <v>2014</v>
      </c>
    </row>
    <row r="324" spans="1:42" customFormat="1" ht="63.75" x14ac:dyDescent="0.25">
      <c r="A324" s="36">
        <v>323</v>
      </c>
      <c r="B324" s="37" t="s">
        <v>264</v>
      </c>
      <c r="C324" s="37" t="s">
        <v>265</v>
      </c>
      <c r="D324" s="38" t="s">
        <v>2389</v>
      </c>
      <c r="E324" s="58" t="s">
        <v>638</v>
      </c>
      <c r="F324" s="58" t="s">
        <v>639</v>
      </c>
      <c r="G324" s="89">
        <v>2.75E-2</v>
      </c>
      <c r="H324" s="51">
        <v>2023</v>
      </c>
      <c r="I324" s="58" t="s">
        <v>640</v>
      </c>
      <c r="J324" s="90" t="s">
        <v>641</v>
      </c>
      <c r="K324" s="58" t="s">
        <v>25</v>
      </c>
      <c r="L324" s="38"/>
      <c r="M324" s="37" t="s">
        <v>642</v>
      </c>
      <c r="N324" s="36">
        <v>43</v>
      </c>
      <c r="O324" s="37" t="s">
        <v>1674</v>
      </c>
      <c r="P324" s="36" t="s">
        <v>644</v>
      </c>
      <c r="Q324" s="111" t="s">
        <v>2469</v>
      </c>
      <c r="R324" s="36" t="s">
        <v>1675</v>
      </c>
      <c r="S324" s="37" t="s">
        <v>647</v>
      </c>
      <c r="T324" s="38" t="s">
        <v>648</v>
      </c>
      <c r="U324" s="37" t="s">
        <v>203</v>
      </c>
      <c r="V324" s="36" t="s">
        <v>1676</v>
      </c>
      <c r="W324" s="37" t="s">
        <v>649</v>
      </c>
      <c r="X324" s="41" t="s">
        <v>2003</v>
      </c>
      <c r="Y324" s="37" t="s">
        <v>36</v>
      </c>
      <c r="Z324" s="36">
        <v>150</v>
      </c>
      <c r="AA324" s="36" t="s">
        <v>2192</v>
      </c>
      <c r="AB324" s="38" t="s">
        <v>2410</v>
      </c>
      <c r="AC324" s="36" t="s">
        <v>2189</v>
      </c>
      <c r="AD324" s="37" t="s">
        <v>2198</v>
      </c>
      <c r="AE324" s="37" t="s">
        <v>2191</v>
      </c>
      <c r="AF324" s="37" t="s">
        <v>2190</v>
      </c>
      <c r="AG324" s="19">
        <v>200</v>
      </c>
      <c r="AH324" s="20">
        <v>200</v>
      </c>
      <c r="AI324" s="21">
        <v>200</v>
      </c>
      <c r="AJ324" s="22">
        <v>200</v>
      </c>
      <c r="AK324" s="46">
        <v>86740227.780000001</v>
      </c>
      <c r="AL324" s="47">
        <v>91684420.760000005</v>
      </c>
      <c r="AM324" s="48">
        <v>94434953.390000001</v>
      </c>
      <c r="AN324" s="49">
        <v>97268001.989999995</v>
      </c>
      <c r="AO324" s="50">
        <v>370127603.92000002</v>
      </c>
      <c r="AP324" s="37" t="s">
        <v>2014</v>
      </c>
    </row>
    <row r="325" spans="1:42" customFormat="1" ht="54.95" customHeight="1" x14ac:dyDescent="0.25">
      <c r="A325" s="36">
        <v>324</v>
      </c>
      <c r="B325" s="37" t="s">
        <v>264</v>
      </c>
      <c r="C325" s="37" t="s">
        <v>265</v>
      </c>
      <c r="D325" s="38" t="s">
        <v>2389</v>
      </c>
      <c r="E325" s="37" t="s">
        <v>1648</v>
      </c>
      <c r="F325" s="37" t="s">
        <v>1649</v>
      </c>
      <c r="G325" s="40">
        <v>0.46700000000000003</v>
      </c>
      <c r="H325" s="36">
        <v>2022</v>
      </c>
      <c r="I325" s="37" t="s">
        <v>1650</v>
      </c>
      <c r="J325" s="61" t="s">
        <v>1658</v>
      </c>
      <c r="K325" s="37" t="s">
        <v>25</v>
      </c>
      <c r="L325" s="37" t="s">
        <v>27</v>
      </c>
      <c r="M325" s="37" t="s">
        <v>1721</v>
      </c>
      <c r="N325" s="36">
        <v>41</v>
      </c>
      <c r="O325" s="37" t="s">
        <v>2112</v>
      </c>
      <c r="P325" s="51">
        <v>4104</v>
      </c>
      <c r="Q325" s="58" t="s">
        <v>1677</v>
      </c>
      <c r="R325" s="51" t="s">
        <v>1678</v>
      </c>
      <c r="S325" s="58" t="s">
        <v>1679</v>
      </c>
      <c r="T325" s="38" t="s">
        <v>1680</v>
      </c>
      <c r="U325" s="37" t="s">
        <v>428</v>
      </c>
      <c r="V325" s="36" t="s">
        <v>1681</v>
      </c>
      <c r="W325" s="37" t="s">
        <v>1679</v>
      </c>
      <c r="X325" s="58" t="s">
        <v>1682</v>
      </c>
      <c r="Y325" s="37" t="s">
        <v>36</v>
      </c>
      <c r="Z325" s="36">
        <v>0</v>
      </c>
      <c r="AA325" s="36" t="s">
        <v>2185</v>
      </c>
      <c r="AB325" s="38" t="s">
        <v>2193</v>
      </c>
      <c r="AC325" s="37" t="s">
        <v>2194</v>
      </c>
      <c r="AD325" s="37" t="s">
        <v>1657</v>
      </c>
      <c r="AE325" s="37" t="s">
        <v>2190</v>
      </c>
      <c r="AF325" s="37" t="s">
        <v>2191</v>
      </c>
      <c r="AG325" s="19">
        <v>1</v>
      </c>
      <c r="AH325" s="20">
        <v>5</v>
      </c>
      <c r="AI325" s="21">
        <v>3</v>
      </c>
      <c r="AJ325" s="22">
        <v>3</v>
      </c>
      <c r="AK325" s="46">
        <v>89693501.950000003</v>
      </c>
      <c r="AL325" s="47">
        <v>94806031.560000002</v>
      </c>
      <c r="AM325" s="48">
        <v>97650212.510000005</v>
      </c>
      <c r="AN325" s="49">
        <v>100579718.88</v>
      </c>
      <c r="AO325" s="50">
        <v>382729464.89999998</v>
      </c>
      <c r="AP325" s="37" t="s">
        <v>2014</v>
      </c>
    </row>
    <row r="326" spans="1:42" customFormat="1" ht="54.95" customHeight="1" x14ac:dyDescent="0.25">
      <c r="A326" s="36">
        <v>325</v>
      </c>
      <c r="B326" s="37" t="s">
        <v>264</v>
      </c>
      <c r="C326" s="37" t="s">
        <v>265</v>
      </c>
      <c r="D326" s="38" t="s">
        <v>2389</v>
      </c>
      <c r="E326" s="37" t="s">
        <v>1648</v>
      </c>
      <c r="F326" s="37" t="s">
        <v>1649</v>
      </c>
      <c r="G326" s="40">
        <v>0.46700000000000003</v>
      </c>
      <c r="H326" s="36">
        <v>2022</v>
      </c>
      <c r="I326" s="37" t="s">
        <v>1650</v>
      </c>
      <c r="J326" s="61" t="s">
        <v>1658</v>
      </c>
      <c r="K326" s="37" t="s">
        <v>25</v>
      </c>
      <c r="L326" s="37" t="s">
        <v>27</v>
      </c>
      <c r="M326" s="37" t="s">
        <v>1721</v>
      </c>
      <c r="N326" s="36">
        <v>41</v>
      </c>
      <c r="O326" s="37" t="s">
        <v>2112</v>
      </c>
      <c r="P326" s="51">
        <v>4104</v>
      </c>
      <c r="Q326" s="58" t="s">
        <v>1677</v>
      </c>
      <c r="R326" s="51" t="s">
        <v>1683</v>
      </c>
      <c r="S326" s="58" t="s">
        <v>1684</v>
      </c>
      <c r="T326" s="38" t="s">
        <v>1685</v>
      </c>
      <c r="U326" s="37" t="s">
        <v>1686</v>
      </c>
      <c r="V326" s="36" t="s">
        <v>1687</v>
      </c>
      <c r="W326" s="37" t="s">
        <v>1688</v>
      </c>
      <c r="X326" s="58" t="s">
        <v>1689</v>
      </c>
      <c r="Y326" s="37" t="s">
        <v>36</v>
      </c>
      <c r="Z326" s="36">
        <v>4000</v>
      </c>
      <c r="AA326" s="36" t="s">
        <v>2192</v>
      </c>
      <c r="AB326" s="38" t="s">
        <v>2193</v>
      </c>
      <c r="AC326" s="37" t="s">
        <v>2194</v>
      </c>
      <c r="AD326" s="37" t="s">
        <v>1657</v>
      </c>
      <c r="AE326" s="37" t="s">
        <v>2190</v>
      </c>
      <c r="AF326" s="37" t="s">
        <v>2191</v>
      </c>
      <c r="AG326" s="19">
        <v>10000</v>
      </c>
      <c r="AH326" s="20">
        <v>10000</v>
      </c>
      <c r="AI326" s="21">
        <v>10000</v>
      </c>
      <c r="AJ326" s="22">
        <v>10000</v>
      </c>
      <c r="AK326" s="46">
        <v>4798726775.7799997</v>
      </c>
      <c r="AL326" s="47">
        <v>5072254202</v>
      </c>
      <c r="AM326" s="48">
        <v>5224421828.0600004</v>
      </c>
      <c r="AN326" s="49">
        <v>5381154482.8999996</v>
      </c>
      <c r="AO326" s="50">
        <v>20476557288.740002</v>
      </c>
      <c r="AP326" s="37" t="s">
        <v>2014</v>
      </c>
    </row>
    <row r="327" spans="1:42" customFormat="1" ht="54.95" customHeight="1" x14ac:dyDescent="0.25">
      <c r="A327" s="36">
        <v>326</v>
      </c>
      <c r="B327" s="37" t="s">
        <v>264</v>
      </c>
      <c r="C327" s="37" t="s">
        <v>265</v>
      </c>
      <c r="D327" s="38" t="s">
        <v>2389</v>
      </c>
      <c r="E327" s="37" t="s">
        <v>1648</v>
      </c>
      <c r="F327" s="37" t="s">
        <v>1649</v>
      </c>
      <c r="G327" s="40">
        <v>0.46700000000000003</v>
      </c>
      <c r="H327" s="36">
        <v>2022</v>
      </c>
      <c r="I327" s="37" t="s">
        <v>1650</v>
      </c>
      <c r="J327" s="61" t="s">
        <v>1658</v>
      </c>
      <c r="K327" s="37" t="s">
        <v>25</v>
      </c>
      <c r="L327" s="37" t="s">
        <v>27</v>
      </c>
      <c r="M327" s="37" t="s">
        <v>1721</v>
      </c>
      <c r="N327" s="36">
        <v>41</v>
      </c>
      <c r="O327" s="37" t="s">
        <v>2112</v>
      </c>
      <c r="P327" s="51">
        <v>4104</v>
      </c>
      <c r="Q327" s="58" t="s">
        <v>1677</v>
      </c>
      <c r="R327" s="51" t="s">
        <v>1690</v>
      </c>
      <c r="S327" s="58" t="s">
        <v>1691</v>
      </c>
      <c r="T327" s="38" t="s">
        <v>1692</v>
      </c>
      <c r="U327" s="37" t="s">
        <v>1693</v>
      </c>
      <c r="V327" s="36" t="s">
        <v>1694</v>
      </c>
      <c r="W327" s="37" t="s">
        <v>1691</v>
      </c>
      <c r="X327" s="58" t="s">
        <v>1695</v>
      </c>
      <c r="Y327" s="37" t="s">
        <v>36</v>
      </c>
      <c r="Z327" s="36">
        <v>0</v>
      </c>
      <c r="AA327" s="36" t="s">
        <v>2185</v>
      </c>
      <c r="AB327" s="38" t="s">
        <v>2193</v>
      </c>
      <c r="AC327" s="37" t="s">
        <v>2194</v>
      </c>
      <c r="AD327" s="37" t="s">
        <v>1657</v>
      </c>
      <c r="AE327" s="37" t="s">
        <v>2190</v>
      </c>
      <c r="AF327" s="37" t="s">
        <v>2191</v>
      </c>
      <c r="AG327" s="19">
        <v>30</v>
      </c>
      <c r="AH327" s="20">
        <v>30</v>
      </c>
      <c r="AI327" s="21">
        <v>30</v>
      </c>
      <c r="AJ327" s="22">
        <v>30</v>
      </c>
      <c r="AK327" s="46">
        <v>3425203866.3200002</v>
      </c>
      <c r="AL327" s="47">
        <v>3620440486.6999998</v>
      </c>
      <c r="AM327" s="48">
        <v>3729053701.3000002</v>
      </c>
      <c r="AN327" s="49">
        <v>3840925312.3400002</v>
      </c>
      <c r="AO327" s="50">
        <v>14615623366.66</v>
      </c>
      <c r="AP327" s="37" t="s">
        <v>2014</v>
      </c>
    </row>
    <row r="328" spans="1:42" customFormat="1" ht="54.95" customHeight="1" x14ac:dyDescent="0.25">
      <c r="A328" s="36">
        <v>327</v>
      </c>
      <c r="B328" s="37" t="s">
        <v>264</v>
      </c>
      <c r="C328" s="37" t="s">
        <v>265</v>
      </c>
      <c r="D328" s="38" t="s">
        <v>2389</v>
      </c>
      <c r="E328" s="37" t="s">
        <v>1648</v>
      </c>
      <c r="F328" s="37" t="s">
        <v>1649</v>
      </c>
      <c r="G328" s="40">
        <v>0.46700000000000003</v>
      </c>
      <c r="H328" s="36">
        <v>2022</v>
      </c>
      <c r="I328" s="37" t="s">
        <v>1650</v>
      </c>
      <c r="J328" s="61" t="s">
        <v>1658</v>
      </c>
      <c r="K328" s="37" t="s">
        <v>25</v>
      </c>
      <c r="L328" s="37" t="s">
        <v>27</v>
      </c>
      <c r="M328" s="37" t="s">
        <v>1721</v>
      </c>
      <c r="N328" s="36">
        <v>41</v>
      </c>
      <c r="O328" s="37" t="s">
        <v>2112</v>
      </c>
      <c r="P328" s="51">
        <v>4104</v>
      </c>
      <c r="Q328" s="58" t="s">
        <v>1677</v>
      </c>
      <c r="R328" s="51" t="s">
        <v>1696</v>
      </c>
      <c r="S328" s="58" t="s">
        <v>1697</v>
      </c>
      <c r="T328" s="38" t="s">
        <v>1698</v>
      </c>
      <c r="U328" s="37" t="s">
        <v>685</v>
      </c>
      <c r="V328" s="36" t="s">
        <v>1699</v>
      </c>
      <c r="W328" s="37" t="s">
        <v>1700</v>
      </c>
      <c r="X328" s="58" t="s">
        <v>2004</v>
      </c>
      <c r="Y328" s="37" t="s">
        <v>36</v>
      </c>
      <c r="Z328" s="36">
        <v>40</v>
      </c>
      <c r="AA328" s="36" t="s">
        <v>2185</v>
      </c>
      <c r="AB328" s="38" t="s">
        <v>2193</v>
      </c>
      <c r="AC328" s="37" t="s">
        <v>2194</v>
      </c>
      <c r="AD328" s="37" t="s">
        <v>1657</v>
      </c>
      <c r="AE328" s="37" t="s">
        <v>2190</v>
      </c>
      <c r="AF328" s="37" t="s">
        <v>2191</v>
      </c>
      <c r="AG328" s="19">
        <v>50</v>
      </c>
      <c r="AH328" s="20">
        <v>50</v>
      </c>
      <c r="AI328" s="21">
        <v>50</v>
      </c>
      <c r="AJ328" s="22">
        <v>50</v>
      </c>
      <c r="AK328" s="46">
        <v>145000000</v>
      </c>
      <c r="AL328" s="47">
        <v>153265000</v>
      </c>
      <c r="AM328" s="48">
        <v>157862950</v>
      </c>
      <c r="AN328" s="49">
        <v>162598838.5</v>
      </c>
      <c r="AO328" s="50">
        <v>618726788.5</v>
      </c>
      <c r="AP328" s="37" t="s">
        <v>2014</v>
      </c>
    </row>
    <row r="329" spans="1:42" customFormat="1" ht="54.95" customHeight="1" x14ac:dyDescent="0.25">
      <c r="A329" s="36">
        <v>328</v>
      </c>
      <c r="B329" s="37" t="s">
        <v>264</v>
      </c>
      <c r="C329" s="37" t="s">
        <v>265</v>
      </c>
      <c r="D329" s="38" t="s">
        <v>2389</v>
      </c>
      <c r="E329" s="37" t="s">
        <v>1648</v>
      </c>
      <c r="F329" s="37" t="s">
        <v>1649</v>
      </c>
      <c r="G329" s="40">
        <v>0.46700000000000003</v>
      </c>
      <c r="H329" s="36">
        <v>2022</v>
      </c>
      <c r="I329" s="37" t="s">
        <v>1650</v>
      </c>
      <c r="J329" s="61" t="s">
        <v>1658</v>
      </c>
      <c r="K329" s="37" t="s">
        <v>25</v>
      </c>
      <c r="L329" s="37" t="s">
        <v>27</v>
      </c>
      <c r="M329" s="37" t="s">
        <v>1721</v>
      </c>
      <c r="N329" s="36">
        <v>45</v>
      </c>
      <c r="O329" s="37" t="s">
        <v>786</v>
      </c>
      <c r="P329" s="51" t="s">
        <v>1467</v>
      </c>
      <c r="Q329" s="58" t="s">
        <v>1468</v>
      </c>
      <c r="R329" s="51" t="s">
        <v>1701</v>
      </c>
      <c r="S329" s="58" t="s">
        <v>768</v>
      </c>
      <c r="T329" s="59" t="s">
        <v>1702</v>
      </c>
      <c r="U329" s="58" t="s">
        <v>500</v>
      </c>
      <c r="V329" s="51" t="s">
        <v>1703</v>
      </c>
      <c r="W329" s="58" t="s">
        <v>771</v>
      </c>
      <c r="X329" s="37" t="s">
        <v>1704</v>
      </c>
      <c r="Y329" s="37" t="s">
        <v>36</v>
      </c>
      <c r="Z329" s="36">
        <v>1</v>
      </c>
      <c r="AA329" s="36" t="s">
        <v>2185</v>
      </c>
      <c r="AB329" s="38" t="s">
        <v>2193</v>
      </c>
      <c r="AC329" s="37" t="s">
        <v>2194</v>
      </c>
      <c r="AD329" s="37" t="s">
        <v>1657</v>
      </c>
      <c r="AE329" s="37" t="s">
        <v>2190</v>
      </c>
      <c r="AF329" s="37" t="s">
        <v>2191</v>
      </c>
      <c r="AG329" s="2">
        <v>0.25</v>
      </c>
      <c r="AH329" s="4">
        <v>0.25</v>
      </c>
      <c r="AI329" s="8">
        <v>0.25</v>
      </c>
      <c r="AJ329" s="6">
        <v>0.25</v>
      </c>
      <c r="AK329" s="46">
        <v>90000000</v>
      </c>
      <c r="AL329" s="47">
        <v>95130000</v>
      </c>
      <c r="AM329" s="48">
        <v>97983900</v>
      </c>
      <c r="AN329" s="49">
        <v>100923417</v>
      </c>
      <c r="AO329" s="50">
        <v>384037317</v>
      </c>
      <c r="AP329" s="37" t="s">
        <v>2014</v>
      </c>
    </row>
    <row r="330" spans="1:42" customFormat="1" ht="63.75" x14ac:dyDescent="0.25">
      <c r="A330" s="36">
        <v>329</v>
      </c>
      <c r="B330" s="37" t="s">
        <v>264</v>
      </c>
      <c r="C330" s="37" t="s">
        <v>265</v>
      </c>
      <c r="D330" s="38" t="s">
        <v>2389</v>
      </c>
      <c r="E330" s="37" t="s">
        <v>1648</v>
      </c>
      <c r="F330" s="37" t="s">
        <v>1649</v>
      </c>
      <c r="G330" s="40">
        <v>0.46700000000000003</v>
      </c>
      <c r="H330" s="36">
        <v>2022</v>
      </c>
      <c r="I330" s="37" t="s">
        <v>1650</v>
      </c>
      <c r="J330" s="61" t="s">
        <v>1658</v>
      </c>
      <c r="K330" s="37" t="s">
        <v>25</v>
      </c>
      <c r="L330" s="37" t="s">
        <v>27</v>
      </c>
      <c r="M330" s="37" t="s">
        <v>1721</v>
      </c>
      <c r="N330" s="36">
        <v>41</v>
      </c>
      <c r="O330" s="37" t="s">
        <v>2112</v>
      </c>
      <c r="P330" s="51">
        <v>4103</v>
      </c>
      <c r="Q330" s="58" t="s">
        <v>830</v>
      </c>
      <c r="R330" s="51" t="s">
        <v>1705</v>
      </c>
      <c r="S330" s="58" t="s">
        <v>1706</v>
      </c>
      <c r="T330" s="38" t="s">
        <v>1707</v>
      </c>
      <c r="U330" s="37" t="s">
        <v>203</v>
      </c>
      <c r="V330" s="36" t="s">
        <v>1708</v>
      </c>
      <c r="W330" s="37" t="s">
        <v>1709</v>
      </c>
      <c r="X330" s="58" t="s">
        <v>1710</v>
      </c>
      <c r="Y330" s="37" t="s">
        <v>36</v>
      </c>
      <c r="Z330" s="36">
        <v>3000</v>
      </c>
      <c r="AA330" s="36" t="s">
        <v>2185</v>
      </c>
      <c r="AB330" s="38" t="s">
        <v>2410</v>
      </c>
      <c r="AC330" s="36" t="s">
        <v>2483</v>
      </c>
      <c r="AD330" s="37" t="s">
        <v>1657</v>
      </c>
      <c r="AE330" s="37" t="s">
        <v>2190</v>
      </c>
      <c r="AF330" s="37" t="s">
        <v>2191</v>
      </c>
      <c r="AG330" s="116">
        <v>2000</v>
      </c>
      <c r="AH330" s="117">
        <v>2000</v>
      </c>
      <c r="AI330" s="118">
        <v>2000</v>
      </c>
      <c r="AJ330" s="119">
        <v>2000</v>
      </c>
      <c r="AK330" s="46">
        <v>312180678.12</v>
      </c>
      <c r="AL330" s="47">
        <v>329974976.77999997</v>
      </c>
      <c r="AM330" s="48">
        <v>339874226.07999998</v>
      </c>
      <c r="AN330" s="49">
        <v>350070452.86000001</v>
      </c>
      <c r="AO330" s="50">
        <v>1332100333.8399999</v>
      </c>
      <c r="AP330" s="37" t="s">
        <v>2014</v>
      </c>
    </row>
    <row r="331" spans="1:42" customFormat="1" ht="63.75" x14ac:dyDescent="0.25">
      <c r="A331" s="36">
        <v>330</v>
      </c>
      <c r="B331" s="37" t="s">
        <v>264</v>
      </c>
      <c r="C331" s="37" t="s">
        <v>265</v>
      </c>
      <c r="D331" s="38" t="s">
        <v>2389</v>
      </c>
      <c r="E331" s="37" t="s">
        <v>1648</v>
      </c>
      <c r="F331" s="37" t="s">
        <v>1649</v>
      </c>
      <c r="G331" s="40">
        <v>0.46700000000000003</v>
      </c>
      <c r="H331" s="36">
        <v>2022</v>
      </c>
      <c r="I331" s="37" t="s">
        <v>1650</v>
      </c>
      <c r="J331" s="61" t="s">
        <v>1658</v>
      </c>
      <c r="K331" s="37" t="s">
        <v>25</v>
      </c>
      <c r="L331" s="37" t="s">
        <v>27</v>
      </c>
      <c r="M331" s="37" t="s">
        <v>1721</v>
      </c>
      <c r="N331" s="36">
        <v>41</v>
      </c>
      <c r="O331" s="37" t="s">
        <v>2112</v>
      </c>
      <c r="P331" s="51">
        <v>4103</v>
      </c>
      <c r="Q331" s="58" t="s">
        <v>830</v>
      </c>
      <c r="R331" s="51" t="s">
        <v>831</v>
      </c>
      <c r="S331" s="58" t="s">
        <v>832</v>
      </c>
      <c r="T331" s="38" t="s">
        <v>833</v>
      </c>
      <c r="U331" s="37" t="s">
        <v>834</v>
      </c>
      <c r="V331" s="36" t="s">
        <v>835</v>
      </c>
      <c r="W331" s="37" t="s">
        <v>836</v>
      </c>
      <c r="X331" s="58" t="s">
        <v>1711</v>
      </c>
      <c r="Y331" s="37" t="s">
        <v>36</v>
      </c>
      <c r="Z331" s="36">
        <v>0</v>
      </c>
      <c r="AA331" s="36" t="s">
        <v>2185</v>
      </c>
      <c r="AB331" s="38" t="s">
        <v>2410</v>
      </c>
      <c r="AC331" s="36" t="s">
        <v>2483</v>
      </c>
      <c r="AD331" s="37" t="s">
        <v>1657</v>
      </c>
      <c r="AE331" s="37" t="s">
        <v>2190</v>
      </c>
      <c r="AF331" s="37" t="s">
        <v>2191</v>
      </c>
      <c r="AG331" s="116">
        <v>84</v>
      </c>
      <c r="AH331" s="117">
        <v>84</v>
      </c>
      <c r="AI331" s="118">
        <v>84</v>
      </c>
      <c r="AJ331" s="119">
        <v>84</v>
      </c>
      <c r="AK331" s="46">
        <v>249808158.40000001</v>
      </c>
      <c r="AL331" s="47">
        <v>264047223.41999999</v>
      </c>
      <c r="AM331" s="48">
        <v>271968640.13</v>
      </c>
      <c r="AN331" s="49">
        <v>280127699.32999998</v>
      </c>
      <c r="AO331" s="50">
        <v>1065951721.28</v>
      </c>
      <c r="AP331" s="37" t="s">
        <v>2014</v>
      </c>
    </row>
    <row r="332" spans="1:42" customFormat="1" ht="63.75" x14ac:dyDescent="0.25">
      <c r="A332" s="36">
        <v>331</v>
      </c>
      <c r="B332" s="37" t="s">
        <v>264</v>
      </c>
      <c r="C332" s="37" t="s">
        <v>265</v>
      </c>
      <c r="D332" s="38" t="s">
        <v>2389</v>
      </c>
      <c r="E332" s="37" t="s">
        <v>1648</v>
      </c>
      <c r="F332" s="37" t="s">
        <v>1649</v>
      </c>
      <c r="G332" s="40">
        <v>0.46700000000000003</v>
      </c>
      <c r="H332" s="36">
        <v>2022</v>
      </c>
      <c r="I332" s="37" t="s">
        <v>1650</v>
      </c>
      <c r="J332" s="61" t="s">
        <v>1658</v>
      </c>
      <c r="K332" s="37" t="s">
        <v>25</v>
      </c>
      <c r="L332" s="37" t="s">
        <v>27</v>
      </c>
      <c r="M332" s="37" t="s">
        <v>1721</v>
      </c>
      <c r="N332" s="36">
        <v>41</v>
      </c>
      <c r="O332" s="37" t="s">
        <v>2112</v>
      </c>
      <c r="P332" s="51">
        <v>4103</v>
      </c>
      <c r="Q332" s="58" t="s">
        <v>830</v>
      </c>
      <c r="R332" s="51" t="s">
        <v>1712</v>
      </c>
      <c r="S332" s="58" t="s">
        <v>1713</v>
      </c>
      <c r="T332" s="38" t="s">
        <v>1714</v>
      </c>
      <c r="U332" s="37" t="s">
        <v>834</v>
      </c>
      <c r="V332" s="36" t="s">
        <v>1715</v>
      </c>
      <c r="W332" s="37" t="s">
        <v>1716</v>
      </c>
      <c r="X332" s="58" t="s">
        <v>2005</v>
      </c>
      <c r="Y332" s="37" t="s">
        <v>36</v>
      </c>
      <c r="Z332" s="36">
        <v>22</v>
      </c>
      <c r="AA332" s="36" t="s">
        <v>2185</v>
      </c>
      <c r="AB332" s="38" t="s">
        <v>2410</v>
      </c>
      <c r="AC332" s="36" t="s">
        <v>2483</v>
      </c>
      <c r="AD332" s="37" t="s">
        <v>1657</v>
      </c>
      <c r="AE332" s="37" t="s">
        <v>2190</v>
      </c>
      <c r="AF332" s="37" t="s">
        <v>2191</v>
      </c>
      <c r="AG332" s="116">
        <v>10</v>
      </c>
      <c r="AH332" s="117">
        <v>10</v>
      </c>
      <c r="AI332" s="118">
        <v>10</v>
      </c>
      <c r="AJ332" s="119">
        <v>12</v>
      </c>
      <c r="AK332" s="46">
        <v>304673869.26999998</v>
      </c>
      <c r="AL332" s="47">
        <v>2322040279.8200002</v>
      </c>
      <c r="AM332" s="48">
        <v>331701488.22000003</v>
      </c>
      <c r="AN332" s="49">
        <v>341652532.86000001</v>
      </c>
      <c r="AO332" s="50">
        <v>3300068170.1700001</v>
      </c>
      <c r="AP332" s="37" t="s">
        <v>2014</v>
      </c>
    </row>
    <row r="333" spans="1:42" customFormat="1" ht="63.75" x14ac:dyDescent="0.25">
      <c r="A333" s="36">
        <v>332</v>
      </c>
      <c r="B333" s="37" t="s">
        <v>264</v>
      </c>
      <c r="C333" s="37" t="s">
        <v>265</v>
      </c>
      <c r="D333" s="38" t="s">
        <v>2389</v>
      </c>
      <c r="E333" s="37" t="s">
        <v>1648</v>
      </c>
      <c r="F333" s="37" t="s">
        <v>1649</v>
      </c>
      <c r="G333" s="40">
        <v>0.46700000000000003</v>
      </c>
      <c r="H333" s="36">
        <v>2022</v>
      </c>
      <c r="I333" s="37" t="s">
        <v>1650</v>
      </c>
      <c r="J333" s="61" t="s">
        <v>1658</v>
      </c>
      <c r="K333" s="37" t="s">
        <v>25</v>
      </c>
      <c r="L333" s="37" t="s">
        <v>27</v>
      </c>
      <c r="M333" s="37" t="s">
        <v>1721</v>
      </c>
      <c r="N333" s="36">
        <v>45</v>
      </c>
      <c r="O333" s="37" t="s">
        <v>786</v>
      </c>
      <c r="P333" s="51" t="s">
        <v>1488</v>
      </c>
      <c r="Q333" s="58" t="s">
        <v>1143</v>
      </c>
      <c r="R333" s="51" t="s">
        <v>1489</v>
      </c>
      <c r="S333" s="58" t="s">
        <v>1000</v>
      </c>
      <c r="T333" s="38" t="s">
        <v>1490</v>
      </c>
      <c r="U333" s="37" t="s">
        <v>500</v>
      </c>
      <c r="V333" s="36" t="s">
        <v>1491</v>
      </c>
      <c r="W333" s="37" t="s">
        <v>829</v>
      </c>
      <c r="X333" s="37" t="s">
        <v>2082</v>
      </c>
      <c r="Y333" s="37" t="s">
        <v>36</v>
      </c>
      <c r="Z333" s="36">
        <v>0</v>
      </c>
      <c r="AA333" s="36" t="s">
        <v>2185</v>
      </c>
      <c r="AB333" s="38" t="s">
        <v>2410</v>
      </c>
      <c r="AC333" s="36" t="s">
        <v>2483</v>
      </c>
      <c r="AD333" s="37" t="s">
        <v>1657</v>
      </c>
      <c r="AE333" s="37" t="s">
        <v>2190</v>
      </c>
      <c r="AF333" s="37" t="s">
        <v>2191</v>
      </c>
      <c r="AG333" s="2">
        <v>0.25</v>
      </c>
      <c r="AH333" s="4">
        <v>0.25</v>
      </c>
      <c r="AI333" s="8">
        <v>0.25</v>
      </c>
      <c r="AJ333" s="6">
        <v>0.25</v>
      </c>
      <c r="AK333" s="46">
        <v>130000000</v>
      </c>
      <c r="AL333" s="47">
        <v>137410000</v>
      </c>
      <c r="AM333" s="48">
        <v>141532300</v>
      </c>
      <c r="AN333" s="49">
        <v>145778269</v>
      </c>
      <c r="AO333" s="50">
        <v>554720569</v>
      </c>
      <c r="AP333" s="37" t="s">
        <v>2014</v>
      </c>
    </row>
    <row r="334" spans="1:42" customFormat="1" ht="63.75" x14ac:dyDescent="0.25">
      <c r="A334" s="36">
        <v>333</v>
      </c>
      <c r="B334" s="37" t="s">
        <v>264</v>
      </c>
      <c r="C334" s="37" t="s">
        <v>265</v>
      </c>
      <c r="D334" s="38" t="s">
        <v>2389</v>
      </c>
      <c r="E334" s="37" t="s">
        <v>1648</v>
      </c>
      <c r="F334" s="37" t="s">
        <v>1649</v>
      </c>
      <c r="G334" s="40">
        <v>0.46700000000000003</v>
      </c>
      <c r="H334" s="36">
        <v>2022</v>
      </c>
      <c r="I334" s="37" t="s">
        <v>1650</v>
      </c>
      <c r="J334" s="61" t="s">
        <v>1658</v>
      </c>
      <c r="K334" s="37" t="s">
        <v>25</v>
      </c>
      <c r="L334" s="37" t="s">
        <v>27</v>
      </c>
      <c r="M334" s="37" t="s">
        <v>1721</v>
      </c>
      <c r="N334" s="36">
        <v>45</v>
      </c>
      <c r="O334" s="37" t="s">
        <v>786</v>
      </c>
      <c r="P334" s="36" t="s">
        <v>1467</v>
      </c>
      <c r="Q334" s="37" t="s">
        <v>1468</v>
      </c>
      <c r="R334" s="36" t="s">
        <v>1481</v>
      </c>
      <c r="S334" s="37" t="s">
        <v>1482</v>
      </c>
      <c r="T334" s="38" t="s">
        <v>1483</v>
      </c>
      <c r="U334" s="37" t="s">
        <v>1484</v>
      </c>
      <c r="V334" s="36" t="s">
        <v>1485</v>
      </c>
      <c r="W334" s="37" t="s">
        <v>1486</v>
      </c>
      <c r="X334" s="41" t="s">
        <v>2068</v>
      </c>
      <c r="Y334" s="37" t="s">
        <v>36</v>
      </c>
      <c r="Z334" s="36">
        <v>8</v>
      </c>
      <c r="AA334" s="36" t="s">
        <v>2192</v>
      </c>
      <c r="AB334" s="38" t="s">
        <v>2410</v>
      </c>
      <c r="AC334" s="36" t="s">
        <v>2483</v>
      </c>
      <c r="AD334" s="37" t="s">
        <v>1657</v>
      </c>
      <c r="AE334" s="37" t="s">
        <v>2190</v>
      </c>
      <c r="AF334" s="37" t="s">
        <v>2191</v>
      </c>
      <c r="AG334" s="19">
        <v>8</v>
      </c>
      <c r="AH334" s="20">
        <v>8</v>
      </c>
      <c r="AI334" s="21">
        <v>8</v>
      </c>
      <c r="AJ334" s="22">
        <v>8</v>
      </c>
      <c r="AK334" s="46">
        <v>230000000</v>
      </c>
      <c r="AL334" s="47">
        <v>243110000</v>
      </c>
      <c r="AM334" s="48">
        <v>250403300</v>
      </c>
      <c r="AN334" s="49">
        <v>257915399</v>
      </c>
      <c r="AO334" s="50">
        <v>981428699</v>
      </c>
      <c r="AP334" s="37" t="s">
        <v>2014</v>
      </c>
    </row>
    <row r="335" spans="1:42" customFormat="1" ht="63.75" x14ac:dyDescent="0.25">
      <c r="A335" s="36">
        <v>334</v>
      </c>
      <c r="B335" s="37" t="s">
        <v>264</v>
      </c>
      <c r="C335" s="37" t="s">
        <v>265</v>
      </c>
      <c r="D335" s="38" t="s">
        <v>2389</v>
      </c>
      <c r="E335" s="37" t="s">
        <v>1717</v>
      </c>
      <c r="F335" s="37" t="s">
        <v>1718</v>
      </c>
      <c r="G335" s="36">
        <v>41.4</v>
      </c>
      <c r="H335" s="36">
        <v>2021</v>
      </c>
      <c r="I335" s="37" t="s">
        <v>1719</v>
      </c>
      <c r="J335" s="38" t="s">
        <v>1720</v>
      </c>
      <c r="K335" s="37" t="s">
        <v>36</v>
      </c>
      <c r="L335" s="37" t="s">
        <v>27</v>
      </c>
      <c r="M335" s="37" t="s">
        <v>1721</v>
      </c>
      <c r="N335" s="36">
        <v>41</v>
      </c>
      <c r="O335" s="37" t="s">
        <v>2112</v>
      </c>
      <c r="P335" s="36" t="s">
        <v>1662</v>
      </c>
      <c r="Q335" s="37" t="s">
        <v>1663</v>
      </c>
      <c r="R335" s="36">
        <v>4102003</v>
      </c>
      <c r="S335" s="37" t="s">
        <v>1722</v>
      </c>
      <c r="T335" s="38" t="s">
        <v>1723</v>
      </c>
      <c r="U335" s="37" t="s">
        <v>1724</v>
      </c>
      <c r="V335" s="36" t="s">
        <v>1725</v>
      </c>
      <c r="W335" s="58" t="s">
        <v>1726</v>
      </c>
      <c r="X335" s="37" t="s">
        <v>2006</v>
      </c>
      <c r="Y335" s="37" t="s">
        <v>36</v>
      </c>
      <c r="Z335" s="36">
        <v>1200</v>
      </c>
      <c r="AA335" s="36" t="s">
        <v>2185</v>
      </c>
      <c r="AB335" s="38" t="s">
        <v>2484</v>
      </c>
      <c r="AC335" s="37" t="s">
        <v>2195</v>
      </c>
      <c r="AD335" s="37" t="s">
        <v>2196</v>
      </c>
      <c r="AE335" s="37" t="s">
        <v>2190</v>
      </c>
      <c r="AF335" s="37" t="s">
        <v>2191</v>
      </c>
      <c r="AG335" s="19">
        <v>100</v>
      </c>
      <c r="AH335" s="20">
        <v>100</v>
      </c>
      <c r="AI335" s="21">
        <v>100</v>
      </c>
      <c r="AJ335" s="22">
        <v>100</v>
      </c>
      <c r="AK335" s="46">
        <v>130000000</v>
      </c>
      <c r="AL335" s="47">
        <v>137410000</v>
      </c>
      <c r="AM335" s="48">
        <v>141532300</v>
      </c>
      <c r="AN335" s="49">
        <v>145778269</v>
      </c>
      <c r="AO335" s="50">
        <v>554720569</v>
      </c>
      <c r="AP335" s="37" t="s">
        <v>2014</v>
      </c>
    </row>
    <row r="336" spans="1:42" customFormat="1" ht="63.75" x14ac:dyDescent="0.25">
      <c r="A336" s="36">
        <v>335</v>
      </c>
      <c r="B336" s="37" t="s">
        <v>264</v>
      </c>
      <c r="C336" s="37" t="s">
        <v>265</v>
      </c>
      <c r="D336" s="38" t="s">
        <v>2389</v>
      </c>
      <c r="E336" s="37" t="s">
        <v>1717</v>
      </c>
      <c r="F336" s="37" t="s">
        <v>1718</v>
      </c>
      <c r="G336" s="36">
        <v>41.4</v>
      </c>
      <c r="H336" s="36">
        <v>2021</v>
      </c>
      <c r="I336" s="37" t="s">
        <v>1719</v>
      </c>
      <c r="J336" s="38" t="s">
        <v>1720</v>
      </c>
      <c r="K336" s="37" t="s">
        <v>36</v>
      </c>
      <c r="L336" s="37" t="s">
        <v>27</v>
      </c>
      <c r="M336" s="37" t="s">
        <v>1721</v>
      </c>
      <c r="N336" s="36">
        <v>41</v>
      </c>
      <c r="O336" s="37" t="s">
        <v>2112</v>
      </c>
      <c r="P336" s="36" t="s">
        <v>1662</v>
      </c>
      <c r="Q336" s="37" t="s">
        <v>1663</v>
      </c>
      <c r="R336" s="36">
        <v>4102041</v>
      </c>
      <c r="S336" s="37" t="s">
        <v>1727</v>
      </c>
      <c r="T336" s="38" t="s">
        <v>1728</v>
      </c>
      <c r="U336" s="37" t="s">
        <v>1729</v>
      </c>
      <c r="V336" s="36" t="s">
        <v>1730</v>
      </c>
      <c r="W336" s="58" t="s">
        <v>1731</v>
      </c>
      <c r="X336" s="37" t="s">
        <v>2007</v>
      </c>
      <c r="Y336" s="37" t="s">
        <v>36</v>
      </c>
      <c r="Z336" s="36">
        <v>42</v>
      </c>
      <c r="AA336" s="36" t="s">
        <v>2185</v>
      </c>
      <c r="AB336" s="38" t="s">
        <v>2484</v>
      </c>
      <c r="AC336" s="37" t="s">
        <v>2195</v>
      </c>
      <c r="AD336" s="37" t="s">
        <v>2197</v>
      </c>
      <c r="AE336" s="37" t="s">
        <v>2190</v>
      </c>
      <c r="AF336" s="37" t="s">
        <v>2191</v>
      </c>
      <c r="AG336" s="19">
        <v>10</v>
      </c>
      <c r="AH336" s="20">
        <v>10</v>
      </c>
      <c r="AI336" s="21">
        <v>12</v>
      </c>
      <c r="AJ336" s="22">
        <v>10</v>
      </c>
      <c r="AK336" s="46">
        <v>150000000</v>
      </c>
      <c r="AL336" s="47">
        <v>158550000</v>
      </c>
      <c r="AM336" s="48">
        <v>163306500</v>
      </c>
      <c r="AN336" s="49">
        <v>168205695</v>
      </c>
      <c r="AO336" s="50">
        <v>640062195</v>
      </c>
      <c r="AP336" s="37" t="s">
        <v>2014</v>
      </c>
    </row>
    <row r="337" spans="1:42" customFormat="1" ht="63.75" x14ac:dyDescent="0.25">
      <c r="A337" s="36">
        <v>336</v>
      </c>
      <c r="B337" s="37" t="s">
        <v>264</v>
      </c>
      <c r="C337" s="37" t="s">
        <v>265</v>
      </c>
      <c r="D337" s="38" t="s">
        <v>2389</v>
      </c>
      <c r="E337" s="37" t="s">
        <v>1717</v>
      </c>
      <c r="F337" s="37" t="s">
        <v>1718</v>
      </c>
      <c r="G337" s="36">
        <v>41.4</v>
      </c>
      <c r="H337" s="36">
        <v>2021</v>
      </c>
      <c r="I337" s="37" t="s">
        <v>1719</v>
      </c>
      <c r="J337" s="38" t="s">
        <v>1720</v>
      </c>
      <c r="K337" s="37" t="s">
        <v>36</v>
      </c>
      <c r="L337" s="37" t="s">
        <v>27</v>
      </c>
      <c r="M337" s="37" t="s">
        <v>1721</v>
      </c>
      <c r="N337" s="36">
        <v>41</v>
      </c>
      <c r="O337" s="37" t="s">
        <v>2112</v>
      </c>
      <c r="P337" s="36" t="s">
        <v>1662</v>
      </c>
      <c r="Q337" s="37" t="s">
        <v>1663</v>
      </c>
      <c r="R337" s="36">
        <v>4102047</v>
      </c>
      <c r="S337" s="37" t="s">
        <v>1670</v>
      </c>
      <c r="T337" s="38" t="s">
        <v>1671</v>
      </c>
      <c r="U337" s="37" t="s">
        <v>1672</v>
      </c>
      <c r="V337" s="36" t="s">
        <v>1732</v>
      </c>
      <c r="W337" s="37" t="s">
        <v>1673</v>
      </c>
      <c r="X337" s="37" t="s">
        <v>1988</v>
      </c>
      <c r="Y337" s="37" t="s">
        <v>36</v>
      </c>
      <c r="Z337" s="36">
        <v>42</v>
      </c>
      <c r="AA337" s="36" t="s">
        <v>2185</v>
      </c>
      <c r="AB337" s="38" t="s">
        <v>2484</v>
      </c>
      <c r="AC337" s="37" t="s">
        <v>2195</v>
      </c>
      <c r="AD337" s="37" t="s">
        <v>2197</v>
      </c>
      <c r="AE337" s="37" t="s">
        <v>2190</v>
      </c>
      <c r="AF337" s="37" t="s">
        <v>2191</v>
      </c>
      <c r="AG337" s="19">
        <v>10</v>
      </c>
      <c r="AH337" s="20">
        <v>10</v>
      </c>
      <c r="AI337" s="21">
        <v>12</v>
      </c>
      <c r="AJ337" s="22">
        <v>10</v>
      </c>
      <c r="AK337" s="46">
        <v>145000000</v>
      </c>
      <c r="AL337" s="47">
        <v>153265000</v>
      </c>
      <c r="AM337" s="48">
        <v>157862950</v>
      </c>
      <c r="AN337" s="49">
        <v>162598838.5</v>
      </c>
      <c r="AO337" s="50">
        <v>618726788.5</v>
      </c>
      <c r="AP337" s="37" t="s">
        <v>2014</v>
      </c>
    </row>
    <row r="338" spans="1:42" customFormat="1" ht="63.75" x14ac:dyDescent="0.25">
      <c r="A338" s="36">
        <v>337</v>
      </c>
      <c r="B338" s="37" t="s">
        <v>264</v>
      </c>
      <c r="C338" s="37" t="s">
        <v>265</v>
      </c>
      <c r="D338" s="38" t="s">
        <v>2389</v>
      </c>
      <c r="E338" s="37" t="s">
        <v>1717</v>
      </c>
      <c r="F338" s="37" t="s">
        <v>1718</v>
      </c>
      <c r="G338" s="36">
        <v>41.4</v>
      </c>
      <c r="H338" s="36">
        <v>2021</v>
      </c>
      <c r="I338" s="37" t="s">
        <v>1719</v>
      </c>
      <c r="J338" s="38" t="s">
        <v>1720</v>
      </c>
      <c r="K338" s="37" t="s">
        <v>36</v>
      </c>
      <c r="L338" s="37" t="s">
        <v>27</v>
      </c>
      <c r="M338" s="37" t="s">
        <v>1721</v>
      </c>
      <c r="N338" s="36">
        <v>41</v>
      </c>
      <c r="O338" s="37" t="s">
        <v>2112</v>
      </c>
      <c r="P338" s="36" t="s">
        <v>1662</v>
      </c>
      <c r="Q338" s="37" t="s">
        <v>1663</v>
      </c>
      <c r="R338" s="36" t="s">
        <v>1733</v>
      </c>
      <c r="S338" s="37" t="s">
        <v>1734</v>
      </c>
      <c r="T338" s="38" t="s">
        <v>1735</v>
      </c>
      <c r="U338" s="37" t="s">
        <v>358</v>
      </c>
      <c r="V338" s="36" t="s">
        <v>1736</v>
      </c>
      <c r="W338" s="58" t="s">
        <v>1737</v>
      </c>
      <c r="X338" s="37" t="s">
        <v>1738</v>
      </c>
      <c r="Y338" s="37" t="s">
        <v>36</v>
      </c>
      <c r="Z338" s="36">
        <v>16</v>
      </c>
      <c r="AA338" s="36" t="s">
        <v>2185</v>
      </c>
      <c r="AB338" s="38" t="s">
        <v>2484</v>
      </c>
      <c r="AC338" s="37" t="s">
        <v>2195</v>
      </c>
      <c r="AD338" s="37" t="s">
        <v>2197</v>
      </c>
      <c r="AE338" s="37" t="s">
        <v>2190</v>
      </c>
      <c r="AF338" s="37" t="s">
        <v>2191</v>
      </c>
      <c r="AG338" s="19">
        <v>5</v>
      </c>
      <c r="AH338" s="20">
        <v>5</v>
      </c>
      <c r="AI338" s="21">
        <v>5</v>
      </c>
      <c r="AJ338" s="22">
        <v>5</v>
      </c>
      <c r="AK338" s="46">
        <v>80000000</v>
      </c>
      <c r="AL338" s="47">
        <v>84560000</v>
      </c>
      <c r="AM338" s="48">
        <v>87096800</v>
      </c>
      <c r="AN338" s="49">
        <v>89709704</v>
      </c>
      <c r="AO338" s="50">
        <v>341366504</v>
      </c>
      <c r="AP338" s="37" t="s">
        <v>2014</v>
      </c>
    </row>
    <row r="339" spans="1:42" customFormat="1" ht="63.75" x14ac:dyDescent="0.25">
      <c r="A339" s="36">
        <v>338</v>
      </c>
      <c r="B339" s="37" t="s">
        <v>264</v>
      </c>
      <c r="C339" s="37" t="s">
        <v>265</v>
      </c>
      <c r="D339" s="38" t="s">
        <v>2389</v>
      </c>
      <c r="E339" s="37" t="s">
        <v>1717</v>
      </c>
      <c r="F339" s="37" t="s">
        <v>1718</v>
      </c>
      <c r="G339" s="36">
        <v>41.4</v>
      </c>
      <c r="H339" s="36">
        <v>2021</v>
      </c>
      <c r="I339" s="37" t="s">
        <v>1719</v>
      </c>
      <c r="J339" s="38" t="s">
        <v>1720</v>
      </c>
      <c r="K339" s="37" t="s">
        <v>36</v>
      </c>
      <c r="L339" s="37" t="s">
        <v>27</v>
      </c>
      <c r="M339" s="37" t="s">
        <v>1721</v>
      </c>
      <c r="N339" s="36">
        <v>45</v>
      </c>
      <c r="O339" s="37" t="s">
        <v>786</v>
      </c>
      <c r="P339" s="51" t="s">
        <v>1467</v>
      </c>
      <c r="Q339" s="58" t="s">
        <v>1468</v>
      </c>
      <c r="R339" s="51" t="s">
        <v>1481</v>
      </c>
      <c r="S339" s="58" t="s">
        <v>1482</v>
      </c>
      <c r="T339" s="38" t="s">
        <v>1483</v>
      </c>
      <c r="U339" s="37" t="s">
        <v>1484</v>
      </c>
      <c r="V339" s="36" t="s">
        <v>1485</v>
      </c>
      <c r="W339" s="58" t="s">
        <v>1486</v>
      </c>
      <c r="X339" s="37" t="s">
        <v>2008</v>
      </c>
      <c r="Y339" s="37" t="s">
        <v>36</v>
      </c>
      <c r="Z339" s="36">
        <v>16</v>
      </c>
      <c r="AA339" s="36" t="s">
        <v>2185</v>
      </c>
      <c r="AB339" s="38" t="s">
        <v>2484</v>
      </c>
      <c r="AC339" s="37" t="s">
        <v>2195</v>
      </c>
      <c r="AD339" s="37" t="s">
        <v>2197</v>
      </c>
      <c r="AE339" s="37" t="s">
        <v>2190</v>
      </c>
      <c r="AF339" s="37" t="s">
        <v>2191</v>
      </c>
      <c r="AG339" s="19">
        <v>4</v>
      </c>
      <c r="AH339" s="20">
        <v>4</v>
      </c>
      <c r="AI339" s="21">
        <v>4</v>
      </c>
      <c r="AJ339" s="22">
        <v>4</v>
      </c>
      <c r="AK339" s="46">
        <v>120000000</v>
      </c>
      <c r="AL339" s="47">
        <v>126840000</v>
      </c>
      <c r="AM339" s="48">
        <v>130645200</v>
      </c>
      <c r="AN339" s="49">
        <v>134564556</v>
      </c>
      <c r="AO339" s="50">
        <v>512049756</v>
      </c>
      <c r="AP339" s="37" t="s">
        <v>2014</v>
      </c>
    </row>
    <row r="340" spans="1:42" customFormat="1" ht="63.75" x14ac:dyDescent="0.25">
      <c r="A340" s="36">
        <v>339</v>
      </c>
      <c r="B340" s="37" t="s">
        <v>264</v>
      </c>
      <c r="C340" s="37" t="s">
        <v>265</v>
      </c>
      <c r="D340" s="38" t="s">
        <v>2389</v>
      </c>
      <c r="E340" s="37" t="s">
        <v>1717</v>
      </c>
      <c r="F340" s="37" t="s">
        <v>1718</v>
      </c>
      <c r="G340" s="36">
        <v>41.4</v>
      </c>
      <c r="H340" s="36">
        <v>2021</v>
      </c>
      <c r="I340" s="37" t="s">
        <v>1719</v>
      </c>
      <c r="J340" s="38" t="s">
        <v>1720</v>
      </c>
      <c r="K340" s="37" t="s">
        <v>36</v>
      </c>
      <c r="L340" s="37" t="s">
        <v>27</v>
      </c>
      <c r="M340" s="37" t="s">
        <v>1721</v>
      </c>
      <c r="N340" s="36">
        <v>41</v>
      </c>
      <c r="O340" s="58" t="s">
        <v>1823</v>
      </c>
      <c r="P340" s="36" t="s">
        <v>1662</v>
      </c>
      <c r="Q340" s="58" t="s">
        <v>1663</v>
      </c>
      <c r="R340" s="51" t="s">
        <v>1739</v>
      </c>
      <c r="S340" s="58" t="s">
        <v>1740</v>
      </c>
      <c r="T340" s="38" t="s">
        <v>1741</v>
      </c>
      <c r="U340" s="37" t="s">
        <v>1742</v>
      </c>
      <c r="V340" s="36" t="s">
        <v>1743</v>
      </c>
      <c r="W340" s="37" t="s">
        <v>1744</v>
      </c>
      <c r="X340" s="37" t="s">
        <v>1745</v>
      </c>
      <c r="Y340" s="37" t="s">
        <v>36</v>
      </c>
      <c r="Z340" s="36">
        <v>500</v>
      </c>
      <c r="AA340" s="36" t="s">
        <v>2185</v>
      </c>
      <c r="AB340" s="38" t="s">
        <v>2484</v>
      </c>
      <c r="AC340" s="37" t="s">
        <v>2195</v>
      </c>
      <c r="AD340" s="37" t="s">
        <v>2197</v>
      </c>
      <c r="AE340" s="37" t="s">
        <v>2190</v>
      </c>
      <c r="AF340" s="37" t="s">
        <v>2191</v>
      </c>
      <c r="AG340" s="19">
        <v>200</v>
      </c>
      <c r="AH340" s="20">
        <v>200</v>
      </c>
      <c r="AI340" s="21">
        <v>200</v>
      </c>
      <c r="AJ340" s="22">
        <v>200</v>
      </c>
      <c r="AK340" s="46">
        <v>100000000</v>
      </c>
      <c r="AL340" s="47">
        <v>105700000</v>
      </c>
      <c r="AM340" s="48">
        <v>108871000</v>
      </c>
      <c r="AN340" s="49">
        <v>112137130</v>
      </c>
      <c r="AO340" s="50">
        <v>426708130</v>
      </c>
      <c r="AP340" s="37" t="s">
        <v>2014</v>
      </c>
    </row>
    <row r="341" spans="1:42" customFormat="1" ht="63.75" x14ac:dyDescent="0.25">
      <c r="A341" s="36">
        <v>340</v>
      </c>
      <c r="B341" s="37" t="s">
        <v>264</v>
      </c>
      <c r="C341" s="37" t="s">
        <v>265</v>
      </c>
      <c r="D341" s="38" t="s">
        <v>2389</v>
      </c>
      <c r="E341" s="37" t="s">
        <v>1746</v>
      </c>
      <c r="F341" s="37" t="s">
        <v>1747</v>
      </c>
      <c r="G341" s="120">
        <v>0.3</v>
      </c>
      <c r="H341" s="36">
        <v>2023</v>
      </c>
      <c r="I341" s="37" t="s">
        <v>1721</v>
      </c>
      <c r="J341" s="38" t="s">
        <v>1748</v>
      </c>
      <c r="K341" s="37" t="s">
        <v>25</v>
      </c>
      <c r="L341" s="37" t="s">
        <v>27</v>
      </c>
      <c r="M341" s="37" t="s">
        <v>1721</v>
      </c>
      <c r="N341" s="36">
        <v>41</v>
      </c>
      <c r="O341" s="58" t="s">
        <v>1823</v>
      </c>
      <c r="P341" s="51">
        <v>4103</v>
      </c>
      <c r="Q341" s="58" t="s">
        <v>830</v>
      </c>
      <c r="R341" s="51" t="s">
        <v>1749</v>
      </c>
      <c r="S341" s="58" t="s">
        <v>1750</v>
      </c>
      <c r="T341" s="38" t="s">
        <v>1751</v>
      </c>
      <c r="U341" s="37" t="s">
        <v>119</v>
      </c>
      <c r="V341" s="36">
        <v>410305200</v>
      </c>
      <c r="W341" s="37" t="s">
        <v>1752</v>
      </c>
      <c r="X341" s="58" t="s">
        <v>1753</v>
      </c>
      <c r="Y341" s="37" t="s">
        <v>36</v>
      </c>
      <c r="Z341" s="36">
        <v>2000</v>
      </c>
      <c r="AA341" s="36" t="s">
        <v>2192</v>
      </c>
      <c r="AB341" s="38" t="s">
        <v>2413</v>
      </c>
      <c r="AC341" s="37" t="s">
        <v>2414</v>
      </c>
      <c r="AD341" s="58" t="s">
        <v>1547</v>
      </c>
      <c r="AE341" s="37" t="s">
        <v>2190</v>
      </c>
      <c r="AF341" s="37" t="s">
        <v>2191</v>
      </c>
      <c r="AG341" s="19">
        <v>3000</v>
      </c>
      <c r="AH341" s="20">
        <v>3000</v>
      </c>
      <c r="AI341" s="21">
        <v>3000</v>
      </c>
      <c r="AJ341" s="22">
        <v>3000</v>
      </c>
      <c r="AK341" s="46">
        <v>196144078.56999999</v>
      </c>
      <c r="AL341" s="47">
        <v>207324291.05000001</v>
      </c>
      <c r="AM341" s="48">
        <v>213544019.78</v>
      </c>
      <c r="AN341" s="49">
        <v>219950340.37</v>
      </c>
      <c r="AO341" s="50">
        <v>836962729.76999998</v>
      </c>
      <c r="AP341" s="37" t="s">
        <v>2014</v>
      </c>
    </row>
    <row r="342" spans="1:42" customFormat="1" ht="63.75" x14ac:dyDescent="0.25">
      <c r="A342" s="36">
        <v>341</v>
      </c>
      <c r="B342" s="37" t="s">
        <v>264</v>
      </c>
      <c r="C342" s="37" t="s">
        <v>265</v>
      </c>
      <c r="D342" s="38" t="s">
        <v>2389</v>
      </c>
      <c r="E342" s="37" t="s">
        <v>1746</v>
      </c>
      <c r="F342" s="37" t="s">
        <v>1747</v>
      </c>
      <c r="G342" s="120">
        <v>0.3</v>
      </c>
      <c r="H342" s="36">
        <v>2023</v>
      </c>
      <c r="I342" s="37" t="s">
        <v>1721</v>
      </c>
      <c r="J342" s="38" t="s">
        <v>1748</v>
      </c>
      <c r="K342" s="37" t="s">
        <v>25</v>
      </c>
      <c r="L342" s="37" t="s">
        <v>27</v>
      </c>
      <c r="M342" s="37" t="s">
        <v>1721</v>
      </c>
      <c r="N342" s="36">
        <v>41</v>
      </c>
      <c r="O342" s="58" t="s">
        <v>1823</v>
      </c>
      <c r="P342" s="51">
        <v>4104</v>
      </c>
      <c r="Q342" s="58" t="s">
        <v>1677</v>
      </c>
      <c r="R342" s="51" t="s">
        <v>1754</v>
      </c>
      <c r="S342" s="58" t="s">
        <v>1755</v>
      </c>
      <c r="T342" s="38" t="s">
        <v>1756</v>
      </c>
      <c r="U342" s="37" t="s">
        <v>203</v>
      </c>
      <c r="V342" s="36">
        <v>410402000</v>
      </c>
      <c r="W342" s="37" t="s">
        <v>1757</v>
      </c>
      <c r="X342" s="58" t="s">
        <v>1758</v>
      </c>
      <c r="Y342" s="37" t="s">
        <v>36</v>
      </c>
      <c r="Z342" s="36">
        <v>0</v>
      </c>
      <c r="AA342" s="36" t="s">
        <v>2185</v>
      </c>
      <c r="AB342" s="38" t="s">
        <v>2413</v>
      </c>
      <c r="AC342" s="37" t="s">
        <v>2415</v>
      </c>
      <c r="AD342" s="58" t="s">
        <v>1547</v>
      </c>
      <c r="AE342" s="37" t="s">
        <v>2190</v>
      </c>
      <c r="AF342" s="37" t="s">
        <v>2191</v>
      </c>
      <c r="AG342" s="19">
        <v>100</v>
      </c>
      <c r="AH342" s="20">
        <v>100</v>
      </c>
      <c r="AI342" s="21">
        <v>100</v>
      </c>
      <c r="AJ342" s="22">
        <v>100</v>
      </c>
      <c r="AK342" s="46">
        <v>214029065.81999999</v>
      </c>
      <c r="AL342" s="47">
        <v>226228722.56999999</v>
      </c>
      <c r="AM342" s="48">
        <v>233015584.25</v>
      </c>
      <c r="AN342" s="49">
        <v>240006051.78</v>
      </c>
      <c r="AO342" s="50">
        <v>913279424.41999996</v>
      </c>
      <c r="AP342" s="37" t="s">
        <v>2014</v>
      </c>
    </row>
    <row r="343" spans="1:42" customFormat="1" ht="63.75" x14ac:dyDescent="0.25">
      <c r="A343" s="36">
        <v>342</v>
      </c>
      <c r="B343" s="37" t="s">
        <v>264</v>
      </c>
      <c r="C343" s="37" t="s">
        <v>265</v>
      </c>
      <c r="D343" s="38" t="s">
        <v>2389</v>
      </c>
      <c r="E343" s="37" t="s">
        <v>1746</v>
      </c>
      <c r="F343" s="37" t="s">
        <v>1747</v>
      </c>
      <c r="G343" s="120">
        <v>0.3</v>
      </c>
      <c r="H343" s="36">
        <v>2023</v>
      </c>
      <c r="I343" s="37" t="s">
        <v>1721</v>
      </c>
      <c r="J343" s="38" t="s">
        <v>1748</v>
      </c>
      <c r="K343" s="37" t="s">
        <v>25</v>
      </c>
      <c r="L343" s="37" t="s">
        <v>27</v>
      </c>
      <c r="M343" s="37" t="s">
        <v>1721</v>
      </c>
      <c r="N343" s="36">
        <v>45</v>
      </c>
      <c r="O343" s="37" t="s">
        <v>786</v>
      </c>
      <c r="P343" s="51">
        <v>4502</v>
      </c>
      <c r="Q343" s="58" t="s">
        <v>1468</v>
      </c>
      <c r="R343" s="51" t="s">
        <v>1481</v>
      </c>
      <c r="S343" s="58" t="s">
        <v>1482</v>
      </c>
      <c r="T343" s="38" t="s">
        <v>1483</v>
      </c>
      <c r="U343" s="37" t="s">
        <v>1484</v>
      </c>
      <c r="V343" s="36">
        <v>450203300</v>
      </c>
      <c r="W343" s="37" t="s">
        <v>1486</v>
      </c>
      <c r="X343" s="58" t="s">
        <v>2069</v>
      </c>
      <c r="Y343" s="37" t="s">
        <v>36</v>
      </c>
      <c r="Z343" s="36">
        <v>12</v>
      </c>
      <c r="AA343" s="36" t="s">
        <v>2185</v>
      </c>
      <c r="AB343" s="38" t="s">
        <v>2413</v>
      </c>
      <c r="AC343" s="37" t="s">
        <v>2416</v>
      </c>
      <c r="AD343" s="58" t="s">
        <v>1547</v>
      </c>
      <c r="AE343" s="37" t="s">
        <v>2190</v>
      </c>
      <c r="AF343" s="37" t="s">
        <v>2191</v>
      </c>
      <c r="AG343" s="19">
        <v>3</v>
      </c>
      <c r="AH343" s="20">
        <v>3</v>
      </c>
      <c r="AI343" s="21">
        <v>3</v>
      </c>
      <c r="AJ343" s="22">
        <v>3</v>
      </c>
      <c r="AK343" s="46">
        <v>130151712.79000001</v>
      </c>
      <c r="AL343" s="47">
        <v>137570360.41999999</v>
      </c>
      <c r="AM343" s="48">
        <v>141697471.22999999</v>
      </c>
      <c r="AN343" s="49">
        <v>145948395.36000001</v>
      </c>
      <c r="AO343" s="50">
        <v>555367939.79999995</v>
      </c>
      <c r="AP343" s="37" t="s">
        <v>2014</v>
      </c>
    </row>
    <row r="344" spans="1:42" customFormat="1" ht="63.75" x14ac:dyDescent="0.25">
      <c r="A344" s="36">
        <v>343</v>
      </c>
      <c r="B344" s="37" t="s">
        <v>264</v>
      </c>
      <c r="C344" s="37" t="s">
        <v>265</v>
      </c>
      <c r="D344" s="38" t="s">
        <v>2389</v>
      </c>
      <c r="E344" s="37" t="s">
        <v>1759</v>
      </c>
      <c r="F344" s="37" t="s">
        <v>1760</v>
      </c>
      <c r="G344" s="36">
        <v>215</v>
      </c>
      <c r="H344" s="36">
        <v>2023</v>
      </c>
      <c r="I344" s="37" t="s">
        <v>1761</v>
      </c>
      <c r="J344" s="38" t="s">
        <v>1762</v>
      </c>
      <c r="K344" s="37" t="s">
        <v>36</v>
      </c>
      <c r="L344" s="37" t="s">
        <v>27</v>
      </c>
      <c r="M344" s="37" t="s">
        <v>1721</v>
      </c>
      <c r="N344" s="36">
        <v>45</v>
      </c>
      <c r="O344" s="37" t="s">
        <v>786</v>
      </c>
      <c r="P344" s="36" t="s">
        <v>1467</v>
      </c>
      <c r="Q344" s="37" t="s">
        <v>1468</v>
      </c>
      <c r="R344" s="36" t="s">
        <v>1763</v>
      </c>
      <c r="S344" s="37" t="s">
        <v>1764</v>
      </c>
      <c r="T344" s="38" t="s">
        <v>1765</v>
      </c>
      <c r="U344" s="37" t="s">
        <v>369</v>
      </c>
      <c r="V344" s="36" t="s">
        <v>1766</v>
      </c>
      <c r="W344" s="37" t="s">
        <v>1767</v>
      </c>
      <c r="X344" s="58" t="s">
        <v>2070</v>
      </c>
      <c r="Y344" s="58" t="s">
        <v>36</v>
      </c>
      <c r="Z344" s="51">
        <v>0</v>
      </c>
      <c r="AA344" s="51" t="s">
        <v>2192</v>
      </c>
      <c r="AB344" s="59" t="s">
        <v>2413</v>
      </c>
      <c r="AC344" s="58" t="s">
        <v>2417</v>
      </c>
      <c r="AD344" s="58" t="s">
        <v>1547</v>
      </c>
      <c r="AE344" s="37" t="s">
        <v>2190</v>
      </c>
      <c r="AF344" s="37" t="s">
        <v>2191</v>
      </c>
      <c r="AG344" s="116">
        <v>1</v>
      </c>
      <c r="AH344" s="117">
        <v>1</v>
      </c>
      <c r="AI344" s="118">
        <v>1</v>
      </c>
      <c r="AJ344" s="119">
        <v>1</v>
      </c>
      <c r="AK344" s="46">
        <v>154492512.30000001</v>
      </c>
      <c r="AL344" s="47">
        <v>163298585.50999999</v>
      </c>
      <c r="AM344" s="48">
        <v>168197543.06999999</v>
      </c>
      <c r="AN344" s="49">
        <v>173243469.36000001</v>
      </c>
      <c r="AO344" s="50">
        <v>659232110.24000001</v>
      </c>
      <c r="AP344" s="37" t="s">
        <v>2014</v>
      </c>
    </row>
    <row r="345" spans="1:42" customFormat="1" ht="63.75" x14ac:dyDescent="0.25">
      <c r="A345" s="36">
        <v>344</v>
      </c>
      <c r="B345" s="37" t="s">
        <v>264</v>
      </c>
      <c r="C345" s="37" t="s">
        <v>265</v>
      </c>
      <c r="D345" s="38" t="s">
        <v>2389</v>
      </c>
      <c r="E345" s="37" t="s">
        <v>1759</v>
      </c>
      <c r="F345" s="37" t="s">
        <v>1760</v>
      </c>
      <c r="G345" s="36">
        <v>215</v>
      </c>
      <c r="H345" s="36">
        <v>2023</v>
      </c>
      <c r="I345" s="37" t="s">
        <v>1761</v>
      </c>
      <c r="J345" s="38" t="s">
        <v>1762</v>
      </c>
      <c r="K345" s="37" t="s">
        <v>36</v>
      </c>
      <c r="L345" s="37" t="s">
        <v>27</v>
      </c>
      <c r="M345" s="37" t="s">
        <v>1721</v>
      </c>
      <c r="N345" s="51">
        <v>45</v>
      </c>
      <c r="O345" s="37" t="s">
        <v>786</v>
      </c>
      <c r="P345" s="51" t="s">
        <v>1467</v>
      </c>
      <c r="Q345" s="58" t="s">
        <v>1468</v>
      </c>
      <c r="R345" s="51" t="s">
        <v>1502</v>
      </c>
      <c r="S345" s="58" t="s">
        <v>1503</v>
      </c>
      <c r="T345" s="38" t="s">
        <v>1504</v>
      </c>
      <c r="U345" s="37" t="s">
        <v>792</v>
      </c>
      <c r="V345" s="36" t="s">
        <v>1505</v>
      </c>
      <c r="W345" s="37" t="s">
        <v>1506</v>
      </c>
      <c r="X345" s="58" t="s">
        <v>1768</v>
      </c>
      <c r="Y345" s="58" t="s">
        <v>764</v>
      </c>
      <c r="Z345" s="51">
        <v>4</v>
      </c>
      <c r="AA345" s="51" t="s">
        <v>2185</v>
      </c>
      <c r="AB345" s="59" t="s">
        <v>2413</v>
      </c>
      <c r="AC345" s="58" t="s">
        <v>2417</v>
      </c>
      <c r="AD345" s="58" t="s">
        <v>1547</v>
      </c>
      <c r="AE345" s="37" t="s">
        <v>2190</v>
      </c>
      <c r="AF345" s="37" t="s">
        <v>2191</v>
      </c>
      <c r="AG345" s="116">
        <v>1</v>
      </c>
      <c r="AH345" s="117">
        <v>1</v>
      </c>
      <c r="AI345" s="118">
        <v>1</v>
      </c>
      <c r="AJ345" s="119">
        <v>1</v>
      </c>
      <c r="AK345" s="46">
        <v>179051781.09</v>
      </c>
      <c r="AL345" s="47">
        <v>189257732.61000001</v>
      </c>
      <c r="AM345" s="48">
        <v>194935464.59</v>
      </c>
      <c r="AN345" s="49">
        <v>200783528.53</v>
      </c>
      <c r="AO345" s="50">
        <v>764028506.82000005</v>
      </c>
      <c r="AP345" s="37" t="s">
        <v>2014</v>
      </c>
    </row>
    <row r="346" spans="1:42" customFormat="1" ht="63.75" x14ac:dyDescent="0.25">
      <c r="A346" s="36">
        <v>345</v>
      </c>
      <c r="B346" s="37" t="s">
        <v>264</v>
      </c>
      <c r="C346" s="37" t="s">
        <v>265</v>
      </c>
      <c r="D346" s="38" t="s">
        <v>2389</v>
      </c>
      <c r="E346" s="37" t="s">
        <v>1759</v>
      </c>
      <c r="F346" s="37" t="s">
        <v>1760</v>
      </c>
      <c r="G346" s="36">
        <v>215</v>
      </c>
      <c r="H346" s="36">
        <v>2023</v>
      </c>
      <c r="I346" s="37" t="s">
        <v>1761</v>
      </c>
      <c r="J346" s="38" t="s">
        <v>1762</v>
      </c>
      <c r="K346" s="37" t="s">
        <v>36</v>
      </c>
      <c r="L346" s="37" t="s">
        <v>27</v>
      </c>
      <c r="M346" s="37" t="s">
        <v>1721</v>
      </c>
      <c r="N346" s="51">
        <v>45</v>
      </c>
      <c r="O346" s="37" t="s">
        <v>786</v>
      </c>
      <c r="P346" s="51" t="s">
        <v>1488</v>
      </c>
      <c r="Q346" s="58" t="s">
        <v>1143</v>
      </c>
      <c r="R346" s="51" t="s">
        <v>1769</v>
      </c>
      <c r="S346" s="58" t="s">
        <v>498</v>
      </c>
      <c r="T346" s="38" t="s">
        <v>1770</v>
      </c>
      <c r="U346" s="37" t="s">
        <v>500</v>
      </c>
      <c r="V346" s="36" t="s">
        <v>1771</v>
      </c>
      <c r="W346" s="37" t="s">
        <v>1772</v>
      </c>
      <c r="X346" s="58" t="s">
        <v>1773</v>
      </c>
      <c r="Y346" s="37" t="s">
        <v>36</v>
      </c>
      <c r="Z346" s="51">
        <v>0</v>
      </c>
      <c r="AA346" s="51" t="s">
        <v>2185</v>
      </c>
      <c r="AB346" s="59" t="s">
        <v>2413</v>
      </c>
      <c r="AC346" s="58" t="s">
        <v>2417</v>
      </c>
      <c r="AD346" s="58" t="s">
        <v>1547</v>
      </c>
      <c r="AE346" s="37" t="s">
        <v>2190</v>
      </c>
      <c r="AF346" s="37" t="s">
        <v>2191</v>
      </c>
      <c r="AG346" s="116">
        <v>1</v>
      </c>
      <c r="AH346" s="117">
        <v>1</v>
      </c>
      <c r="AI346" s="118">
        <v>1</v>
      </c>
      <c r="AJ346" s="119">
        <v>1</v>
      </c>
      <c r="AK346" s="46">
        <v>62558627.43</v>
      </c>
      <c r="AL346" s="47">
        <v>66124469.200000003</v>
      </c>
      <c r="AM346" s="48">
        <v>68108203.269999996</v>
      </c>
      <c r="AN346" s="49">
        <v>70151449.370000005</v>
      </c>
      <c r="AO346" s="50">
        <v>266942749.27000001</v>
      </c>
      <c r="AP346" s="37" t="s">
        <v>2014</v>
      </c>
    </row>
    <row r="347" spans="1:42" customFormat="1" ht="153" x14ac:dyDescent="0.25">
      <c r="A347" s="36">
        <v>346</v>
      </c>
      <c r="B347" s="37" t="s">
        <v>328</v>
      </c>
      <c r="C347" s="37" t="s">
        <v>465</v>
      </c>
      <c r="D347" s="38" t="s">
        <v>2389</v>
      </c>
      <c r="E347" s="37" t="s">
        <v>1492</v>
      </c>
      <c r="F347" s="37" t="s">
        <v>1493</v>
      </c>
      <c r="G347" s="36" t="s">
        <v>1494</v>
      </c>
      <c r="H347" s="36" t="s">
        <v>1494</v>
      </c>
      <c r="I347" s="37" t="s">
        <v>1495</v>
      </c>
      <c r="J347" s="38" t="s">
        <v>1496</v>
      </c>
      <c r="K347" s="87" t="s">
        <v>25</v>
      </c>
      <c r="L347" s="37"/>
      <c r="M347" s="37" t="s">
        <v>1495</v>
      </c>
      <c r="N347" s="51" t="s">
        <v>785</v>
      </c>
      <c r="O347" s="37" t="s">
        <v>786</v>
      </c>
      <c r="P347" s="51" t="s">
        <v>787</v>
      </c>
      <c r="Q347" s="58" t="s">
        <v>788</v>
      </c>
      <c r="R347" s="51" t="s">
        <v>789</v>
      </c>
      <c r="S347" s="58" t="s">
        <v>790</v>
      </c>
      <c r="T347" s="38" t="s">
        <v>791</v>
      </c>
      <c r="U347" s="37" t="s">
        <v>792</v>
      </c>
      <c r="V347" s="36" t="s">
        <v>793</v>
      </c>
      <c r="W347" s="37" t="s">
        <v>794</v>
      </c>
      <c r="X347" s="58" t="s">
        <v>2122</v>
      </c>
      <c r="Y347" s="58" t="s">
        <v>36</v>
      </c>
      <c r="Z347" s="121">
        <v>0</v>
      </c>
      <c r="AA347" s="51" t="s">
        <v>2185</v>
      </c>
      <c r="AB347" s="58" t="s">
        <v>2297</v>
      </c>
      <c r="AC347" s="58" t="s">
        <v>2418</v>
      </c>
      <c r="AD347" s="37" t="s">
        <v>1778</v>
      </c>
      <c r="AE347" s="58" t="s">
        <v>2298</v>
      </c>
      <c r="AF347" s="37" t="s">
        <v>2187</v>
      </c>
      <c r="AG347" s="116">
        <v>1</v>
      </c>
      <c r="AH347" s="117">
        <v>13</v>
      </c>
      <c r="AI347" s="118">
        <v>13</v>
      </c>
      <c r="AJ347" s="119">
        <v>11</v>
      </c>
      <c r="AK347" s="46">
        <v>92222222</v>
      </c>
      <c r="AL347" s="47">
        <v>202776389</v>
      </c>
      <c r="AM347" s="48">
        <v>203084680</v>
      </c>
      <c r="AN347" s="49">
        <v>93402221</v>
      </c>
      <c r="AO347" s="50">
        <v>591485512</v>
      </c>
      <c r="AP347" s="37" t="s">
        <v>1518</v>
      </c>
    </row>
    <row r="348" spans="1:42" customFormat="1" ht="153" x14ac:dyDescent="0.25">
      <c r="A348" s="36">
        <v>347</v>
      </c>
      <c r="B348" s="37" t="s">
        <v>264</v>
      </c>
      <c r="C348" s="37" t="s">
        <v>265</v>
      </c>
      <c r="D348" s="38" t="s">
        <v>2389</v>
      </c>
      <c r="E348" s="37" t="s">
        <v>1774</v>
      </c>
      <c r="F348" s="37" t="s">
        <v>1775</v>
      </c>
      <c r="G348" s="40">
        <v>0.46800000000000003</v>
      </c>
      <c r="H348" s="36">
        <v>2023</v>
      </c>
      <c r="I348" s="37" t="s">
        <v>1776</v>
      </c>
      <c r="J348" s="38" t="s">
        <v>1777</v>
      </c>
      <c r="K348" s="37" t="s">
        <v>25</v>
      </c>
      <c r="L348" s="37" t="s">
        <v>27</v>
      </c>
      <c r="M348" s="37" t="s">
        <v>1518</v>
      </c>
      <c r="N348" s="36">
        <v>17</v>
      </c>
      <c r="O348" s="37" t="s">
        <v>680</v>
      </c>
      <c r="P348" s="36" t="s">
        <v>681</v>
      </c>
      <c r="Q348" s="37" t="s">
        <v>682</v>
      </c>
      <c r="R348" s="36">
        <v>1702007</v>
      </c>
      <c r="S348" s="37" t="s">
        <v>683</v>
      </c>
      <c r="T348" s="38" t="s">
        <v>684</v>
      </c>
      <c r="U348" s="37" t="s">
        <v>685</v>
      </c>
      <c r="V348" s="51" t="s">
        <v>933</v>
      </c>
      <c r="W348" s="58" t="s">
        <v>686</v>
      </c>
      <c r="X348" s="114" t="s">
        <v>2176</v>
      </c>
      <c r="Y348" s="122" t="s">
        <v>36</v>
      </c>
      <c r="Z348" s="123">
        <v>92</v>
      </c>
      <c r="AA348" s="120" t="s">
        <v>2185</v>
      </c>
      <c r="AB348" s="122" t="s">
        <v>2299</v>
      </c>
      <c r="AC348" s="58" t="s">
        <v>2418</v>
      </c>
      <c r="AD348" s="37" t="s">
        <v>2300</v>
      </c>
      <c r="AE348" s="58" t="s">
        <v>2301</v>
      </c>
      <c r="AF348" s="37" t="s">
        <v>2302</v>
      </c>
      <c r="AG348" s="152">
        <v>0</v>
      </c>
      <c r="AH348" s="164">
        <v>150</v>
      </c>
      <c r="AI348" s="165">
        <v>150</v>
      </c>
      <c r="AJ348" s="166">
        <v>120</v>
      </c>
      <c r="AK348" s="46">
        <v>0</v>
      </c>
      <c r="AL348" s="47">
        <v>2000000000</v>
      </c>
      <c r="AM348" s="48">
        <v>1400000000</v>
      </c>
      <c r="AN348" s="49">
        <v>600000000</v>
      </c>
      <c r="AO348" s="50">
        <v>4000000000</v>
      </c>
      <c r="AP348" s="37" t="s">
        <v>1518</v>
      </c>
    </row>
    <row r="349" spans="1:42" customFormat="1" ht="153" x14ac:dyDescent="0.25">
      <c r="A349" s="36">
        <v>348</v>
      </c>
      <c r="B349" s="37" t="s">
        <v>264</v>
      </c>
      <c r="C349" s="37" t="s">
        <v>265</v>
      </c>
      <c r="D349" s="38" t="s">
        <v>2389</v>
      </c>
      <c r="E349" s="37" t="s">
        <v>1774</v>
      </c>
      <c r="F349" s="37" t="s">
        <v>1775</v>
      </c>
      <c r="G349" s="40">
        <v>0.46800000000000003</v>
      </c>
      <c r="H349" s="36">
        <v>2023</v>
      </c>
      <c r="I349" s="37" t="s">
        <v>1776</v>
      </c>
      <c r="J349" s="38" t="s">
        <v>1777</v>
      </c>
      <c r="K349" s="37" t="s">
        <v>25</v>
      </c>
      <c r="L349" s="37" t="s">
        <v>27</v>
      </c>
      <c r="M349" s="37" t="s">
        <v>1518</v>
      </c>
      <c r="N349" s="36">
        <v>17</v>
      </c>
      <c r="O349" s="37" t="s">
        <v>680</v>
      </c>
      <c r="P349" s="36" t="s">
        <v>681</v>
      </c>
      <c r="Q349" s="37" t="s">
        <v>682</v>
      </c>
      <c r="R349" s="36">
        <v>1702011</v>
      </c>
      <c r="S349" s="37" t="s">
        <v>1779</v>
      </c>
      <c r="T349" s="38" t="s">
        <v>1780</v>
      </c>
      <c r="U349" s="58" t="s">
        <v>839</v>
      </c>
      <c r="V349" s="51" t="s">
        <v>1781</v>
      </c>
      <c r="W349" s="58" t="s">
        <v>1782</v>
      </c>
      <c r="X349" s="114" t="s">
        <v>1783</v>
      </c>
      <c r="Y349" s="122" t="s">
        <v>36</v>
      </c>
      <c r="Z349" s="123">
        <v>92</v>
      </c>
      <c r="AA349" s="120" t="s">
        <v>2185</v>
      </c>
      <c r="AB349" s="122" t="s">
        <v>2303</v>
      </c>
      <c r="AC349" s="58" t="s">
        <v>2418</v>
      </c>
      <c r="AD349" s="37" t="s">
        <v>2300</v>
      </c>
      <c r="AE349" s="58" t="s">
        <v>2301</v>
      </c>
      <c r="AF349" s="37" t="s">
        <v>2302</v>
      </c>
      <c r="AG349" s="19">
        <v>30</v>
      </c>
      <c r="AH349" s="20">
        <v>180</v>
      </c>
      <c r="AI349" s="21">
        <v>180</v>
      </c>
      <c r="AJ349" s="22">
        <v>30</v>
      </c>
      <c r="AK349" s="46">
        <v>309722222</v>
      </c>
      <c r="AL349" s="47">
        <v>710276389</v>
      </c>
      <c r="AM349" s="48">
        <v>710584698</v>
      </c>
      <c r="AN349" s="49">
        <v>310902221</v>
      </c>
      <c r="AO349" s="50">
        <v>2041485530</v>
      </c>
      <c r="AP349" s="37" t="s">
        <v>1518</v>
      </c>
    </row>
    <row r="350" spans="1:42" customFormat="1" ht="153" x14ac:dyDescent="0.25">
      <c r="A350" s="36">
        <v>349</v>
      </c>
      <c r="B350" s="37" t="s">
        <v>264</v>
      </c>
      <c r="C350" s="37" t="s">
        <v>265</v>
      </c>
      <c r="D350" s="38" t="s">
        <v>2389</v>
      </c>
      <c r="E350" s="37" t="s">
        <v>1774</v>
      </c>
      <c r="F350" s="37" t="s">
        <v>1775</v>
      </c>
      <c r="G350" s="40">
        <v>0.46800000000000003</v>
      </c>
      <c r="H350" s="36">
        <v>2023</v>
      </c>
      <c r="I350" s="37" t="s">
        <v>1776</v>
      </c>
      <c r="J350" s="38" t="s">
        <v>1777</v>
      </c>
      <c r="K350" s="37" t="s">
        <v>25</v>
      </c>
      <c r="L350" s="37" t="s">
        <v>27</v>
      </c>
      <c r="M350" s="37" t="s">
        <v>1518</v>
      </c>
      <c r="N350" s="36">
        <v>35</v>
      </c>
      <c r="O350" s="37" t="s">
        <v>1784</v>
      </c>
      <c r="P350" s="51" t="s">
        <v>1043</v>
      </c>
      <c r="Q350" s="58" t="s">
        <v>320</v>
      </c>
      <c r="R350" s="51" t="s">
        <v>1044</v>
      </c>
      <c r="S350" s="58" t="s">
        <v>1045</v>
      </c>
      <c r="T350" s="59" t="s">
        <v>1046</v>
      </c>
      <c r="U350" s="58" t="s">
        <v>685</v>
      </c>
      <c r="V350" s="51" t="s">
        <v>1047</v>
      </c>
      <c r="W350" s="58" t="s">
        <v>1048</v>
      </c>
      <c r="X350" s="41" t="s">
        <v>1785</v>
      </c>
      <c r="Y350" s="122" t="s">
        <v>36</v>
      </c>
      <c r="Z350" s="123">
        <v>0</v>
      </c>
      <c r="AA350" s="120" t="s">
        <v>2185</v>
      </c>
      <c r="AB350" s="122" t="s">
        <v>2303</v>
      </c>
      <c r="AC350" s="58" t="s">
        <v>2418</v>
      </c>
      <c r="AD350" s="37" t="s">
        <v>2300</v>
      </c>
      <c r="AE350" s="58" t="s">
        <v>2304</v>
      </c>
      <c r="AF350" s="37" t="s">
        <v>2302</v>
      </c>
      <c r="AG350" s="19">
        <v>1</v>
      </c>
      <c r="AH350" s="20">
        <v>3</v>
      </c>
      <c r="AI350" s="21">
        <v>2</v>
      </c>
      <c r="AJ350" s="22">
        <v>1</v>
      </c>
      <c r="AK350" s="46">
        <v>114722222</v>
      </c>
      <c r="AL350" s="47">
        <v>255276389</v>
      </c>
      <c r="AM350" s="48">
        <v>255584680</v>
      </c>
      <c r="AN350" s="49">
        <v>115902221</v>
      </c>
      <c r="AO350" s="50">
        <v>741485512</v>
      </c>
      <c r="AP350" s="37" t="s">
        <v>1518</v>
      </c>
    </row>
    <row r="351" spans="1:42" customFormat="1" ht="153" x14ac:dyDescent="0.25">
      <c r="A351" s="36">
        <v>350</v>
      </c>
      <c r="B351" s="37" t="s">
        <v>630</v>
      </c>
      <c r="C351" s="37" t="s">
        <v>314</v>
      </c>
      <c r="D351" s="38" t="s">
        <v>2385</v>
      </c>
      <c r="E351" s="37" t="s">
        <v>926</v>
      </c>
      <c r="F351" s="37" t="s">
        <v>927</v>
      </c>
      <c r="G351" s="40" t="s">
        <v>928</v>
      </c>
      <c r="H351" s="62">
        <v>2018</v>
      </c>
      <c r="I351" s="37" t="s">
        <v>929</v>
      </c>
      <c r="J351" s="38" t="s">
        <v>930</v>
      </c>
      <c r="K351" s="37" t="s">
        <v>25</v>
      </c>
      <c r="L351" s="37" t="s">
        <v>27</v>
      </c>
      <c r="M351" s="37" t="s">
        <v>678</v>
      </c>
      <c r="N351" s="36">
        <v>36</v>
      </c>
      <c r="O351" s="37" t="s">
        <v>1023</v>
      </c>
      <c r="P351" s="51" t="s">
        <v>1786</v>
      </c>
      <c r="Q351" s="58" t="s">
        <v>1024</v>
      </c>
      <c r="R351" s="51" t="s">
        <v>1787</v>
      </c>
      <c r="S351" s="58" t="s">
        <v>1121</v>
      </c>
      <c r="T351" s="59" t="s">
        <v>1788</v>
      </c>
      <c r="U351" s="58" t="s">
        <v>1123</v>
      </c>
      <c r="V351" s="51" t="s">
        <v>1789</v>
      </c>
      <c r="W351" s="58" t="s">
        <v>1124</v>
      </c>
      <c r="X351" s="58" t="s">
        <v>2123</v>
      </c>
      <c r="Y351" s="122" t="s">
        <v>36</v>
      </c>
      <c r="Z351" s="123">
        <v>21</v>
      </c>
      <c r="AA351" s="120" t="s">
        <v>2185</v>
      </c>
      <c r="AB351" s="122" t="s">
        <v>2303</v>
      </c>
      <c r="AC351" s="58" t="s">
        <v>2418</v>
      </c>
      <c r="AD351" s="37" t="s">
        <v>2300</v>
      </c>
      <c r="AE351" s="58" t="s">
        <v>2304</v>
      </c>
      <c r="AF351" s="37" t="s">
        <v>2302</v>
      </c>
      <c r="AG351" s="19">
        <v>100</v>
      </c>
      <c r="AH351" s="20">
        <v>800</v>
      </c>
      <c r="AI351" s="21">
        <v>900</v>
      </c>
      <c r="AJ351" s="22">
        <v>300</v>
      </c>
      <c r="AK351" s="46">
        <v>1764160307.25</v>
      </c>
      <c r="AL351" s="47">
        <v>4348965254</v>
      </c>
      <c r="AM351" s="48">
        <v>4349273545</v>
      </c>
      <c r="AN351" s="49">
        <v>1870340305</v>
      </c>
      <c r="AO351" s="50">
        <v>12332739411.25</v>
      </c>
      <c r="AP351" s="37" t="s">
        <v>1518</v>
      </c>
    </row>
    <row r="352" spans="1:42" customFormat="1" ht="153" x14ac:dyDescent="0.25">
      <c r="A352" s="36">
        <v>351</v>
      </c>
      <c r="B352" s="37" t="s">
        <v>264</v>
      </c>
      <c r="C352" s="37" t="s">
        <v>265</v>
      </c>
      <c r="D352" s="38" t="s">
        <v>2388</v>
      </c>
      <c r="E352" s="37" t="s">
        <v>1774</v>
      </c>
      <c r="F352" s="37" t="s">
        <v>1775</v>
      </c>
      <c r="G352" s="40">
        <v>0.46800000000000003</v>
      </c>
      <c r="H352" s="36">
        <v>2023</v>
      </c>
      <c r="I352" s="37" t="s">
        <v>1776</v>
      </c>
      <c r="J352" s="38" t="s">
        <v>1777</v>
      </c>
      <c r="K352" s="37" t="s">
        <v>25</v>
      </c>
      <c r="L352" s="37" t="s">
        <v>27</v>
      </c>
      <c r="M352" s="37" t="s">
        <v>1518</v>
      </c>
      <c r="N352" s="51" t="s">
        <v>785</v>
      </c>
      <c r="O352" s="58" t="s">
        <v>786</v>
      </c>
      <c r="P352" s="51" t="s">
        <v>787</v>
      </c>
      <c r="Q352" s="58" t="s">
        <v>788</v>
      </c>
      <c r="R352" s="51" t="s">
        <v>1790</v>
      </c>
      <c r="S352" s="58" t="s">
        <v>1791</v>
      </c>
      <c r="T352" s="59" t="s">
        <v>1792</v>
      </c>
      <c r="U352" s="58" t="s">
        <v>968</v>
      </c>
      <c r="V352" s="51" t="s">
        <v>1793</v>
      </c>
      <c r="W352" s="58" t="s">
        <v>1146</v>
      </c>
      <c r="X352" s="59" t="s">
        <v>1794</v>
      </c>
      <c r="Y352" s="122" t="s">
        <v>36</v>
      </c>
      <c r="Z352" s="123">
        <v>0</v>
      </c>
      <c r="AA352" s="120" t="s">
        <v>2185</v>
      </c>
      <c r="AB352" s="122" t="s">
        <v>2305</v>
      </c>
      <c r="AC352" s="58" t="s">
        <v>2418</v>
      </c>
      <c r="AD352" s="37" t="s">
        <v>2306</v>
      </c>
      <c r="AE352" s="58" t="s">
        <v>2307</v>
      </c>
      <c r="AF352" s="37" t="s">
        <v>2308</v>
      </c>
      <c r="AG352" s="11">
        <v>0.2</v>
      </c>
      <c r="AH352" s="12">
        <v>0.3</v>
      </c>
      <c r="AI352" s="13">
        <v>0.3</v>
      </c>
      <c r="AJ352" s="14">
        <v>0.2</v>
      </c>
      <c r="AK352" s="46">
        <v>84722222</v>
      </c>
      <c r="AL352" s="47">
        <v>185276389</v>
      </c>
      <c r="AM352" s="48">
        <v>185584680</v>
      </c>
      <c r="AN352" s="49">
        <v>85902221</v>
      </c>
      <c r="AO352" s="50">
        <v>541485512</v>
      </c>
      <c r="AP352" s="37" t="s">
        <v>1518</v>
      </c>
    </row>
    <row r="353" spans="1:42" customFormat="1" ht="153" x14ac:dyDescent="0.25">
      <c r="A353" s="36">
        <v>352</v>
      </c>
      <c r="B353" s="37" t="s">
        <v>264</v>
      </c>
      <c r="C353" s="37" t="s">
        <v>265</v>
      </c>
      <c r="D353" s="38" t="s">
        <v>2388</v>
      </c>
      <c r="E353" s="37" t="s">
        <v>1774</v>
      </c>
      <c r="F353" s="37" t="s">
        <v>1775</v>
      </c>
      <c r="G353" s="40">
        <v>0.46800000000000003</v>
      </c>
      <c r="H353" s="36">
        <v>2023</v>
      </c>
      <c r="I353" s="37" t="s">
        <v>1776</v>
      </c>
      <c r="J353" s="38" t="s">
        <v>1777</v>
      </c>
      <c r="K353" s="37" t="s">
        <v>25</v>
      </c>
      <c r="L353" s="37" t="s">
        <v>27</v>
      </c>
      <c r="M353" s="37" t="s">
        <v>1518</v>
      </c>
      <c r="N353" s="36">
        <v>36</v>
      </c>
      <c r="O353" s="37" t="s">
        <v>1023</v>
      </c>
      <c r="P353" s="51" t="s">
        <v>1786</v>
      </c>
      <c r="Q353" s="58" t="s">
        <v>1024</v>
      </c>
      <c r="R353" s="51" t="s">
        <v>1795</v>
      </c>
      <c r="S353" s="58" t="s">
        <v>1117</v>
      </c>
      <c r="T353" s="59" t="s">
        <v>1118</v>
      </c>
      <c r="U353" s="58" t="s">
        <v>369</v>
      </c>
      <c r="V353" s="51" t="s">
        <v>1796</v>
      </c>
      <c r="W353" s="58" t="s">
        <v>1119</v>
      </c>
      <c r="X353" s="59" t="s">
        <v>2124</v>
      </c>
      <c r="Y353" s="122" t="s">
        <v>36</v>
      </c>
      <c r="Z353" s="123">
        <v>0</v>
      </c>
      <c r="AA353" s="120" t="s">
        <v>2185</v>
      </c>
      <c r="AB353" s="122" t="s">
        <v>2305</v>
      </c>
      <c r="AC353" s="58" t="s">
        <v>2418</v>
      </c>
      <c r="AD353" s="37" t="s">
        <v>2306</v>
      </c>
      <c r="AE353" s="58" t="s">
        <v>2307</v>
      </c>
      <c r="AF353" s="37" t="s">
        <v>2308</v>
      </c>
      <c r="AG353" s="11">
        <v>0.2</v>
      </c>
      <c r="AH353" s="12">
        <v>0.3</v>
      </c>
      <c r="AI353" s="13">
        <v>0.3</v>
      </c>
      <c r="AJ353" s="14">
        <v>0.2</v>
      </c>
      <c r="AK353" s="46">
        <v>69722222</v>
      </c>
      <c r="AL353" s="47">
        <v>150276389</v>
      </c>
      <c r="AM353" s="48">
        <v>150584680</v>
      </c>
      <c r="AN353" s="49">
        <v>70902221</v>
      </c>
      <c r="AO353" s="50">
        <v>441485512</v>
      </c>
      <c r="AP353" s="37" t="s">
        <v>1518</v>
      </c>
    </row>
    <row r="354" spans="1:42" customFormat="1" ht="153" x14ac:dyDescent="0.25">
      <c r="A354" s="36">
        <v>353</v>
      </c>
      <c r="B354" s="37" t="s">
        <v>264</v>
      </c>
      <c r="C354" s="37" t="s">
        <v>265</v>
      </c>
      <c r="D354" s="38" t="s">
        <v>2388</v>
      </c>
      <c r="E354" s="37" t="s">
        <v>1774</v>
      </c>
      <c r="F354" s="37" t="s">
        <v>1775</v>
      </c>
      <c r="G354" s="40">
        <v>0.46800000000000003</v>
      </c>
      <c r="H354" s="36">
        <v>2023</v>
      </c>
      <c r="I354" s="37" t="s">
        <v>1776</v>
      </c>
      <c r="J354" s="38" t="s">
        <v>1777</v>
      </c>
      <c r="K354" s="37" t="s">
        <v>25</v>
      </c>
      <c r="L354" s="37" t="s">
        <v>27</v>
      </c>
      <c r="M354" s="37" t="s">
        <v>1518</v>
      </c>
      <c r="N354" s="36">
        <v>36</v>
      </c>
      <c r="O354" s="37" t="s">
        <v>1023</v>
      </c>
      <c r="P354" s="51" t="s">
        <v>1786</v>
      </c>
      <c r="Q354" s="58" t="s">
        <v>1024</v>
      </c>
      <c r="R354" s="51" t="s">
        <v>1797</v>
      </c>
      <c r="S354" s="58" t="s">
        <v>1798</v>
      </c>
      <c r="T354" s="59" t="s">
        <v>1799</v>
      </c>
      <c r="U354" s="58" t="s">
        <v>1606</v>
      </c>
      <c r="V354" s="51" t="s">
        <v>1800</v>
      </c>
      <c r="W354" s="58" t="s">
        <v>1801</v>
      </c>
      <c r="X354" s="114" t="s">
        <v>1802</v>
      </c>
      <c r="Y354" s="122" t="s">
        <v>36</v>
      </c>
      <c r="Z354" s="123">
        <v>4</v>
      </c>
      <c r="AA354" s="120" t="s">
        <v>2185</v>
      </c>
      <c r="AB354" s="122" t="s">
        <v>2305</v>
      </c>
      <c r="AC354" s="58" t="s">
        <v>2418</v>
      </c>
      <c r="AD354" s="37" t="s">
        <v>2306</v>
      </c>
      <c r="AE354" s="58" t="s">
        <v>2307</v>
      </c>
      <c r="AF354" s="37" t="s">
        <v>2308</v>
      </c>
      <c r="AG354" s="19">
        <v>2</v>
      </c>
      <c r="AH354" s="20">
        <v>5</v>
      </c>
      <c r="AI354" s="21">
        <v>5</v>
      </c>
      <c r="AJ354" s="22">
        <v>2</v>
      </c>
      <c r="AK354" s="46">
        <v>77222222</v>
      </c>
      <c r="AL354" s="47">
        <v>167776389</v>
      </c>
      <c r="AM354" s="48">
        <v>168084680</v>
      </c>
      <c r="AN354" s="49">
        <v>78402221</v>
      </c>
      <c r="AO354" s="50">
        <v>491485512</v>
      </c>
      <c r="AP354" s="37" t="s">
        <v>1518</v>
      </c>
    </row>
    <row r="355" spans="1:42" customFormat="1" ht="153" x14ac:dyDescent="0.25">
      <c r="A355" s="36">
        <v>354</v>
      </c>
      <c r="B355" s="37" t="s">
        <v>264</v>
      </c>
      <c r="C355" s="37" t="s">
        <v>265</v>
      </c>
      <c r="D355" s="38" t="s">
        <v>2388</v>
      </c>
      <c r="E355" s="37" t="s">
        <v>1803</v>
      </c>
      <c r="F355" s="37" t="s">
        <v>1804</v>
      </c>
      <c r="G355" s="39">
        <v>7.0999999999999994E-2</v>
      </c>
      <c r="H355" s="36">
        <v>2023</v>
      </c>
      <c r="I355" s="37" t="s">
        <v>1805</v>
      </c>
      <c r="J355" s="38" t="s">
        <v>1806</v>
      </c>
      <c r="K355" s="37" t="s">
        <v>25</v>
      </c>
      <c r="L355" s="37" t="s">
        <v>27</v>
      </c>
      <c r="M355" s="37" t="s">
        <v>1518</v>
      </c>
      <c r="N355" s="51" t="s">
        <v>1807</v>
      </c>
      <c r="O355" s="58" t="s">
        <v>1388</v>
      </c>
      <c r="P355" s="51" t="s">
        <v>765</v>
      </c>
      <c r="Q355" s="58" t="s">
        <v>766</v>
      </c>
      <c r="R355" s="51" t="s">
        <v>1808</v>
      </c>
      <c r="S355" s="58" t="s">
        <v>1809</v>
      </c>
      <c r="T355" s="59" t="s">
        <v>1810</v>
      </c>
      <c r="U355" s="58" t="s">
        <v>203</v>
      </c>
      <c r="V355" s="51" t="s">
        <v>1811</v>
      </c>
      <c r="W355" s="58" t="s">
        <v>1812</v>
      </c>
      <c r="X355" s="114" t="s">
        <v>1813</v>
      </c>
      <c r="Y355" s="122" t="s">
        <v>36</v>
      </c>
      <c r="Z355" s="123">
        <v>1627</v>
      </c>
      <c r="AA355" s="120" t="s">
        <v>2185</v>
      </c>
      <c r="AB355" s="122" t="s">
        <v>2305</v>
      </c>
      <c r="AC355" s="58" t="s">
        <v>2418</v>
      </c>
      <c r="AD355" s="37" t="s">
        <v>2300</v>
      </c>
      <c r="AE355" s="58" t="s">
        <v>2309</v>
      </c>
      <c r="AF355" s="37" t="s">
        <v>2298</v>
      </c>
      <c r="AG355" s="152">
        <v>0</v>
      </c>
      <c r="AH355" s="164">
        <v>1500</v>
      </c>
      <c r="AI355" s="165">
        <v>0</v>
      </c>
      <c r="AJ355" s="166">
        <v>0</v>
      </c>
      <c r="AK355" s="46">
        <v>0</v>
      </c>
      <c r="AL355" s="47">
        <v>1500000000</v>
      </c>
      <c r="AM355" s="48">
        <v>0</v>
      </c>
      <c r="AN355" s="49">
        <v>0</v>
      </c>
      <c r="AO355" s="50">
        <v>1500000000</v>
      </c>
      <c r="AP355" s="37" t="s">
        <v>1518</v>
      </c>
    </row>
    <row r="356" spans="1:42" customFormat="1" ht="153" x14ac:dyDescent="0.25">
      <c r="A356" s="36">
        <v>355</v>
      </c>
      <c r="B356" s="37" t="s">
        <v>264</v>
      </c>
      <c r="C356" s="37" t="s">
        <v>265</v>
      </c>
      <c r="D356" s="38" t="s">
        <v>2388</v>
      </c>
      <c r="E356" s="37" t="s">
        <v>1814</v>
      </c>
      <c r="F356" s="37" t="s">
        <v>1815</v>
      </c>
      <c r="G356" s="40">
        <v>0.1163</v>
      </c>
      <c r="H356" s="36">
        <v>2022</v>
      </c>
      <c r="I356" s="37" t="s">
        <v>1816</v>
      </c>
      <c r="J356" s="38" t="s">
        <v>1981</v>
      </c>
      <c r="K356" s="37" t="s">
        <v>25</v>
      </c>
      <c r="L356" s="37"/>
      <c r="M356" s="37" t="s">
        <v>1518</v>
      </c>
      <c r="N356" s="51">
        <v>12</v>
      </c>
      <c r="O356" s="58" t="s">
        <v>1571</v>
      </c>
      <c r="P356" s="51">
        <v>1202</v>
      </c>
      <c r="Q356" s="58" t="s">
        <v>1983</v>
      </c>
      <c r="R356" s="51" t="s">
        <v>1817</v>
      </c>
      <c r="S356" s="58" t="s">
        <v>1818</v>
      </c>
      <c r="T356" s="59" t="s">
        <v>1819</v>
      </c>
      <c r="U356" s="58" t="s">
        <v>358</v>
      </c>
      <c r="V356" s="51" t="s">
        <v>1820</v>
      </c>
      <c r="W356" s="58" t="s">
        <v>1821</v>
      </c>
      <c r="X356" s="114" t="s">
        <v>1822</v>
      </c>
      <c r="Y356" s="122" t="s">
        <v>36</v>
      </c>
      <c r="Z356" s="123">
        <v>8</v>
      </c>
      <c r="AA356" s="120" t="s">
        <v>2185</v>
      </c>
      <c r="AB356" s="122" t="s">
        <v>2305</v>
      </c>
      <c r="AC356" s="58" t="s">
        <v>2418</v>
      </c>
      <c r="AD356" s="37" t="s">
        <v>1778</v>
      </c>
      <c r="AE356" s="58" t="s">
        <v>2298</v>
      </c>
      <c r="AF356" s="37" t="s">
        <v>2187</v>
      </c>
      <c r="AG356" s="19">
        <v>2</v>
      </c>
      <c r="AH356" s="20">
        <v>15</v>
      </c>
      <c r="AI356" s="21">
        <v>16</v>
      </c>
      <c r="AJ356" s="22">
        <v>3</v>
      </c>
      <c r="AK356" s="46">
        <v>107222222</v>
      </c>
      <c r="AL356" s="47">
        <v>237776389</v>
      </c>
      <c r="AM356" s="48">
        <v>238084680</v>
      </c>
      <c r="AN356" s="49">
        <v>108402221</v>
      </c>
      <c r="AO356" s="50">
        <v>691485512</v>
      </c>
      <c r="AP356" s="37" t="s">
        <v>1518</v>
      </c>
    </row>
    <row r="357" spans="1:42" customFormat="1" ht="153" x14ac:dyDescent="0.25">
      <c r="A357" s="36">
        <v>356</v>
      </c>
      <c r="B357" s="37" t="s">
        <v>264</v>
      </c>
      <c r="C357" s="37" t="s">
        <v>265</v>
      </c>
      <c r="D357" s="38" t="s">
        <v>2388</v>
      </c>
      <c r="E357" s="37" t="s">
        <v>1814</v>
      </c>
      <c r="F357" s="37" t="s">
        <v>1815</v>
      </c>
      <c r="G357" s="40">
        <v>0.1163</v>
      </c>
      <c r="H357" s="36">
        <v>2022</v>
      </c>
      <c r="I357" s="37" t="s">
        <v>1816</v>
      </c>
      <c r="J357" s="38" t="s">
        <v>1981</v>
      </c>
      <c r="K357" s="37" t="s">
        <v>25</v>
      </c>
      <c r="L357" s="37"/>
      <c r="M357" s="37" t="s">
        <v>1518</v>
      </c>
      <c r="N357" s="51">
        <v>41</v>
      </c>
      <c r="O357" s="58" t="s">
        <v>1823</v>
      </c>
      <c r="P357" s="51" t="s">
        <v>1583</v>
      </c>
      <c r="Q357" s="58" t="s">
        <v>1584</v>
      </c>
      <c r="R357" s="51" t="s">
        <v>1824</v>
      </c>
      <c r="S357" s="58" t="s">
        <v>1825</v>
      </c>
      <c r="T357" s="59" t="s">
        <v>1826</v>
      </c>
      <c r="U357" s="58" t="s">
        <v>1827</v>
      </c>
      <c r="V357" s="51" t="s">
        <v>1828</v>
      </c>
      <c r="W357" s="58" t="s">
        <v>1829</v>
      </c>
      <c r="X357" s="114" t="s">
        <v>1830</v>
      </c>
      <c r="Y357" s="122" t="s">
        <v>36</v>
      </c>
      <c r="Z357" s="123">
        <v>0</v>
      </c>
      <c r="AA357" s="120" t="s">
        <v>2185</v>
      </c>
      <c r="AB357" s="122" t="s">
        <v>2305</v>
      </c>
      <c r="AC357" s="58" t="s">
        <v>2418</v>
      </c>
      <c r="AD357" s="37" t="s">
        <v>1778</v>
      </c>
      <c r="AE357" s="37" t="s">
        <v>2298</v>
      </c>
      <c r="AF357" s="37" t="s">
        <v>2187</v>
      </c>
      <c r="AG357" s="19">
        <v>1</v>
      </c>
      <c r="AH357" s="20">
        <v>3</v>
      </c>
      <c r="AI357" s="21">
        <v>2</v>
      </c>
      <c r="AJ357" s="22">
        <v>1</v>
      </c>
      <c r="AK357" s="46">
        <v>72722222</v>
      </c>
      <c r="AL357" s="47">
        <v>157276389</v>
      </c>
      <c r="AM357" s="48">
        <v>157584680</v>
      </c>
      <c r="AN357" s="49">
        <v>73902221</v>
      </c>
      <c r="AO357" s="50">
        <v>461485512</v>
      </c>
      <c r="AP357" s="37" t="s">
        <v>1518</v>
      </c>
    </row>
    <row r="358" spans="1:42" customFormat="1" ht="153" x14ac:dyDescent="0.25">
      <c r="A358" s="36">
        <v>357</v>
      </c>
      <c r="B358" s="37" t="s">
        <v>264</v>
      </c>
      <c r="C358" s="37" t="s">
        <v>265</v>
      </c>
      <c r="D358" s="38" t="s">
        <v>2388</v>
      </c>
      <c r="E358" s="37" t="s">
        <v>1814</v>
      </c>
      <c r="F358" s="37" t="s">
        <v>1815</v>
      </c>
      <c r="G358" s="40">
        <v>0.1163</v>
      </c>
      <c r="H358" s="36">
        <v>2022</v>
      </c>
      <c r="I358" s="37" t="s">
        <v>1816</v>
      </c>
      <c r="J358" s="38" t="s">
        <v>1981</v>
      </c>
      <c r="K358" s="37" t="s">
        <v>25</v>
      </c>
      <c r="L358" s="37"/>
      <c r="M358" s="37" t="s">
        <v>1518</v>
      </c>
      <c r="N358" s="36" t="s">
        <v>785</v>
      </c>
      <c r="O358" s="37" t="s">
        <v>786</v>
      </c>
      <c r="P358" s="36" t="s">
        <v>1467</v>
      </c>
      <c r="Q358" s="37" t="s">
        <v>1468</v>
      </c>
      <c r="R358" s="36" t="s">
        <v>1530</v>
      </c>
      <c r="S358" s="37" t="s">
        <v>1531</v>
      </c>
      <c r="T358" s="38" t="s">
        <v>1532</v>
      </c>
      <c r="U358" s="37" t="s">
        <v>1533</v>
      </c>
      <c r="V358" s="36" t="s">
        <v>1534</v>
      </c>
      <c r="W358" s="37" t="s">
        <v>1535</v>
      </c>
      <c r="X358" s="114" t="s">
        <v>2125</v>
      </c>
      <c r="Y358" s="122" t="s">
        <v>36</v>
      </c>
      <c r="Z358" s="123">
        <v>1</v>
      </c>
      <c r="AA358" s="120" t="s">
        <v>2185</v>
      </c>
      <c r="AB358" s="122" t="s">
        <v>2305</v>
      </c>
      <c r="AC358" s="58" t="s">
        <v>2418</v>
      </c>
      <c r="AD358" s="37" t="s">
        <v>1778</v>
      </c>
      <c r="AE358" s="58" t="s">
        <v>2298</v>
      </c>
      <c r="AF358" s="37" t="s">
        <v>2187</v>
      </c>
      <c r="AG358" s="15">
        <v>0.25</v>
      </c>
      <c r="AH358" s="16">
        <v>0.25</v>
      </c>
      <c r="AI358" s="17">
        <v>0.25</v>
      </c>
      <c r="AJ358" s="18">
        <v>0.25</v>
      </c>
      <c r="AK358" s="46">
        <v>456722222</v>
      </c>
      <c r="AL358" s="47">
        <v>683326389</v>
      </c>
      <c r="AM358" s="48">
        <v>672536180</v>
      </c>
      <c r="AN358" s="49">
        <v>234402221</v>
      </c>
      <c r="AO358" s="50">
        <v>2046987012</v>
      </c>
      <c r="AP358" s="37" t="s">
        <v>1518</v>
      </c>
    </row>
    <row r="359" spans="1:42" customFormat="1" ht="153" x14ac:dyDescent="0.25">
      <c r="A359" s="36">
        <v>358</v>
      </c>
      <c r="B359" s="37" t="s">
        <v>264</v>
      </c>
      <c r="C359" s="37" t="s">
        <v>265</v>
      </c>
      <c r="D359" s="38" t="s">
        <v>2388</v>
      </c>
      <c r="E359" s="37" t="s">
        <v>1814</v>
      </c>
      <c r="F359" s="37" t="s">
        <v>1815</v>
      </c>
      <c r="G359" s="40">
        <v>0.1163</v>
      </c>
      <c r="H359" s="36">
        <v>2022</v>
      </c>
      <c r="I359" s="37" t="s">
        <v>1816</v>
      </c>
      <c r="J359" s="38" t="s">
        <v>1981</v>
      </c>
      <c r="K359" s="37" t="s">
        <v>25</v>
      </c>
      <c r="L359" s="37"/>
      <c r="M359" s="37" t="s">
        <v>1518</v>
      </c>
      <c r="N359" s="36" t="s">
        <v>785</v>
      </c>
      <c r="O359" s="37" t="s">
        <v>786</v>
      </c>
      <c r="P359" s="36" t="s">
        <v>1467</v>
      </c>
      <c r="Q359" s="37" t="s">
        <v>1468</v>
      </c>
      <c r="R359" s="36" t="s">
        <v>1530</v>
      </c>
      <c r="S359" s="37" t="s">
        <v>1531</v>
      </c>
      <c r="T359" s="38" t="s">
        <v>1532</v>
      </c>
      <c r="U359" s="37" t="s">
        <v>1533</v>
      </c>
      <c r="V359" s="36" t="s">
        <v>1534</v>
      </c>
      <c r="W359" s="37" t="s">
        <v>1535</v>
      </c>
      <c r="X359" s="114" t="s">
        <v>2126</v>
      </c>
      <c r="Y359" s="122" t="s">
        <v>36</v>
      </c>
      <c r="Z359" s="123">
        <v>0</v>
      </c>
      <c r="AA359" s="120" t="s">
        <v>2185</v>
      </c>
      <c r="AB359" s="122" t="s">
        <v>2305</v>
      </c>
      <c r="AC359" s="58" t="s">
        <v>2418</v>
      </c>
      <c r="AD359" s="37" t="s">
        <v>1778</v>
      </c>
      <c r="AE359" s="58" t="s">
        <v>2298</v>
      </c>
      <c r="AF359" s="37" t="s">
        <v>2187</v>
      </c>
      <c r="AG359" s="19">
        <v>1</v>
      </c>
      <c r="AH359" s="20">
        <v>1</v>
      </c>
      <c r="AI359" s="21">
        <v>1</v>
      </c>
      <c r="AJ359" s="22">
        <v>1</v>
      </c>
      <c r="AK359" s="46">
        <v>107222222</v>
      </c>
      <c r="AL359" s="47">
        <v>237776389</v>
      </c>
      <c r="AM359" s="48">
        <v>238084680</v>
      </c>
      <c r="AN359" s="49">
        <v>108402221</v>
      </c>
      <c r="AO359" s="50">
        <v>691485512</v>
      </c>
      <c r="AP359" s="37" t="s">
        <v>1518</v>
      </c>
    </row>
    <row r="360" spans="1:42" customFormat="1" ht="153" x14ac:dyDescent="0.25">
      <c r="A360" s="36">
        <v>359</v>
      </c>
      <c r="B360" s="37" t="s">
        <v>264</v>
      </c>
      <c r="C360" s="37" t="s">
        <v>265</v>
      </c>
      <c r="D360" s="38" t="s">
        <v>2388</v>
      </c>
      <c r="E360" s="37" t="s">
        <v>1814</v>
      </c>
      <c r="F360" s="37" t="s">
        <v>1815</v>
      </c>
      <c r="G360" s="40">
        <v>0.1163</v>
      </c>
      <c r="H360" s="36">
        <v>2022</v>
      </c>
      <c r="I360" s="37" t="s">
        <v>1816</v>
      </c>
      <c r="J360" s="38" t="s">
        <v>1981</v>
      </c>
      <c r="K360" s="37" t="s">
        <v>25</v>
      </c>
      <c r="L360" s="37" t="s">
        <v>27</v>
      </c>
      <c r="M360" s="37" t="s">
        <v>1518</v>
      </c>
      <c r="N360" s="36">
        <v>45</v>
      </c>
      <c r="O360" s="37" t="s">
        <v>940</v>
      </c>
      <c r="P360" s="51" t="s">
        <v>787</v>
      </c>
      <c r="Q360" s="58" t="s">
        <v>788</v>
      </c>
      <c r="R360" s="51">
        <v>4501050</v>
      </c>
      <c r="S360" s="58" t="s">
        <v>1834</v>
      </c>
      <c r="T360" s="59" t="s">
        <v>1835</v>
      </c>
      <c r="U360" s="58" t="s">
        <v>1836</v>
      </c>
      <c r="V360" s="51">
        <v>450105000</v>
      </c>
      <c r="W360" s="58" t="s">
        <v>1837</v>
      </c>
      <c r="X360" s="41" t="s">
        <v>1838</v>
      </c>
      <c r="Y360" s="122" t="s">
        <v>36</v>
      </c>
      <c r="Z360" s="123">
        <v>1195</v>
      </c>
      <c r="AA360" s="120" t="s">
        <v>2185</v>
      </c>
      <c r="AB360" s="122" t="s">
        <v>2305</v>
      </c>
      <c r="AC360" s="58" t="s">
        <v>2418</v>
      </c>
      <c r="AD360" s="37" t="s">
        <v>1547</v>
      </c>
      <c r="AE360" s="37" t="s">
        <v>2298</v>
      </c>
      <c r="AF360" s="37" t="s">
        <v>2187</v>
      </c>
      <c r="AG360" s="19">
        <v>200</v>
      </c>
      <c r="AH360" s="20">
        <v>500</v>
      </c>
      <c r="AI360" s="21">
        <v>500</v>
      </c>
      <c r="AJ360" s="22">
        <v>300</v>
      </c>
      <c r="AK360" s="46">
        <v>549722222</v>
      </c>
      <c r="AL360" s="47">
        <v>1270276389</v>
      </c>
      <c r="AM360" s="48">
        <v>1270584680</v>
      </c>
      <c r="AN360" s="49">
        <v>550902221</v>
      </c>
      <c r="AO360" s="50">
        <v>3641485512</v>
      </c>
      <c r="AP360" s="37" t="s">
        <v>1518</v>
      </c>
    </row>
    <row r="361" spans="1:42" customFormat="1" ht="153" x14ac:dyDescent="0.25">
      <c r="A361" s="36">
        <v>360</v>
      </c>
      <c r="B361" s="37" t="s">
        <v>264</v>
      </c>
      <c r="C361" s="37" t="s">
        <v>265</v>
      </c>
      <c r="D361" s="38" t="s">
        <v>2388</v>
      </c>
      <c r="E361" s="37" t="s">
        <v>1814</v>
      </c>
      <c r="F361" s="37" t="s">
        <v>1815</v>
      </c>
      <c r="G361" s="40">
        <v>0.1163</v>
      </c>
      <c r="H361" s="36">
        <v>2022</v>
      </c>
      <c r="I361" s="37" t="s">
        <v>1816</v>
      </c>
      <c r="J361" s="38" t="s">
        <v>1981</v>
      </c>
      <c r="K361" s="37" t="s">
        <v>25</v>
      </c>
      <c r="L361" s="37" t="s">
        <v>27</v>
      </c>
      <c r="M361" s="37" t="s">
        <v>1518</v>
      </c>
      <c r="N361" s="51">
        <v>41</v>
      </c>
      <c r="O361" s="58" t="s">
        <v>1823</v>
      </c>
      <c r="P361" s="51" t="s">
        <v>1662</v>
      </c>
      <c r="Q361" s="58" t="s">
        <v>1663</v>
      </c>
      <c r="R361" s="51" t="s">
        <v>1831</v>
      </c>
      <c r="S361" s="58" t="s">
        <v>1825</v>
      </c>
      <c r="T361" s="59" t="s">
        <v>1832</v>
      </c>
      <c r="U361" s="58" t="s">
        <v>1827</v>
      </c>
      <c r="V361" s="51" t="s">
        <v>1833</v>
      </c>
      <c r="W361" s="58" t="s">
        <v>1829</v>
      </c>
      <c r="X361" s="41" t="s">
        <v>2127</v>
      </c>
      <c r="Y361" s="122" t="s">
        <v>36</v>
      </c>
      <c r="Z361" s="123">
        <v>0</v>
      </c>
      <c r="AA361" s="120" t="s">
        <v>2185</v>
      </c>
      <c r="AB361" s="122" t="s">
        <v>2305</v>
      </c>
      <c r="AC361" s="58" t="s">
        <v>2418</v>
      </c>
      <c r="AD361" s="37" t="s">
        <v>1778</v>
      </c>
      <c r="AE361" s="58" t="s">
        <v>2298</v>
      </c>
      <c r="AF361" s="37" t="s">
        <v>2187</v>
      </c>
      <c r="AG361" s="19">
        <v>1</v>
      </c>
      <c r="AH361" s="20">
        <v>1</v>
      </c>
      <c r="AI361" s="21">
        <v>1</v>
      </c>
      <c r="AJ361" s="22">
        <v>1</v>
      </c>
      <c r="AK361" s="46">
        <v>77222222</v>
      </c>
      <c r="AL361" s="47">
        <v>167776389</v>
      </c>
      <c r="AM361" s="48">
        <v>168084680</v>
      </c>
      <c r="AN361" s="49">
        <v>78402221</v>
      </c>
      <c r="AO361" s="50">
        <v>491485512</v>
      </c>
      <c r="AP361" s="37" t="s">
        <v>1518</v>
      </c>
    </row>
    <row r="362" spans="1:42" customFormat="1" ht="153" x14ac:dyDescent="0.25">
      <c r="A362" s="36">
        <v>361</v>
      </c>
      <c r="B362" s="37" t="s">
        <v>264</v>
      </c>
      <c r="C362" s="37" t="s">
        <v>265</v>
      </c>
      <c r="D362" s="38" t="s">
        <v>2388</v>
      </c>
      <c r="E362" s="37" t="s">
        <v>1814</v>
      </c>
      <c r="F362" s="37" t="s">
        <v>1815</v>
      </c>
      <c r="G362" s="40">
        <v>0.1163</v>
      </c>
      <c r="H362" s="36">
        <v>2022</v>
      </c>
      <c r="I362" s="37" t="s">
        <v>1816</v>
      </c>
      <c r="J362" s="38" t="s">
        <v>1981</v>
      </c>
      <c r="K362" s="37" t="s">
        <v>25</v>
      </c>
      <c r="L362" s="37" t="s">
        <v>27</v>
      </c>
      <c r="M362" s="37" t="s">
        <v>1518</v>
      </c>
      <c r="N362" s="51">
        <v>19</v>
      </c>
      <c r="O362" s="58" t="s">
        <v>1839</v>
      </c>
      <c r="P362" s="51">
        <v>1905</v>
      </c>
      <c r="Q362" s="58" t="s">
        <v>354</v>
      </c>
      <c r="R362" s="36">
        <v>190502</v>
      </c>
      <c r="S362" s="37" t="s">
        <v>1840</v>
      </c>
      <c r="T362" s="38" t="s">
        <v>1841</v>
      </c>
      <c r="U362" s="37" t="s">
        <v>358</v>
      </c>
      <c r="V362" s="36">
        <v>190502000</v>
      </c>
      <c r="W362" s="37" t="s">
        <v>1842</v>
      </c>
      <c r="X362" s="41" t="s">
        <v>1843</v>
      </c>
      <c r="Y362" s="122" t="s">
        <v>36</v>
      </c>
      <c r="Z362" s="123">
        <v>0</v>
      </c>
      <c r="AA362" s="120" t="s">
        <v>2185</v>
      </c>
      <c r="AB362" s="122" t="s">
        <v>2305</v>
      </c>
      <c r="AC362" s="58" t="s">
        <v>2418</v>
      </c>
      <c r="AD362" s="37" t="s">
        <v>1778</v>
      </c>
      <c r="AE362" s="58" t="s">
        <v>2298</v>
      </c>
      <c r="AF362" s="37" t="s">
        <v>2187</v>
      </c>
      <c r="AG362" s="19">
        <v>1</v>
      </c>
      <c r="AH362" s="20">
        <v>1</v>
      </c>
      <c r="AI362" s="21">
        <v>1</v>
      </c>
      <c r="AJ362" s="22">
        <v>1</v>
      </c>
      <c r="AK362" s="46">
        <v>86972222</v>
      </c>
      <c r="AL362" s="47">
        <v>190526389</v>
      </c>
      <c r="AM362" s="48">
        <v>190834680</v>
      </c>
      <c r="AN362" s="49">
        <v>88152221</v>
      </c>
      <c r="AO362" s="50">
        <v>556485512</v>
      </c>
      <c r="AP362" s="37" t="s">
        <v>1518</v>
      </c>
    </row>
    <row r="363" spans="1:42" customFormat="1" ht="153" x14ac:dyDescent="0.25">
      <c r="A363" s="36">
        <v>362</v>
      </c>
      <c r="B363" s="37" t="s">
        <v>264</v>
      </c>
      <c r="C363" s="37" t="s">
        <v>265</v>
      </c>
      <c r="D363" s="38" t="s">
        <v>2388</v>
      </c>
      <c r="E363" s="37" t="s">
        <v>1814</v>
      </c>
      <c r="F363" s="37" t="str">
        <f>+F360</f>
        <v>Mide el porcentaje de casos de violencia intrafamiliar donde la víctima es mujer por cada 100.000 mujeres</v>
      </c>
      <c r="G363" s="40">
        <f>+G360</f>
        <v>0.1163</v>
      </c>
      <c r="H363" s="36">
        <v>2025</v>
      </c>
      <c r="I363" s="37" t="s">
        <v>1816</v>
      </c>
      <c r="J363" s="38" t="s">
        <v>1981</v>
      </c>
      <c r="K363" s="37" t="s">
        <v>25</v>
      </c>
      <c r="L363" s="37" t="s">
        <v>27</v>
      </c>
      <c r="M363" s="37" t="s">
        <v>1518</v>
      </c>
      <c r="N363" s="36">
        <v>45</v>
      </c>
      <c r="O363" s="37" t="s">
        <v>940</v>
      </c>
      <c r="P363" s="51" t="s">
        <v>787</v>
      </c>
      <c r="Q363" s="58" t="s">
        <v>788</v>
      </c>
      <c r="R363" s="51" t="s">
        <v>1633</v>
      </c>
      <c r="S363" s="58" t="s">
        <v>201</v>
      </c>
      <c r="T363" s="59" t="s">
        <v>944</v>
      </c>
      <c r="U363" s="58" t="s">
        <v>203</v>
      </c>
      <c r="V363" s="51" t="s">
        <v>1634</v>
      </c>
      <c r="W363" s="58" t="s">
        <v>297</v>
      </c>
      <c r="X363" s="41" t="s">
        <v>2081</v>
      </c>
      <c r="Y363" s="122" t="s">
        <v>36</v>
      </c>
      <c r="Z363" s="123">
        <v>1195</v>
      </c>
      <c r="AA363" s="120" t="s">
        <v>2185</v>
      </c>
      <c r="AB363" s="122" t="s">
        <v>2305</v>
      </c>
      <c r="AC363" s="58" t="s">
        <v>2418</v>
      </c>
      <c r="AD363" s="37" t="s">
        <v>2310</v>
      </c>
      <c r="AE363" s="37" t="s">
        <v>2298</v>
      </c>
      <c r="AF363" s="37" t="s">
        <v>2187</v>
      </c>
      <c r="AG363" s="19">
        <v>1000</v>
      </c>
      <c r="AH363" s="20">
        <v>2000</v>
      </c>
      <c r="AI363" s="21">
        <v>1000</v>
      </c>
      <c r="AJ363" s="22">
        <v>1000</v>
      </c>
      <c r="AK363" s="46">
        <v>71222222</v>
      </c>
      <c r="AL363" s="47">
        <v>153776389</v>
      </c>
      <c r="AM363" s="48">
        <v>154084680</v>
      </c>
      <c r="AN363" s="49">
        <v>72402221</v>
      </c>
      <c r="AO363" s="50">
        <v>451485512</v>
      </c>
      <c r="AP363" s="37" t="s">
        <v>1518</v>
      </c>
    </row>
    <row r="364" spans="1:42" customFormat="1" ht="153" x14ac:dyDescent="0.25">
      <c r="A364" s="36">
        <v>363</v>
      </c>
      <c r="B364" s="37" t="s">
        <v>264</v>
      </c>
      <c r="C364" s="37" t="s">
        <v>265</v>
      </c>
      <c r="D364" s="38" t="s">
        <v>2388</v>
      </c>
      <c r="E364" s="37" t="s">
        <v>1814</v>
      </c>
      <c r="F364" s="37" t="str">
        <f t="shared" ref="F364:G367" si="0">+F363</f>
        <v>Mide el porcentaje de casos de violencia intrafamiliar donde la víctima es mujer por cada 100.000 mujeres</v>
      </c>
      <c r="G364" s="40">
        <f t="shared" si="0"/>
        <v>0.1163</v>
      </c>
      <c r="H364" s="36">
        <v>2025</v>
      </c>
      <c r="I364" s="37" t="s">
        <v>1816</v>
      </c>
      <c r="J364" s="38" t="s">
        <v>1981</v>
      </c>
      <c r="K364" s="37" t="s">
        <v>25</v>
      </c>
      <c r="L364" s="37" t="s">
        <v>27</v>
      </c>
      <c r="M364" s="37" t="s">
        <v>1518</v>
      </c>
      <c r="N364" s="36">
        <v>45</v>
      </c>
      <c r="O364" s="37" t="s">
        <v>940</v>
      </c>
      <c r="P364" s="51" t="s">
        <v>787</v>
      </c>
      <c r="Q364" s="58" t="s">
        <v>788</v>
      </c>
      <c r="R364" s="51" t="s">
        <v>1633</v>
      </c>
      <c r="S364" s="58" t="s">
        <v>201</v>
      </c>
      <c r="T364" s="59" t="s">
        <v>944</v>
      </c>
      <c r="U364" s="58" t="s">
        <v>203</v>
      </c>
      <c r="V364" s="51" t="s">
        <v>1634</v>
      </c>
      <c r="W364" s="58" t="s">
        <v>297</v>
      </c>
      <c r="X364" s="41" t="s">
        <v>1844</v>
      </c>
      <c r="Y364" s="122" t="s">
        <v>36</v>
      </c>
      <c r="Z364" s="123">
        <v>0</v>
      </c>
      <c r="AA364" s="120" t="s">
        <v>2185</v>
      </c>
      <c r="AB364" s="122" t="s">
        <v>2305</v>
      </c>
      <c r="AC364" s="58" t="s">
        <v>2418</v>
      </c>
      <c r="AD364" s="37" t="s">
        <v>2310</v>
      </c>
      <c r="AE364" s="58" t="s">
        <v>2298</v>
      </c>
      <c r="AF364" s="37" t="s">
        <v>2187</v>
      </c>
      <c r="AG364" s="19">
        <v>200</v>
      </c>
      <c r="AH364" s="20">
        <v>600</v>
      </c>
      <c r="AI364" s="21">
        <v>600</v>
      </c>
      <c r="AJ364" s="22">
        <v>600</v>
      </c>
      <c r="AK364" s="46">
        <v>62222222</v>
      </c>
      <c r="AL364" s="47">
        <v>132776389</v>
      </c>
      <c r="AM364" s="48">
        <v>133084680</v>
      </c>
      <c r="AN364" s="49">
        <v>63402221</v>
      </c>
      <c r="AO364" s="50">
        <v>391485512</v>
      </c>
      <c r="AP364" s="37" t="s">
        <v>1518</v>
      </c>
    </row>
    <row r="365" spans="1:42" customFormat="1" ht="153" x14ac:dyDescent="0.25">
      <c r="A365" s="36">
        <v>364</v>
      </c>
      <c r="B365" s="37" t="s">
        <v>264</v>
      </c>
      <c r="C365" s="37" t="s">
        <v>265</v>
      </c>
      <c r="D365" s="38" t="s">
        <v>2388</v>
      </c>
      <c r="E365" s="37" t="s">
        <v>1814</v>
      </c>
      <c r="F365" s="37" t="str">
        <f>+F363</f>
        <v>Mide el porcentaje de casos de violencia intrafamiliar donde la víctima es mujer por cada 100.000 mujeres</v>
      </c>
      <c r="G365" s="40">
        <f>+G363</f>
        <v>0.1163</v>
      </c>
      <c r="H365" s="36">
        <v>2023</v>
      </c>
      <c r="I365" s="37" t="s">
        <v>1816</v>
      </c>
      <c r="J365" s="38" t="s">
        <v>1981</v>
      </c>
      <c r="K365" s="37" t="s">
        <v>25</v>
      </c>
      <c r="L365" s="37" t="s">
        <v>27</v>
      </c>
      <c r="M365" s="37" t="s">
        <v>1518</v>
      </c>
      <c r="N365" s="36">
        <v>45</v>
      </c>
      <c r="O365" s="37" t="s">
        <v>940</v>
      </c>
      <c r="P365" s="51" t="s">
        <v>1467</v>
      </c>
      <c r="Q365" s="58" t="s">
        <v>1468</v>
      </c>
      <c r="R365" s="51" t="s">
        <v>1530</v>
      </c>
      <c r="S365" s="58" t="s">
        <v>1531</v>
      </c>
      <c r="T365" s="59" t="s">
        <v>1532</v>
      </c>
      <c r="U365" s="58" t="s">
        <v>1533</v>
      </c>
      <c r="V365" s="51" t="s">
        <v>1534</v>
      </c>
      <c r="W365" s="58" t="s">
        <v>1535</v>
      </c>
      <c r="X365" s="41" t="s">
        <v>2177</v>
      </c>
      <c r="Y365" s="122" t="s">
        <v>36</v>
      </c>
      <c r="Z365" s="123">
        <v>7</v>
      </c>
      <c r="AA365" s="120" t="s">
        <v>2185</v>
      </c>
      <c r="AB365" s="122" t="s">
        <v>2305</v>
      </c>
      <c r="AC365" s="58" t="s">
        <v>2418</v>
      </c>
      <c r="AD365" s="37" t="s">
        <v>2310</v>
      </c>
      <c r="AE365" s="58" t="s">
        <v>2298</v>
      </c>
      <c r="AF365" s="37" t="s">
        <v>2187</v>
      </c>
      <c r="AG365" s="19">
        <v>8</v>
      </c>
      <c r="AH365" s="20">
        <v>3</v>
      </c>
      <c r="AI365" s="21">
        <v>1</v>
      </c>
      <c r="AJ365" s="22">
        <v>1</v>
      </c>
      <c r="AK365" s="46">
        <v>384722222</v>
      </c>
      <c r="AL365" s="47">
        <v>885276389</v>
      </c>
      <c r="AM365" s="48">
        <v>885584680</v>
      </c>
      <c r="AN365" s="49">
        <v>385902221</v>
      </c>
      <c r="AO365" s="50">
        <v>2541485512</v>
      </c>
      <c r="AP365" s="37" t="s">
        <v>1518</v>
      </c>
    </row>
    <row r="366" spans="1:42" customFormat="1" ht="153" x14ac:dyDescent="0.25">
      <c r="A366" s="36">
        <v>365</v>
      </c>
      <c r="B366" s="37" t="s">
        <v>264</v>
      </c>
      <c r="C366" s="37" t="s">
        <v>265</v>
      </c>
      <c r="D366" s="38" t="s">
        <v>2388</v>
      </c>
      <c r="E366" s="37" t="s">
        <v>1814</v>
      </c>
      <c r="F366" s="37" t="str">
        <f t="shared" si="0"/>
        <v>Mide el porcentaje de casos de violencia intrafamiliar donde la víctima es mujer por cada 100.000 mujeres</v>
      </c>
      <c r="G366" s="40">
        <f t="shared" si="0"/>
        <v>0.1163</v>
      </c>
      <c r="H366" s="36">
        <v>2023</v>
      </c>
      <c r="I366" s="37" t="s">
        <v>1816</v>
      </c>
      <c r="J366" s="38" t="s">
        <v>1981</v>
      </c>
      <c r="K366" s="37" t="s">
        <v>25</v>
      </c>
      <c r="L366" s="37" t="s">
        <v>27</v>
      </c>
      <c r="M366" s="37" t="s">
        <v>1518</v>
      </c>
      <c r="N366" s="51" t="s">
        <v>785</v>
      </c>
      <c r="O366" s="58" t="s">
        <v>786</v>
      </c>
      <c r="P366" s="51" t="s">
        <v>1467</v>
      </c>
      <c r="Q366" s="58" t="s">
        <v>1468</v>
      </c>
      <c r="R366" s="51" t="s">
        <v>1845</v>
      </c>
      <c r="S366" s="58" t="s">
        <v>1846</v>
      </c>
      <c r="T366" s="59" t="s">
        <v>1847</v>
      </c>
      <c r="U366" s="58" t="s">
        <v>203</v>
      </c>
      <c r="V366" s="51">
        <v>450203700</v>
      </c>
      <c r="W366" s="58" t="s">
        <v>1848</v>
      </c>
      <c r="X366" s="37" t="s">
        <v>2128</v>
      </c>
      <c r="Y366" s="122" t="s">
        <v>36</v>
      </c>
      <c r="Z366" s="123"/>
      <c r="AA366" s="120" t="s">
        <v>2185</v>
      </c>
      <c r="AB366" s="122" t="s">
        <v>2305</v>
      </c>
      <c r="AC366" s="58" t="s">
        <v>2418</v>
      </c>
      <c r="AD366" s="37" t="s">
        <v>1547</v>
      </c>
      <c r="AE366" s="58" t="s">
        <v>2298</v>
      </c>
      <c r="AF366" s="37" t="s">
        <v>2187</v>
      </c>
      <c r="AG366" s="42">
        <v>80</v>
      </c>
      <c r="AH366" s="43">
        <v>427</v>
      </c>
      <c r="AI366" s="44">
        <v>427</v>
      </c>
      <c r="AJ366" s="45">
        <v>426</v>
      </c>
      <c r="AK366" s="46">
        <v>81722222</v>
      </c>
      <c r="AL366" s="47">
        <v>178276389</v>
      </c>
      <c r="AM366" s="48">
        <v>178584680</v>
      </c>
      <c r="AN366" s="49">
        <v>82902221</v>
      </c>
      <c r="AO366" s="50">
        <v>521485512</v>
      </c>
      <c r="AP366" s="37" t="s">
        <v>1518</v>
      </c>
    </row>
    <row r="367" spans="1:42" customFormat="1" ht="153" x14ac:dyDescent="0.25">
      <c r="A367" s="36">
        <v>366</v>
      </c>
      <c r="B367" s="37" t="s">
        <v>264</v>
      </c>
      <c r="C367" s="37" t="s">
        <v>265</v>
      </c>
      <c r="D367" s="38" t="s">
        <v>2388</v>
      </c>
      <c r="E367" s="37" t="s">
        <v>1814</v>
      </c>
      <c r="F367" s="37" t="str">
        <f t="shared" si="0"/>
        <v>Mide el porcentaje de casos de violencia intrafamiliar donde la víctima es mujer por cada 100.000 mujeres</v>
      </c>
      <c r="G367" s="40">
        <f t="shared" si="0"/>
        <v>0.1163</v>
      </c>
      <c r="H367" s="36">
        <v>2023</v>
      </c>
      <c r="I367" s="37" t="s">
        <v>1816</v>
      </c>
      <c r="J367" s="38" t="s">
        <v>1981</v>
      </c>
      <c r="K367" s="37" t="s">
        <v>25</v>
      </c>
      <c r="L367" s="37" t="s">
        <v>27</v>
      </c>
      <c r="M367" s="37" t="s">
        <v>1518</v>
      </c>
      <c r="N367" s="36">
        <v>45</v>
      </c>
      <c r="O367" s="37" t="s">
        <v>940</v>
      </c>
      <c r="P367" s="51" t="s">
        <v>1467</v>
      </c>
      <c r="Q367" s="58" t="s">
        <v>1468</v>
      </c>
      <c r="R367" s="51" t="s">
        <v>1849</v>
      </c>
      <c r="S367" s="58" t="s">
        <v>1850</v>
      </c>
      <c r="T367" s="59" t="s">
        <v>1851</v>
      </c>
      <c r="U367" s="58" t="s">
        <v>1852</v>
      </c>
      <c r="V367" s="51">
        <v>450202000</v>
      </c>
      <c r="W367" s="58" t="s">
        <v>1853</v>
      </c>
      <c r="X367" s="41" t="s">
        <v>1854</v>
      </c>
      <c r="Y367" s="122" t="s">
        <v>36</v>
      </c>
      <c r="Z367" s="123">
        <v>10</v>
      </c>
      <c r="AA367" s="120" t="s">
        <v>2185</v>
      </c>
      <c r="AB367" s="122" t="s">
        <v>2305</v>
      </c>
      <c r="AC367" s="58" t="s">
        <v>2418</v>
      </c>
      <c r="AD367" s="37" t="s">
        <v>1547</v>
      </c>
      <c r="AE367" s="58" t="s">
        <v>2298</v>
      </c>
      <c r="AF367" s="37" t="s">
        <v>2187</v>
      </c>
      <c r="AG367" s="19">
        <v>2</v>
      </c>
      <c r="AH367" s="20">
        <v>5</v>
      </c>
      <c r="AI367" s="21">
        <v>5</v>
      </c>
      <c r="AJ367" s="22">
        <v>2</v>
      </c>
      <c r="AK367" s="46">
        <v>77222222</v>
      </c>
      <c r="AL367" s="47">
        <v>167776389</v>
      </c>
      <c r="AM367" s="48">
        <v>168084680</v>
      </c>
      <c r="AN367" s="49">
        <v>78402221</v>
      </c>
      <c r="AO367" s="50">
        <v>491485512</v>
      </c>
      <c r="AP367" s="37" t="s">
        <v>1518</v>
      </c>
    </row>
    <row r="368" spans="1:42" customFormat="1" ht="153" x14ac:dyDescent="0.25">
      <c r="A368" s="36">
        <v>367</v>
      </c>
      <c r="B368" s="37" t="s">
        <v>264</v>
      </c>
      <c r="C368" s="37" t="s">
        <v>265</v>
      </c>
      <c r="D368" s="38" t="s">
        <v>2388</v>
      </c>
      <c r="E368" s="37" t="s">
        <v>1855</v>
      </c>
      <c r="F368" s="37" t="s">
        <v>1856</v>
      </c>
      <c r="G368" s="64" t="s">
        <v>1857</v>
      </c>
      <c r="H368" s="36">
        <v>2022</v>
      </c>
      <c r="I368" s="124" t="s">
        <v>1858</v>
      </c>
      <c r="J368" s="38" t="s">
        <v>2109</v>
      </c>
      <c r="K368" s="37" t="s">
        <v>36</v>
      </c>
      <c r="L368" s="37" t="s">
        <v>27</v>
      </c>
      <c r="M368" s="37" t="s">
        <v>1518</v>
      </c>
      <c r="N368" s="36">
        <v>19</v>
      </c>
      <c r="O368" s="37" t="s">
        <v>1839</v>
      </c>
      <c r="P368" s="51" t="s">
        <v>353</v>
      </c>
      <c r="Q368" s="58" t="s">
        <v>354</v>
      </c>
      <c r="R368" s="51" t="s">
        <v>1859</v>
      </c>
      <c r="S368" s="58" t="s">
        <v>1860</v>
      </c>
      <c r="T368" s="59" t="s">
        <v>1861</v>
      </c>
      <c r="U368" s="58" t="s">
        <v>358</v>
      </c>
      <c r="V368" s="51" t="s">
        <v>1862</v>
      </c>
      <c r="W368" s="58" t="s">
        <v>1863</v>
      </c>
      <c r="X368" s="125" t="s">
        <v>2419</v>
      </c>
      <c r="Y368" s="122" t="s">
        <v>36</v>
      </c>
      <c r="Z368" s="123">
        <v>7</v>
      </c>
      <c r="AA368" s="120" t="s">
        <v>2185</v>
      </c>
      <c r="AB368" s="122" t="s">
        <v>2305</v>
      </c>
      <c r="AC368" s="58" t="s">
        <v>2418</v>
      </c>
      <c r="AD368" s="37" t="s">
        <v>2311</v>
      </c>
      <c r="AE368" s="58" t="s">
        <v>2298</v>
      </c>
      <c r="AF368" s="37" t="s">
        <v>2187</v>
      </c>
      <c r="AG368" s="19">
        <v>1</v>
      </c>
      <c r="AH368" s="20">
        <v>3</v>
      </c>
      <c r="AI368" s="21">
        <v>2</v>
      </c>
      <c r="AJ368" s="22">
        <v>1</v>
      </c>
      <c r="AK368" s="46">
        <v>47222222</v>
      </c>
      <c r="AL368" s="47">
        <v>97776389</v>
      </c>
      <c r="AM368" s="48">
        <v>98084680</v>
      </c>
      <c r="AN368" s="49">
        <v>48402221</v>
      </c>
      <c r="AO368" s="50">
        <v>291485512</v>
      </c>
      <c r="AP368" s="37" t="s">
        <v>1518</v>
      </c>
    </row>
    <row r="369" spans="1:42" customFormat="1" ht="153" x14ac:dyDescent="0.25">
      <c r="A369" s="36">
        <v>368</v>
      </c>
      <c r="B369" s="37" t="s">
        <v>264</v>
      </c>
      <c r="C369" s="37" t="s">
        <v>265</v>
      </c>
      <c r="D369" s="38" t="s">
        <v>2388</v>
      </c>
      <c r="E369" s="37" t="s">
        <v>1855</v>
      </c>
      <c r="F369" s="37" t="s">
        <v>1856</v>
      </c>
      <c r="G369" s="64" t="s">
        <v>1857</v>
      </c>
      <c r="H369" s="36">
        <v>2022</v>
      </c>
      <c r="I369" s="124" t="s">
        <v>1858</v>
      </c>
      <c r="J369" s="38" t="s">
        <v>2109</v>
      </c>
      <c r="K369" s="37" t="s">
        <v>25</v>
      </c>
      <c r="L369" s="37" t="s">
        <v>27</v>
      </c>
      <c r="M369" s="37" t="s">
        <v>1518</v>
      </c>
      <c r="N369" s="36">
        <v>19</v>
      </c>
      <c r="O369" s="37" t="s">
        <v>1839</v>
      </c>
      <c r="P369" s="51" t="s">
        <v>353</v>
      </c>
      <c r="Q369" s="58" t="s">
        <v>354</v>
      </c>
      <c r="R369" s="51" t="s">
        <v>1864</v>
      </c>
      <c r="S369" s="58" t="s">
        <v>1865</v>
      </c>
      <c r="T369" s="59" t="s">
        <v>1866</v>
      </c>
      <c r="U369" s="58" t="s">
        <v>203</v>
      </c>
      <c r="V369" s="51" t="s">
        <v>1867</v>
      </c>
      <c r="W369" s="58" t="s">
        <v>297</v>
      </c>
      <c r="X369" s="37" t="s">
        <v>2420</v>
      </c>
      <c r="Y369" s="122" t="s">
        <v>36</v>
      </c>
      <c r="Z369" s="123">
        <v>5000</v>
      </c>
      <c r="AA369" s="120" t="s">
        <v>2185</v>
      </c>
      <c r="AB369" s="122" t="s">
        <v>2305</v>
      </c>
      <c r="AC369" s="58" t="s">
        <v>2418</v>
      </c>
      <c r="AD369" s="37" t="s">
        <v>2311</v>
      </c>
      <c r="AE369" s="58" t="s">
        <v>2298</v>
      </c>
      <c r="AF369" s="37" t="s">
        <v>2187</v>
      </c>
      <c r="AG369" s="19">
        <v>100</v>
      </c>
      <c r="AH369" s="20">
        <v>2000</v>
      </c>
      <c r="AI369" s="21">
        <v>2000</v>
      </c>
      <c r="AJ369" s="22">
        <v>900</v>
      </c>
      <c r="AK369" s="46">
        <v>44222222</v>
      </c>
      <c r="AL369" s="47">
        <v>90776389</v>
      </c>
      <c r="AM369" s="48">
        <v>91084680</v>
      </c>
      <c r="AN369" s="49">
        <v>45402221</v>
      </c>
      <c r="AO369" s="50">
        <v>271485512</v>
      </c>
      <c r="AP369" s="37" t="s">
        <v>1518</v>
      </c>
    </row>
    <row r="370" spans="1:42" customFormat="1" ht="153" x14ac:dyDescent="0.25">
      <c r="A370" s="36">
        <v>369</v>
      </c>
      <c r="B370" s="37" t="s">
        <v>264</v>
      </c>
      <c r="C370" s="37" t="s">
        <v>265</v>
      </c>
      <c r="D370" s="38" t="s">
        <v>2388</v>
      </c>
      <c r="E370" s="37" t="s">
        <v>1868</v>
      </c>
      <c r="F370" s="37" t="s">
        <v>1869</v>
      </c>
      <c r="G370" s="126">
        <v>3</v>
      </c>
      <c r="H370" s="36">
        <v>2022</v>
      </c>
      <c r="I370" s="124" t="s">
        <v>1858</v>
      </c>
      <c r="J370" s="38" t="s">
        <v>2110</v>
      </c>
      <c r="K370" s="37" t="s">
        <v>36</v>
      </c>
      <c r="L370" s="37" t="s">
        <v>27</v>
      </c>
      <c r="M370" s="37" t="s">
        <v>1518</v>
      </c>
      <c r="N370" s="36">
        <v>19</v>
      </c>
      <c r="O370" s="37" t="s">
        <v>1839</v>
      </c>
      <c r="P370" s="51" t="s">
        <v>353</v>
      </c>
      <c r="Q370" s="58" t="s">
        <v>354</v>
      </c>
      <c r="R370" s="51" t="s">
        <v>1859</v>
      </c>
      <c r="S370" s="58" t="s">
        <v>1860</v>
      </c>
      <c r="T370" s="59" t="s">
        <v>1861</v>
      </c>
      <c r="U370" s="58" t="s">
        <v>358</v>
      </c>
      <c r="V370" s="51" t="s">
        <v>1862</v>
      </c>
      <c r="W370" s="58" t="s">
        <v>1863</v>
      </c>
      <c r="X370" s="125" t="s">
        <v>2009</v>
      </c>
      <c r="Y370" s="122" t="s">
        <v>36</v>
      </c>
      <c r="Z370" s="123">
        <v>4</v>
      </c>
      <c r="AA370" s="120" t="s">
        <v>2185</v>
      </c>
      <c r="AB370" s="122" t="s">
        <v>2305</v>
      </c>
      <c r="AC370" s="58" t="s">
        <v>2418</v>
      </c>
      <c r="AD370" s="37" t="s">
        <v>2311</v>
      </c>
      <c r="AE370" s="58" t="s">
        <v>2298</v>
      </c>
      <c r="AF370" s="37" t="s">
        <v>2187</v>
      </c>
      <c r="AG370" s="19">
        <v>1</v>
      </c>
      <c r="AH370" s="20">
        <v>1</v>
      </c>
      <c r="AI370" s="21">
        <v>1</v>
      </c>
      <c r="AJ370" s="22">
        <v>1</v>
      </c>
      <c r="AK370" s="46">
        <v>32222222</v>
      </c>
      <c r="AL370" s="47">
        <v>62776389</v>
      </c>
      <c r="AM370" s="48">
        <v>63084680</v>
      </c>
      <c r="AN370" s="49">
        <v>33402221</v>
      </c>
      <c r="AO370" s="50">
        <v>191485512</v>
      </c>
      <c r="AP370" s="37" t="s">
        <v>1518</v>
      </c>
    </row>
    <row r="371" spans="1:42" customFormat="1" ht="153" x14ac:dyDescent="0.25">
      <c r="A371" s="36">
        <v>370</v>
      </c>
      <c r="B371" s="37" t="s">
        <v>264</v>
      </c>
      <c r="C371" s="37" t="s">
        <v>265</v>
      </c>
      <c r="D371" s="38" t="s">
        <v>2388</v>
      </c>
      <c r="E371" s="37" t="s">
        <v>1868</v>
      </c>
      <c r="F371" s="37" t="s">
        <v>1869</v>
      </c>
      <c r="G371" s="126">
        <v>3</v>
      </c>
      <c r="H371" s="36">
        <v>2022</v>
      </c>
      <c r="I371" s="124" t="s">
        <v>1858</v>
      </c>
      <c r="J371" s="38" t="s">
        <v>2110</v>
      </c>
      <c r="K371" s="37" t="s">
        <v>36</v>
      </c>
      <c r="L371" s="37" t="s">
        <v>27</v>
      </c>
      <c r="M371" s="37" t="s">
        <v>1518</v>
      </c>
      <c r="N371" s="36">
        <v>19</v>
      </c>
      <c r="O371" s="37" t="s">
        <v>1839</v>
      </c>
      <c r="P371" s="51" t="s">
        <v>353</v>
      </c>
      <c r="Q371" s="58" t="s">
        <v>354</v>
      </c>
      <c r="R371" s="51" t="s">
        <v>1864</v>
      </c>
      <c r="S371" s="58" t="s">
        <v>1865</v>
      </c>
      <c r="T371" s="59" t="s">
        <v>1866</v>
      </c>
      <c r="U371" s="58" t="s">
        <v>203</v>
      </c>
      <c r="V371" s="51" t="s">
        <v>1867</v>
      </c>
      <c r="W371" s="58" t="s">
        <v>297</v>
      </c>
      <c r="X371" s="125" t="s">
        <v>1870</v>
      </c>
      <c r="Y371" s="122" t="s">
        <v>36</v>
      </c>
      <c r="Z371" s="123">
        <v>4000</v>
      </c>
      <c r="AA371" s="120" t="s">
        <v>2185</v>
      </c>
      <c r="AB371" s="122" t="s">
        <v>2305</v>
      </c>
      <c r="AC371" s="58" t="s">
        <v>2418</v>
      </c>
      <c r="AD371" s="37" t="s">
        <v>2311</v>
      </c>
      <c r="AE371" s="58" t="s">
        <v>2298</v>
      </c>
      <c r="AF371" s="37" t="s">
        <v>2187</v>
      </c>
      <c r="AG371" s="19">
        <v>500</v>
      </c>
      <c r="AH371" s="20">
        <v>1500</v>
      </c>
      <c r="AI371" s="21">
        <v>1500</v>
      </c>
      <c r="AJ371" s="22">
        <v>500</v>
      </c>
      <c r="AK371" s="46">
        <v>44222222</v>
      </c>
      <c r="AL371" s="47">
        <v>90776389</v>
      </c>
      <c r="AM371" s="48">
        <v>91084680</v>
      </c>
      <c r="AN371" s="49">
        <v>45402221</v>
      </c>
      <c r="AO371" s="50">
        <v>271485512</v>
      </c>
      <c r="AP371" s="37" t="s">
        <v>1518</v>
      </c>
    </row>
    <row r="372" spans="1:42" customFormat="1" ht="153" x14ac:dyDescent="0.25">
      <c r="A372" s="36">
        <v>371</v>
      </c>
      <c r="B372" s="37" t="s">
        <v>264</v>
      </c>
      <c r="C372" s="37" t="s">
        <v>265</v>
      </c>
      <c r="D372" s="38" t="s">
        <v>2388</v>
      </c>
      <c r="E372" s="37" t="s">
        <v>1871</v>
      </c>
      <c r="F372" s="37" t="s">
        <v>1872</v>
      </c>
      <c r="G372" s="40">
        <v>0.92700000000000005</v>
      </c>
      <c r="H372" s="36">
        <v>2023</v>
      </c>
      <c r="I372" s="37" t="s">
        <v>1873</v>
      </c>
      <c r="J372" s="38" t="s">
        <v>1989</v>
      </c>
      <c r="K372" s="37" t="s">
        <v>25</v>
      </c>
      <c r="L372" s="37" t="s">
        <v>27</v>
      </c>
      <c r="M372" s="37" t="s">
        <v>1518</v>
      </c>
      <c r="N372" s="36">
        <v>45</v>
      </c>
      <c r="O372" s="37" t="s">
        <v>940</v>
      </c>
      <c r="P372" s="51" t="s">
        <v>1467</v>
      </c>
      <c r="Q372" s="58" t="s">
        <v>1468</v>
      </c>
      <c r="R372" s="51" t="s">
        <v>1471</v>
      </c>
      <c r="S372" s="58" t="s">
        <v>232</v>
      </c>
      <c r="T372" s="59" t="s">
        <v>1472</v>
      </c>
      <c r="U372" s="58" t="s">
        <v>1473</v>
      </c>
      <c r="V372" s="51" t="s">
        <v>1474</v>
      </c>
      <c r="W372" s="58" t="s">
        <v>1475</v>
      </c>
      <c r="X372" s="114" t="s">
        <v>1874</v>
      </c>
      <c r="Y372" s="122" t="s">
        <v>36</v>
      </c>
      <c r="Z372" s="123">
        <v>0</v>
      </c>
      <c r="AA372" s="120" t="s">
        <v>2185</v>
      </c>
      <c r="AB372" s="122" t="s">
        <v>2305</v>
      </c>
      <c r="AC372" s="58" t="s">
        <v>2418</v>
      </c>
      <c r="AD372" s="37" t="s">
        <v>2311</v>
      </c>
      <c r="AE372" s="58" t="s">
        <v>2298</v>
      </c>
      <c r="AF372" s="37" t="s">
        <v>2187</v>
      </c>
      <c r="AG372" s="15">
        <v>0.25</v>
      </c>
      <c r="AH372" s="16">
        <v>0.25</v>
      </c>
      <c r="AI372" s="17">
        <v>0.25</v>
      </c>
      <c r="AJ372" s="18">
        <v>0.25</v>
      </c>
      <c r="AK372" s="46">
        <v>62222222</v>
      </c>
      <c r="AL372" s="47">
        <v>132776389</v>
      </c>
      <c r="AM372" s="48">
        <v>133084680</v>
      </c>
      <c r="AN372" s="49">
        <v>63402221</v>
      </c>
      <c r="AO372" s="50">
        <v>391485512</v>
      </c>
      <c r="AP372" s="37" t="s">
        <v>1518</v>
      </c>
    </row>
    <row r="373" spans="1:42" customFormat="1" ht="153" x14ac:dyDescent="0.25">
      <c r="A373" s="36">
        <v>372</v>
      </c>
      <c r="B373" s="37" t="s">
        <v>264</v>
      </c>
      <c r="C373" s="37" t="s">
        <v>265</v>
      </c>
      <c r="D373" s="38" t="s">
        <v>2388</v>
      </c>
      <c r="E373" s="37" t="s">
        <v>1875</v>
      </c>
      <c r="F373" s="37" t="s">
        <v>1872</v>
      </c>
      <c r="G373" s="40">
        <v>0.92700000000000005</v>
      </c>
      <c r="H373" s="36">
        <v>2023</v>
      </c>
      <c r="I373" s="37" t="s">
        <v>1873</v>
      </c>
      <c r="J373" s="38" t="s">
        <v>1989</v>
      </c>
      <c r="K373" s="37" t="s">
        <v>25</v>
      </c>
      <c r="L373" s="37" t="s">
        <v>27</v>
      </c>
      <c r="M373" s="37" t="s">
        <v>1518</v>
      </c>
      <c r="N373" s="36">
        <v>45</v>
      </c>
      <c r="O373" s="37" t="s">
        <v>940</v>
      </c>
      <c r="P373" s="51" t="s">
        <v>1467</v>
      </c>
      <c r="Q373" s="58" t="s">
        <v>1468</v>
      </c>
      <c r="R373" s="51" t="s">
        <v>1763</v>
      </c>
      <c r="S373" s="58" t="s">
        <v>1764</v>
      </c>
      <c r="T373" s="59" t="s">
        <v>1765</v>
      </c>
      <c r="U373" s="58" t="s">
        <v>369</v>
      </c>
      <c r="V373" s="51" t="s">
        <v>1766</v>
      </c>
      <c r="W373" s="58" t="s">
        <v>1767</v>
      </c>
      <c r="X373" s="114" t="s">
        <v>2129</v>
      </c>
      <c r="Y373" s="122" t="s">
        <v>36</v>
      </c>
      <c r="Z373" s="123">
        <v>0</v>
      </c>
      <c r="AA373" s="120" t="s">
        <v>2185</v>
      </c>
      <c r="AB373" s="122" t="s">
        <v>2303</v>
      </c>
      <c r="AC373" s="58" t="s">
        <v>2418</v>
      </c>
      <c r="AD373" s="37" t="s">
        <v>2311</v>
      </c>
      <c r="AE373" s="58" t="s">
        <v>2298</v>
      </c>
      <c r="AF373" s="37" t="s">
        <v>2187</v>
      </c>
      <c r="AG373" s="15">
        <v>0.25</v>
      </c>
      <c r="AH373" s="16">
        <v>0.25</v>
      </c>
      <c r="AI373" s="17">
        <v>0.25</v>
      </c>
      <c r="AJ373" s="18">
        <v>0.25</v>
      </c>
      <c r="AK373" s="46">
        <v>69722222</v>
      </c>
      <c r="AL373" s="47">
        <v>150276389</v>
      </c>
      <c r="AM373" s="48">
        <v>150584680</v>
      </c>
      <c r="AN373" s="49">
        <v>70902221</v>
      </c>
      <c r="AO373" s="50">
        <v>441485512</v>
      </c>
      <c r="AP373" s="37" t="s">
        <v>1518</v>
      </c>
    </row>
    <row r="374" spans="1:42" customFormat="1" ht="153" x14ac:dyDescent="0.25">
      <c r="A374" s="36">
        <v>373</v>
      </c>
      <c r="B374" s="37" t="s">
        <v>264</v>
      </c>
      <c r="C374" s="37" t="s">
        <v>265</v>
      </c>
      <c r="D374" s="38" t="s">
        <v>2388</v>
      </c>
      <c r="E374" s="37" t="s">
        <v>1875</v>
      </c>
      <c r="F374" s="37" t="s">
        <v>1872</v>
      </c>
      <c r="G374" s="40">
        <v>0.92700000000000005</v>
      </c>
      <c r="H374" s="36">
        <v>2023</v>
      </c>
      <c r="I374" s="37" t="s">
        <v>1873</v>
      </c>
      <c r="J374" s="38" t="s">
        <v>1989</v>
      </c>
      <c r="K374" s="37" t="s">
        <v>25</v>
      </c>
      <c r="L374" s="37" t="s">
        <v>27</v>
      </c>
      <c r="M374" s="37" t="s">
        <v>1518</v>
      </c>
      <c r="N374" s="36">
        <v>45</v>
      </c>
      <c r="O374" s="38" t="s">
        <v>786</v>
      </c>
      <c r="P374" s="36" t="s">
        <v>1467</v>
      </c>
      <c r="Q374" s="37" t="s">
        <v>1468</v>
      </c>
      <c r="R374" s="36" t="s">
        <v>1701</v>
      </c>
      <c r="S374" s="37" t="s">
        <v>768</v>
      </c>
      <c r="T374" s="38" t="s">
        <v>1702</v>
      </c>
      <c r="U374" s="37" t="s">
        <v>500</v>
      </c>
      <c r="V374" s="36" t="s">
        <v>1703</v>
      </c>
      <c r="W374" s="37" t="s">
        <v>771</v>
      </c>
      <c r="X374" s="114" t="s">
        <v>2130</v>
      </c>
      <c r="Y374" s="122" t="s">
        <v>36</v>
      </c>
      <c r="Z374" s="123">
        <v>0</v>
      </c>
      <c r="AA374" s="120" t="s">
        <v>2185</v>
      </c>
      <c r="AB374" s="122" t="s">
        <v>2303</v>
      </c>
      <c r="AC374" s="58" t="s">
        <v>2418</v>
      </c>
      <c r="AD374" s="37" t="s">
        <v>2311</v>
      </c>
      <c r="AE374" s="58" t="s">
        <v>2298</v>
      </c>
      <c r="AF374" s="37" t="s">
        <v>2187</v>
      </c>
      <c r="AG374" s="15">
        <v>0.25</v>
      </c>
      <c r="AH374" s="16">
        <v>0.25</v>
      </c>
      <c r="AI374" s="17">
        <v>0.25</v>
      </c>
      <c r="AJ374" s="18">
        <v>0.25</v>
      </c>
      <c r="AK374" s="46">
        <v>62222230</v>
      </c>
      <c r="AL374" s="47">
        <v>132776385</v>
      </c>
      <c r="AM374" s="48">
        <v>133084682</v>
      </c>
      <c r="AN374" s="49">
        <v>63402221</v>
      </c>
      <c r="AO374" s="50">
        <v>391485518</v>
      </c>
      <c r="AP374" s="37" t="s">
        <v>1518</v>
      </c>
    </row>
    <row r="375" spans="1:42" customFormat="1" ht="153" x14ac:dyDescent="0.25">
      <c r="A375" s="36">
        <v>374</v>
      </c>
      <c r="B375" s="37" t="s">
        <v>264</v>
      </c>
      <c r="C375" s="37" t="s">
        <v>265</v>
      </c>
      <c r="D375" s="38" t="s">
        <v>2388</v>
      </c>
      <c r="E375" s="115" t="s">
        <v>1526</v>
      </c>
      <c r="F375" s="115" t="s">
        <v>1527</v>
      </c>
      <c r="G375" s="36">
        <v>38</v>
      </c>
      <c r="H375" s="36">
        <v>2023</v>
      </c>
      <c r="I375" s="56" t="s">
        <v>1528</v>
      </c>
      <c r="J375" s="38" t="s">
        <v>1529</v>
      </c>
      <c r="K375" s="87" t="s">
        <v>36</v>
      </c>
      <c r="L375" s="37"/>
      <c r="M375" s="37" t="s">
        <v>1495</v>
      </c>
      <c r="N375" s="36">
        <v>12</v>
      </c>
      <c r="O375" s="37" t="s">
        <v>1571</v>
      </c>
      <c r="P375" s="36">
        <v>1202</v>
      </c>
      <c r="Q375" s="58" t="s">
        <v>1983</v>
      </c>
      <c r="R375" s="36">
        <v>1202030</v>
      </c>
      <c r="S375" s="37" t="s">
        <v>1876</v>
      </c>
      <c r="T375" s="38" t="s">
        <v>1877</v>
      </c>
      <c r="U375" s="37" t="s">
        <v>1878</v>
      </c>
      <c r="V375" s="36">
        <v>120203000</v>
      </c>
      <c r="W375" s="37" t="s">
        <v>1879</v>
      </c>
      <c r="X375" s="37" t="s">
        <v>2178</v>
      </c>
      <c r="Y375" s="37" t="s">
        <v>36</v>
      </c>
      <c r="Z375" s="62">
        <v>1</v>
      </c>
      <c r="AA375" s="120" t="s">
        <v>2185</v>
      </c>
      <c r="AB375" s="122" t="s">
        <v>2297</v>
      </c>
      <c r="AC375" s="58" t="s">
        <v>2418</v>
      </c>
      <c r="AD375" s="37" t="s">
        <v>2421</v>
      </c>
      <c r="AE375" s="58" t="s">
        <v>2298</v>
      </c>
      <c r="AF375" s="37" t="s">
        <v>2187</v>
      </c>
      <c r="AG375" s="15">
        <v>0.25</v>
      </c>
      <c r="AH375" s="16">
        <v>0.25</v>
      </c>
      <c r="AI375" s="17">
        <v>0.25</v>
      </c>
      <c r="AJ375" s="18">
        <v>0.25</v>
      </c>
      <c r="AK375" s="46">
        <v>77222222</v>
      </c>
      <c r="AL375" s="47">
        <v>167776389</v>
      </c>
      <c r="AM375" s="48">
        <v>168084680</v>
      </c>
      <c r="AN375" s="49">
        <v>78402221</v>
      </c>
      <c r="AO375" s="50">
        <v>491485512</v>
      </c>
      <c r="AP375" s="37" t="s">
        <v>1518</v>
      </c>
    </row>
    <row r="376" spans="1:42" customFormat="1" ht="153" x14ac:dyDescent="0.25">
      <c r="A376" s="36">
        <v>375</v>
      </c>
      <c r="B376" s="37" t="s">
        <v>264</v>
      </c>
      <c r="C376" s="37" t="s">
        <v>265</v>
      </c>
      <c r="D376" s="38" t="s">
        <v>2388</v>
      </c>
      <c r="E376" s="115" t="s">
        <v>1526</v>
      </c>
      <c r="F376" s="115" t="s">
        <v>1527</v>
      </c>
      <c r="G376" s="36">
        <v>38</v>
      </c>
      <c r="H376" s="36">
        <v>2023</v>
      </c>
      <c r="I376" s="56" t="s">
        <v>1528</v>
      </c>
      <c r="J376" s="38" t="s">
        <v>1529</v>
      </c>
      <c r="K376" s="87" t="s">
        <v>36</v>
      </c>
      <c r="L376" s="37"/>
      <c r="M376" s="37" t="s">
        <v>1495</v>
      </c>
      <c r="N376" s="36">
        <v>12</v>
      </c>
      <c r="O376" s="37" t="s">
        <v>1571</v>
      </c>
      <c r="P376" s="36">
        <v>1202</v>
      </c>
      <c r="Q376" s="58" t="s">
        <v>1983</v>
      </c>
      <c r="R376" s="36">
        <v>1202030</v>
      </c>
      <c r="S376" s="37" t="s">
        <v>1876</v>
      </c>
      <c r="T376" s="38" t="s">
        <v>1877</v>
      </c>
      <c r="U376" s="37" t="s">
        <v>1878</v>
      </c>
      <c r="V376" s="36">
        <v>120203000</v>
      </c>
      <c r="W376" s="37" t="s">
        <v>1879</v>
      </c>
      <c r="X376" s="37" t="s">
        <v>1880</v>
      </c>
      <c r="Y376" s="37" t="s">
        <v>36</v>
      </c>
      <c r="Z376" s="62">
        <v>1</v>
      </c>
      <c r="AA376" s="120" t="s">
        <v>2185</v>
      </c>
      <c r="AB376" s="122" t="s">
        <v>2303</v>
      </c>
      <c r="AC376" s="58" t="s">
        <v>2418</v>
      </c>
      <c r="AD376" s="37" t="s">
        <v>2421</v>
      </c>
      <c r="AE376" s="58" t="s">
        <v>2298</v>
      </c>
      <c r="AF376" s="37" t="s">
        <v>2187</v>
      </c>
      <c r="AG376" s="15">
        <v>0.25</v>
      </c>
      <c r="AH376" s="16">
        <v>0.25</v>
      </c>
      <c r="AI376" s="17">
        <v>0.25</v>
      </c>
      <c r="AJ376" s="18">
        <v>0.25</v>
      </c>
      <c r="AK376" s="46">
        <v>99722222</v>
      </c>
      <c r="AL376" s="47">
        <v>220276389</v>
      </c>
      <c r="AM376" s="48">
        <v>220584680</v>
      </c>
      <c r="AN376" s="49">
        <v>100902221</v>
      </c>
      <c r="AO376" s="50">
        <v>641485512</v>
      </c>
      <c r="AP376" s="37" t="s">
        <v>1518</v>
      </c>
    </row>
    <row r="377" spans="1:42" customFormat="1" ht="153" x14ac:dyDescent="0.25">
      <c r="A377" s="36">
        <v>376</v>
      </c>
      <c r="B377" s="37" t="s">
        <v>264</v>
      </c>
      <c r="C377" s="37" t="s">
        <v>265</v>
      </c>
      <c r="D377" s="38" t="s">
        <v>2388</v>
      </c>
      <c r="E377" s="115" t="s">
        <v>1526</v>
      </c>
      <c r="F377" s="115" t="s">
        <v>1527</v>
      </c>
      <c r="G377" s="36">
        <v>38</v>
      </c>
      <c r="H377" s="36">
        <v>2023</v>
      </c>
      <c r="I377" s="56" t="s">
        <v>1528</v>
      </c>
      <c r="J377" s="38" t="s">
        <v>1529</v>
      </c>
      <c r="K377" s="87" t="s">
        <v>36</v>
      </c>
      <c r="L377" s="37"/>
      <c r="M377" s="37" t="s">
        <v>1495</v>
      </c>
      <c r="N377" s="51" t="s">
        <v>1881</v>
      </c>
      <c r="O377" s="58" t="s">
        <v>1882</v>
      </c>
      <c r="P377" s="51" t="s">
        <v>1572</v>
      </c>
      <c r="Q377" s="58" t="s">
        <v>1573</v>
      </c>
      <c r="R377" s="51" t="s">
        <v>1574</v>
      </c>
      <c r="S377" s="58" t="s">
        <v>1575</v>
      </c>
      <c r="T377" s="59" t="s">
        <v>1576</v>
      </c>
      <c r="U377" s="58" t="s">
        <v>369</v>
      </c>
      <c r="V377" s="51" t="s">
        <v>1577</v>
      </c>
      <c r="W377" s="58" t="s">
        <v>1578</v>
      </c>
      <c r="X377" s="37" t="s">
        <v>2179</v>
      </c>
      <c r="Y377" s="37" t="s">
        <v>36</v>
      </c>
      <c r="Z377" s="62">
        <v>0</v>
      </c>
      <c r="AA377" s="36" t="s">
        <v>2185</v>
      </c>
      <c r="AB377" s="122" t="s">
        <v>2303</v>
      </c>
      <c r="AC377" s="58" t="s">
        <v>2418</v>
      </c>
      <c r="AD377" s="37" t="s">
        <v>2421</v>
      </c>
      <c r="AE377" s="58" t="s">
        <v>2298</v>
      </c>
      <c r="AF377" s="37" t="s">
        <v>2187</v>
      </c>
      <c r="AG377" s="15">
        <v>0.25</v>
      </c>
      <c r="AH377" s="16">
        <v>0.25</v>
      </c>
      <c r="AI377" s="17">
        <v>0.25</v>
      </c>
      <c r="AJ377" s="18">
        <v>0.25</v>
      </c>
      <c r="AK377" s="46">
        <v>69722222</v>
      </c>
      <c r="AL377" s="47">
        <v>150276389</v>
      </c>
      <c r="AM377" s="48">
        <v>150584680</v>
      </c>
      <c r="AN377" s="49">
        <v>70902221</v>
      </c>
      <c r="AO377" s="50">
        <v>441485512</v>
      </c>
      <c r="AP377" s="37" t="s">
        <v>1518</v>
      </c>
    </row>
    <row r="378" spans="1:42" customFormat="1" ht="153" x14ac:dyDescent="0.25">
      <c r="A378" s="36">
        <v>377</v>
      </c>
      <c r="B378" s="37" t="s">
        <v>224</v>
      </c>
      <c r="C378" s="37" t="s">
        <v>291</v>
      </c>
      <c r="D378" s="38" t="s">
        <v>2386</v>
      </c>
      <c r="E378" s="37" t="s">
        <v>891</v>
      </c>
      <c r="F378" s="37" t="s">
        <v>892</v>
      </c>
      <c r="G378" s="40" t="s">
        <v>893</v>
      </c>
      <c r="H378" s="62">
        <v>2018</v>
      </c>
      <c r="I378" s="37" t="s">
        <v>894</v>
      </c>
      <c r="J378" s="38" t="s">
        <v>895</v>
      </c>
      <c r="K378" s="37" t="s">
        <v>25</v>
      </c>
      <c r="L378" s="37" t="s">
        <v>688</v>
      </c>
      <c r="M378" s="37" t="s">
        <v>678</v>
      </c>
      <c r="N378" s="36">
        <v>17</v>
      </c>
      <c r="O378" s="37" t="s">
        <v>680</v>
      </c>
      <c r="P378" s="36" t="s">
        <v>681</v>
      </c>
      <c r="Q378" s="37" t="s">
        <v>682</v>
      </c>
      <c r="R378" s="36">
        <v>1702017</v>
      </c>
      <c r="S378" s="37" t="s">
        <v>1883</v>
      </c>
      <c r="T378" s="38" t="s">
        <v>1884</v>
      </c>
      <c r="U378" s="37" t="s">
        <v>1885</v>
      </c>
      <c r="V378" s="36">
        <v>170201700</v>
      </c>
      <c r="W378" s="37" t="s">
        <v>1886</v>
      </c>
      <c r="X378" s="41" t="s">
        <v>2131</v>
      </c>
      <c r="Y378" s="122" t="s">
        <v>36</v>
      </c>
      <c r="Z378" s="123">
        <v>0</v>
      </c>
      <c r="AA378" s="120" t="s">
        <v>2185</v>
      </c>
      <c r="AB378" s="122" t="s">
        <v>2303</v>
      </c>
      <c r="AC378" s="58" t="s">
        <v>2418</v>
      </c>
      <c r="AD378" s="37" t="s">
        <v>1778</v>
      </c>
      <c r="AE378" s="37"/>
      <c r="AF378" s="37" t="s">
        <v>2187</v>
      </c>
      <c r="AG378" s="42">
        <v>5</v>
      </c>
      <c r="AH378" s="43">
        <v>10</v>
      </c>
      <c r="AI378" s="44">
        <v>10</v>
      </c>
      <c r="AJ378" s="45">
        <v>10</v>
      </c>
      <c r="AK378" s="46">
        <v>104222222</v>
      </c>
      <c r="AL378" s="47">
        <v>230776389</v>
      </c>
      <c r="AM378" s="48">
        <v>231084680</v>
      </c>
      <c r="AN378" s="49">
        <v>105402221</v>
      </c>
      <c r="AO378" s="50">
        <v>671485512</v>
      </c>
      <c r="AP378" s="37" t="s">
        <v>1518</v>
      </c>
    </row>
    <row r="379" spans="1:42" customFormat="1" ht="153" x14ac:dyDescent="0.25">
      <c r="A379" s="36">
        <v>378</v>
      </c>
      <c r="B379" s="37" t="s">
        <v>224</v>
      </c>
      <c r="C379" s="37" t="s">
        <v>291</v>
      </c>
      <c r="D379" s="38" t="s">
        <v>2386</v>
      </c>
      <c r="E379" s="37" t="s">
        <v>891</v>
      </c>
      <c r="F379" s="37" t="s">
        <v>892</v>
      </c>
      <c r="G379" s="40" t="s">
        <v>893</v>
      </c>
      <c r="H379" s="62">
        <v>2018</v>
      </c>
      <c r="I379" s="37" t="s">
        <v>894</v>
      </c>
      <c r="J379" s="38" t="s">
        <v>895</v>
      </c>
      <c r="K379" s="37" t="s">
        <v>25</v>
      </c>
      <c r="L379" s="37" t="s">
        <v>688</v>
      </c>
      <c r="M379" s="37" t="s">
        <v>678</v>
      </c>
      <c r="N379" s="36">
        <v>32</v>
      </c>
      <c r="O379" s="37" t="s">
        <v>854</v>
      </c>
      <c r="P379" s="36">
        <v>3208</v>
      </c>
      <c r="Q379" s="37" t="s">
        <v>1887</v>
      </c>
      <c r="R379" s="36">
        <v>3208006</v>
      </c>
      <c r="S379" s="37" t="s">
        <v>1888</v>
      </c>
      <c r="T379" s="38" t="s">
        <v>873</v>
      </c>
      <c r="U379" s="37" t="s">
        <v>369</v>
      </c>
      <c r="V379" s="36">
        <v>320800600</v>
      </c>
      <c r="W379" s="37" t="s">
        <v>1889</v>
      </c>
      <c r="X379" s="38" t="s">
        <v>2132</v>
      </c>
      <c r="Y379" s="37" t="s">
        <v>36</v>
      </c>
      <c r="Z379" s="62">
        <v>0</v>
      </c>
      <c r="AA379" s="36" t="s">
        <v>2185</v>
      </c>
      <c r="AB379" s="122" t="s">
        <v>2312</v>
      </c>
      <c r="AC379" s="58" t="s">
        <v>2418</v>
      </c>
      <c r="AD379" s="37" t="s">
        <v>2313</v>
      </c>
      <c r="AE379" s="58" t="s">
        <v>2298</v>
      </c>
      <c r="AF379" s="37" t="s">
        <v>2187</v>
      </c>
      <c r="AG379" s="42">
        <v>1</v>
      </c>
      <c r="AH379" s="43">
        <v>1</v>
      </c>
      <c r="AI379" s="44">
        <v>1</v>
      </c>
      <c r="AJ379" s="45">
        <v>1</v>
      </c>
      <c r="AK379" s="46">
        <v>83222222</v>
      </c>
      <c r="AL379" s="47">
        <v>181776389</v>
      </c>
      <c r="AM379" s="48">
        <v>182084680</v>
      </c>
      <c r="AN379" s="49">
        <v>84402221</v>
      </c>
      <c r="AO379" s="50">
        <v>531485512</v>
      </c>
      <c r="AP379" s="37" t="s">
        <v>1518</v>
      </c>
    </row>
    <row r="380" spans="1:42" customFormat="1" ht="153" x14ac:dyDescent="0.25">
      <c r="A380" s="36">
        <v>379</v>
      </c>
      <c r="B380" s="37" t="s">
        <v>630</v>
      </c>
      <c r="C380" s="37" t="s">
        <v>314</v>
      </c>
      <c r="D380" s="38" t="s">
        <v>2385</v>
      </c>
      <c r="E380" s="66" t="s">
        <v>993</v>
      </c>
      <c r="F380" s="66" t="s">
        <v>994</v>
      </c>
      <c r="G380" s="92">
        <v>0.31979999999999997</v>
      </c>
      <c r="H380" s="67">
        <v>2021</v>
      </c>
      <c r="I380" s="66" t="s">
        <v>995</v>
      </c>
      <c r="J380" s="68" t="s">
        <v>996</v>
      </c>
      <c r="K380" s="66" t="s">
        <v>25</v>
      </c>
      <c r="L380" s="37"/>
      <c r="M380" s="69" t="s">
        <v>318</v>
      </c>
      <c r="N380" s="36">
        <v>39</v>
      </c>
      <c r="O380" s="37" t="s">
        <v>1890</v>
      </c>
      <c r="P380" s="36">
        <v>3906</v>
      </c>
      <c r="Q380" s="37" t="s">
        <v>1006</v>
      </c>
      <c r="R380" s="36">
        <v>3906001</v>
      </c>
      <c r="S380" s="37" t="s">
        <v>1990</v>
      </c>
      <c r="T380" s="38" t="s">
        <v>1991</v>
      </c>
      <c r="U380" s="37" t="s">
        <v>203</v>
      </c>
      <c r="V380" s="36">
        <v>390600100</v>
      </c>
      <c r="W380" s="37" t="s">
        <v>1891</v>
      </c>
      <c r="X380" s="114" t="s">
        <v>2422</v>
      </c>
      <c r="Y380" s="122" t="s">
        <v>36</v>
      </c>
      <c r="Z380" s="123">
        <v>0</v>
      </c>
      <c r="AA380" s="120" t="s">
        <v>2185</v>
      </c>
      <c r="AB380" s="122" t="s">
        <v>2303</v>
      </c>
      <c r="AC380" s="58" t="s">
        <v>2418</v>
      </c>
      <c r="AD380" s="37" t="s">
        <v>2313</v>
      </c>
      <c r="AE380" s="58" t="s">
        <v>2298</v>
      </c>
      <c r="AF380" s="37" t="s">
        <v>2187</v>
      </c>
      <c r="AG380" s="19">
        <v>5</v>
      </c>
      <c r="AH380" s="20">
        <v>10</v>
      </c>
      <c r="AI380" s="21">
        <v>10</v>
      </c>
      <c r="AJ380" s="22">
        <v>5</v>
      </c>
      <c r="AK380" s="46">
        <v>89222222</v>
      </c>
      <c r="AL380" s="47">
        <v>195776389</v>
      </c>
      <c r="AM380" s="48">
        <v>196084680</v>
      </c>
      <c r="AN380" s="49">
        <v>90402221</v>
      </c>
      <c r="AO380" s="50">
        <v>571485512</v>
      </c>
      <c r="AP380" s="37" t="s">
        <v>1518</v>
      </c>
    </row>
    <row r="381" spans="1:42" customFormat="1" ht="153" x14ac:dyDescent="0.25">
      <c r="A381" s="36">
        <v>380</v>
      </c>
      <c r="B381" s="37" t="s">
        <v>19</v>
      </c>
      <c r="C381" s="37" t="s">
        <v>20</v>
      </c>
      <c r="D381" s="37" t="s">
        <v>2387</v>
      </c>
      <c r="E381" s="37" t="s">
        <v>112</v>
      </c>
      <c r="F381" s="37" t="s">
        <v>113</v>
      </c>
      <c r="G381" s="57">
        <v>0.307</v>
      </c>
      <c r="H381" s="36">
        <v>2022</v>
      </c>
      <c r="I381" s="37" t="s">
        <v>114</v>
      </c>
      <c r="J381" s="38" t="s">
        <v>115</v>
      </c>
      <c r="K381" s="87" t="s">
        <v>25</v>
      </c>
      <c r="L381" s="37"/>
      <c r="M381" s="37" t="s">
        <v>26</v>
      </c>
      <c r="N381" s="51">
        <v>22</v>
      </c>
      <c r="O381" s="51" t="s">
        <v>28</v>
      </c>
      <c r="P381" s="51" t="s">
        <v>127</v>
      </c>
      <c r="Q381" s="58" t="s">
        <v>122</v>
      </c>
      <c r="R381" s="51" t="s">
        <v>123</v>
      </c>
      <c r="S381" s="58" t="s">
        <v>124</v>
      </c>
      <c r="T381" s="59" t="s">
        <v>125</v>
      </c>
      <c r="U381" s="58" t="s">
        <v>119</v>
      </c>
      <c r="V381" s="51" t="s">
        <v>1892</v>
      </c>
      <c r="W381" s="58" t="s">
        <v>126</v>
      </c>
      <c r="X381" s="114" t="s">
        <v>2423</v>
      </c>
      <c r="Y381" s="122" t="s">
        <v>36</v>
      </c>
      <c r="Z381" s="123">
        <v>0</v>
      </c>
      <c r="AA381" s="120" t="s">
        <v>2185</v>
      </c>
      <c r="AB381" s="122" t="s">
        <v>2303</v>
      </c>
      <c r="AC381" s="58" t="s">
        <v>2418</v>
      </c>
      <c r="AD381" s="37" t="s">
        <v>2313</v>
      </c>
      <c r="AE381" s="37"/>
      <c r="AF381" s="37" t="s">
        <v>2187</v>
      </c>
      <c r="AG381" s="19">
        <v>10</v>
      </c>
      <c r="AH381" s="20">
        <v>20</v>
      </c>
      <c r="AI381" s="21">
        <v>35</v>
      </c>
      <c r="AJ381" s="22">
        <v>35</v>
      </c>
      <c r="AK381" s="46">
        <v>104222222</v>
      </c>
      <c r="AL381" s="47">
        <v>230776389</v>
      </c>
      <c r="AM381" s="48">
        <v>231084680</v>
      </c>
      <c r="AN381" s="49">
        <v>105402221</v>
      </c>
      <c r="AO381" s="50">
        <v>671485512</v>
      </c>
      <c r="AP381" s="37" t="s">
        <v>1518</v>
      </c>
    </row>
    <row r="382" spans="1:42" ht="153" x14ac:dyDescent="0.2">
      <c r="A382" s="36">
        <v>381</v>
      </c>
      <c r="B382" s="37" t="s">
        <v>328</v>
      </c>
      <c r="C382" s="37" t="s">
        <v>465</v>
      </c>
      <c r="D382" s="38" t="s">
        <v>2384</v>
      </c>
      <c r="E382" s="37" t="s">
        <v>1514</v>
      </c>
      <c r="F382" s="37" t="s">
        <v>1515</v>
      </c>
      <c r="G382" s="40">
        <v>0.23710000000000001</v>
      </c>
      <c r="H382" s="36">
        <v>2023</v>
      </c>
      <c r="I382" s="37" t="s">
        <v>1516</v>
      </c>
      <c r="J382" s="38" t="s">
        <v>1517</v>
      </c>
      <c r="K382" s="37" t="s">
        <v>25</v>
      </c>
      <c r="L382" s="37" t="s">
        <v>27</v>
      </c>
      <c r="M382" s="37" t="s">
        <v>1518</v>
      </c>
      <c r="N382" s="36">
        <v>45</v>
      </c>
      <c r="O382" s="37" t="s">
        <v>940</v>
      </c>
      <c r="P382" s="51" t="s">
        <v>1467</v>
      </c>
      <c r="Q382" s="58" t="s">
        <v>1468</v>
      </c>
      <c r="R382" s="51" t="s">
        <v>1502</v>
      </c>
      <c r="S382" s="58" t="s">
        <v>1503</v>
      </c>
      <c r="T382" s="59" t="s">
        <v>1504</v>
      </c>
      <c r="U382" s="58" t="s">
        <v>792</v>
      </c>
      <c r="V382" s="51" t="s">
        <v>1505</v>
      </c>
      <c r="W382" s="58" t="s">
        <v>1506</v>
      </c>
      <c r="X382" s="41" t="s">
        <v>1893</v>
      </c>
      <c r="Y382" s="122" t="s">
        <v>36</v>
      </c>
      <c r="Z382" s="123">
        <v>7</v>
      </c>
      <c r="AA382" s="120" t="s">
        <v>2185</v>
      </c>
      <c r="AB382" s="122" t="s">
        <v>2303</v>
      </c>
      <c r="AC382" s="58" t="s">
        <v>2418</v>
      </c>
      <c r="AD382" s="37" t="s">
        <v>1778</v>
      </c>
      <c r="AE382" s="58" t="s">
        <v>2298</v>
      </c>
      <c r="AF382" s="37" t="s">
        <v>2187</v>
      </c>
      <c r="AG382" s="19">
        <v>1</v>
      </c>
      <c r="AH382" s="20">
        <v>3</v>
      </c>
      <c r="AI382" s="21">
        <v>2</v>
      </c>
      <c r="AJ382" s="22">
        <v>1</v>
      </c>
      <c r="AK382" s="46">
        <v>104222222</v>
      </c>
      <c r="AL382" s="47">
        <v>230776389</v>
      </c>
      <c r="AM382" s="48">
        <v>231084680</v>
      </c>
      <c r="AN382" s="49">
        <v>105402221</v>
      </c>
      <c r="AO382" s="50">
        <v>671485512</v>
      </c>
      <c r="AP382" s="37" t="s">
        <v>1518</v>
      </c>
    </row>
    <row r="383" spans="1:42" ht="153" x14ac:dyDescent="0.2">
      <c r="A383" s="36">
        <v>382</v>
      </c>
      <c r="B383" s="37" t="s">
        <v>328</v>
      </c>
      <c r="C383" s="37" t="s">
        <v>465</v>
      </c>
      <c r="D383" s="38" t="s">
        <v>2384</v>
      </c>
      <c r="E383" s="37" t="s">
        <v>1514</v>
      </c>
      <c r="F383" s="37" t="s">
        <v>1515</v>
      </c>
      <c r="G383" s="40">
        <v>0.23710000000000001</v>
      </c>
      <c r="H383" s="36">
        <v>2023</v>
      </c>
      <c r="I383" s="37" t="s">
        <v>1516</v>
      </c>
      <c r="J383" s="38" t="str">
        <f>+J382</f>
        <v>Aumentar a 28,71% la participación política de las mujeres en cargos de elección popular</v>
      </c>
      <c r="K383" s="37" t="s">
        <v>25</v>
      </c>
      <c r="L383" s="37" t="s">
        <v>27</v>
      </c>
      <c r="M383" s="37" t="s">
        <v>1518</v>
      </c>
      <c r="N383" s="36">
        <v>45</v>
      </c>
      <c r="O383" s="37" t="s">
        <v>940</v>
      </c>
      <c r="P383" s="51" t="s">
        <v>1467</v>
      </c>
      <c r="Q383" s="58" t="s">
        <v>1468</v>
      </c>
      <c r="R383" s="51" t="s">
        <v>1477</v>
      </c>
      <c r="S383" s="58" t="s">
        <v>1478</v>
      </c>
      <c r="T383" s="59" t="s">
        <v>944</v>
      </c>
      <c r="U383" s="58" t="s">
        <v>203</v>
      </c>
      <c r="V383" s="51" t="s">
        <v>1479</v>
      </c>
      <c r="W383" s="58" t="s">
        <v>297</v>
      </c>
      <c r="X383" s="37" t="s">
        <v>2135</v>
      </c>
      <c r="Y383" s="122" t="s">
        <v>36</v>
      </c>
      <c r="Z383" s="123">
        <v>4500</v>
      </c>
      <c r="AA383" s="120" t="s">
        <v>2185</v>
      </c>
      <c r="AB383" s="122" t="s">
        <v>2303</v>
      </c>
      <c r="AC383" s="58" t="s">
        <v>2418</v>
      </c>
      <c r="AD383" s="37" t="s">
        <v>1778</v>
      </c>
      <c r="AE383" s="58" t="s">
        <v>2298</v>
      </c>
      <c r="AF383" s="37" t="s">
        <v>2187</v>
      </c>
      <c r="AG383" s="19">
        <v>300</v>
      </c>
      <c r="AH383" s="20">
        <v>1500</v>
      </c>
      <c r="AI383" s="21">
        <v>1500</v>
      </c>
      <c r="AJ383" s="22">
        <v>1200</v>
      </c>
      <c r="AK383" s="46">
        <v>89222222</v>
      </c>
      <c r="AL383" s="47">
        <v>195776389</v>
      </c>
      <c r="AM383" s="48">
        <v>196084680</v>
      </c>
      <c r="AN383" s="49">
        <v>90402221</v>
      </c>
      <c r="AO383" s="50">
        <v>571485512</v>
      </c>
      <c r="AP383" s="37" t="s">
        <v>1518</v>
      </c>
    </row>
    <row r="384" spans="1:42" customFormat="1" ht="153" x14ac:dyDescent="0.25">
      <c r="A384" s="36">
        <v>383</v>
      </c>
      <c r="B384" s="37" t="s">
        <v>328</v>
      </c>
      <c r="C384" s="37" t="s">
        <v>465</v>
      </c>
      <c r="D384" s="38" t="s">
        <v>2384</v>
      </c>
      <c r="E384" s="80" t="s">
        <v>466</v>
      </c>
      <c r="F384" s="80" t="s">
        <v>467</v>
      </c>
      <c r="G384" s="36">
        <v>80</v>
      </c>
      <c r="H384" s="36">
        <v>2022</v>
      </c>
      <c r="I384" s="37" t="s">
        <v>468</v>
      </c>
      <c r="J384" s="38" t="s">
        <v>469</v>
      </c>
      <c r="K384" s="37" t="s">
        <v>36</v>
      </c>
      <c r="L384" s="37"/>
      <c r="M384" s="37" t="s">
        <v>470</v>
      </c>
      <c r="N384" s="36">
        <v>45</v>
      </c>
      <c r="O384" s="37" t="s">
        <v>940</v>
      </c>
      <c r="P384" s="51" t="s">
        <v>1467</v>
      </c>
      <c r="Q384" s="58" t="s">
        <v>1468</v>
      </c>
      <c r="R384" s="51" t="s">
        <v>1471</v>
      </c>
      <c r="S384" s="58" t="s">
        <v>232</v>
      </c>
      <c r="T384" s="59" t="s">
        <v>1472</v>
      </c>
      <c r="U384" s="58" t="s">
        <v>1473</v>
      </c>
      <c r="V384" s="51" t="s">
        <v>1474</v>
      </c>
      <c r="W384" s="58" t="s">
        <v>1475</v>
      </c>
      <c r="X384" s="58" t="s">
        <v>2010</v>
      </c>
      <c r="Y384" s="122" t="s">
        <v>36</v>
      </c>
      <c r="Z384" s="123">
        <v>4</v>
      </c>
      <c r="AA384" s="120" t="s">
        <v>2185</v>
      </c>
      <c r="AB384" s="122" t="s">
        <v>2303</v>
      </c>
      <c r="AC384" s="58" t="s">
        <v>2418</v>
      </c>
      <c r="AD384" s="37" t="s">
        <v>1778</v>
      </c>
      <c r="AE384" s="58" t="s">
        <v>2298</v>
      </c>
      <c r="AF384" s="37" t="s">
        <v>2187</v>
      </c>
      <c r="AG384" s="19">
        <v>3</v>
      </c>
      <c r="AH384" s="20">
        <v>1</v>
      </c>
      <c r="AI384" s="21">
        <v>1</v>
      </c>
      <c r="AJ384" s="22">
        <v>1</v>
      </c>
      <c r="AK384" s="46">
        <v>609722222</v>
      </c>
      <c r="AL384" s="47">
        <v>1410276389</v>
      </c>
      <c r="AM384" s="48">
        <v>1410584680</v>
      </c>
      <c r="AN384" s="49">
        <v>441922266</v>
      </c>
      <c r="AO384" s="50">
        <v>3872505557</v>
      </c>
      <c r="AP384" s="37" t="s">
        <v>1518</v>
      </c>
    </row>
    <row r="385" spans="1:42" customFormat="1" ht="63.75" x14ac:dyDescent="0.25">
      <c r="A385" s="36">
        <v>384</v>
      </c>
      <c r="B385" s="38" t="s">
        <v>328</v>
      </c>
      <c r="C385" s="37" t="s">
        <v>465</v>
      </c>
      <c r="D385" s="38" t="s">
        <v>2384</v>
      </c>
      <c r="E385" s="80" t="s">
        <v>466</v>
      </c>
      <c r="F385" s="80" t="s">
        <v>467</v>
      </c>
      <c r="G385" s="36">
        <v>80</v>
      </c>
      <c r="H385" s="36">
        <v>2022</v>
      </c>
      <c r="I385" s="37" t="s">
        <v>468</v>
      </c>
      <c r="J385" s="38" t="s">
        <v>469</v>
      </c>
      <c r="K385" s="38" t="s">
        <v>36</v>
      </c>
      <c r="L385" s="37"/>
      <c r="M385" s="37" t="s">
        <v>470</v>
      </c>
      <c r="N385" s="51" t="s">
        <v>785</v>
      </c>
      <c r="O385" s="58" t="s">
        <v>786</v>
      </c>
      <c r="P385" s="51" t="s">
        <v>1488</v>
      </c>
      <c r="Q385" s="58" t="s">
        <v>1143</v>
      </c>
      <c r="R385" s="51" t="s">
        <v>1894</v>
      </c>
      <c r="S385" s="58" t="s">
        <v>1895</v>
      </c>
      <c r="T385" s="59" t="s">
        <v>1499</v>
      </c>
      <c r="U385" s="58" t="s">
        <v>301</v>
      </c>
      <c r="V385" s="51" t="s">
        <v>1896</v>
      </c>
      <c r="W385" s="58" t="s">
        <v>1897</v>
      </c>
      <c r="X385" s="127" t="s">
        <v>1992</v>
      </c>
      <c r="Y385" s="38" t="s">
        <v>764</v>
      </c>
      <c r="Z385" s="36">
        <v>1</v>
      </c>
      <c r="AA385" s="36" t="s">
        <v>2192</v>
      </c>
      <c r="AB385" s="37" t="s">
        <v>2199</v>
      </c>
      <c r="AC385" s="36" t="s">
        <v>2187</v>
      </c>
      <c r="AD385" s="37" t="s">
        <v>1898</v>
      </c>
      <c r="AE385" s="37" t="s">
        <v>2200</v>
      </c>
      <c r="AF385" s="37" t="s">
        <v>2187</v>
      </c>
      <c r="AG385" s="19">
        <v>1</v>
      </c>
      <c r="AH385" s="20">
        <v>1</v>
      </c>
      <c r="AI385" s="21">
        <v>1</v>
      </c>
      <c r="AJ385" s="22">
        <v>1</v>
      </c>
      <c r="AK385" s="46">
        <v>2765704890</v>
      </c>
      <c r="AL385" s="47">
        <v>2922750069</v>
      </c>
      <c r="AM385" s="48">
        <v>3119886153</v>
      </c>
      <c r="AN385" s="49">
        <v>3095656348</v>
      </c>
      <c r="AO385" s="50">
        <v>11903997460</v>
      </c>
      <c r="AP385" s="37" t="s">
        <v>1899</v>
      </c>
    </row>
    <row r="386" spans="1:42" customFormat="1" ht="114.75" x14ac:dyDescent="0.25">
      <c r="A386" s="36">
        <v>385</v>
      </c>
      <c r="B386" s="38" t="s">
        <v>328</v>
      </c>
      <c r="C386" s="37" t="s">
        <v>465</v>
      </c>
      <c r="D386" s="38" t="s">
        <v>2384</v>
      </c>
      <c r="E386" s="80" t="s">
        <v>466</v>
      </c>
      <c r="F386" s="80" t="s">
        <v>467</v>
      </c>
      <c r="G386" s="36">
        <v>80</v>
      </c>
      <c r="H386" s="36">
        <v>2022</v>
      </c>
      <c r="I386" s="37" t="s">
        <v>468</v>
      </c>
      <c r="J386" s="38" t="s">
        <v>469</v>
      </c>
      <c r="K386" s="38" t="s">
        <v>36</v>
      </c>
      <c r="L386" s="37"/>
      <c r="M386" s="37" t="s">
        <v>470</v>
      </c>
      <c r="N386" s="51" t="s">
        <v>785</v>
      </c>
      <c r="O386" s="58" t="s">
        <v>786</v>
      </c>
      <c r="P386" s="51" t="s">
        <v>1488</v>
      </c>
      <c r="Q386" s="58" t="s">
        <v>1143</v>
      </c>
      <c r="R386" s="51" t="s">
        <v>1489</v>
      </c>
      <c r="S386" s="58" t="s">
        <v>1000</v>
      </c>
      <c r="T386" s="59" t="s">
        <v>1490</v>
      </c>
      <c r="U386" s="58" t="s">
        <v>500</v>
      </c>
      <c r="V386" s="51" t="s">
        <v>1491</v>
      </c>
      <c r="W386" s="58" t="s">
        <v>829</v>
      </c>
      <c r="X386" s="58" t="s">
        <v>1900</v>
      </c>
      <c r="Y386" s="58" t="s">
        <v>764</v>
      </c>
      <c r="Z386" s="51">
        <v>0</v>
      </c>
      <c r="AA386" s="51" t="s">
        <v>2185</v>
      </c>
      <c r="AB386" s="58" t="s">
        <v>2424</v>
      </c>
      <c r="AC386" s="58" t="s">
        <v>2201</v>
      </c>
      <c r="AD386" s="38" t="s">
        <v>2202</v>
      </c>
      <c r="AE386" s="38" t="s">
        <v>2203</v>
      </c>
      <c r="AF386" s="37" t="s">
        <v>2187</v>
      </c>
      <c r="AG386" s="71">
        <v>0.1</v>
      </c>
      <c r="AH386" s="53">
        <v>0.4</v>
      </c>
      <c r="AI386" s="54">
        <v>0.3</v>
      </c>
      <c r="AJ386" s="55">
        <v>0.2</v>
      </c>
      <c r="AK386" s="46">
        <v>200000000</v>
      </c>
      <c r="AL386" s="47">
        <v>212000000</v>
      </c>
      <c r="AM386" s="48">
        <v>108906418</v>
      </c>
      <c r="AN386" s="49">
        <v>230000000</v>
      </c>
      <c r="AO386" s="50">
        <v>750906418</v>
      </c>
      <c r="AP386" s="58" t="s">
        <v>1899</v>
      </c>
    </row>
    <row r="387" spans="1:42" customFormat="1" ht="63.75" x14ac:dyDescent="0.25">
      <c r="A387" s="36">
        <v>386</v>
      </c>
      <c r="B387" s="37" t="s">
        <v>328</v>
      </c>
      <c r="C387" s="37" t="s">
        <v>465</v>
      </c>
      <c r="D387" s="38" t="s">
        <v>2384</v>
      </c>
      <c r="E387" s="80" t="s">
        <v>466</v>
      </c>
      <c r="F387" s="37" t="s">
        <v>467</v>
      </c>
      <c r="G387" s="36">
        <v>80</v>
      </c>
      <c r="H387" s="36">
        <v>2022</v>
      </c>
      <c r="I387" s="37" t="s">
        <v>1635</v>
      </c>
      <c r="J387" s="38" t="s">
        <v>469</v>
      </c>
      <c r="K387" s="37" t="s">
        <v>36</v>
      </c>
      <c r="L387" s="37"/>
      <c r="M387" s="37" t="s">
        <v>470</v>
      </c>
      <c r="N387" s="36" t="s">
        <v>785</v>
      </c>
      <c r="O387" s="37" t="s">
        <v>786</v>
      </c>
      <c r="P387" s="36" t="s">
        <v>1488</v>
      </c>
      <c r="Q387" s="37" t="s">
        <v>1143</v>
      </c>
      <c r="R387" s="36" t="s">
        <v>1903</v>
      </c>
      <c r="S387" s="37" t="s">
        <v>1904</v>
      </c>
      <c r="T387" s="38" t="s">
        <v>1905</v>
      </c>
      <c r="U387" s="37" t="s">
        <v>25</v>
      </c>
      <c r="V387" s="36" t="s">
        <v>1906</v>
      </c>
      <c r="W387" s="37" t="s">
        <v>1907</v>
      </c>
      <c r="X387" s="38" t="s">
        <v>2485</v>
      </c>
      <c r="Y387" s="37" t="s">
        <v>25</v>
      </c>
      <c r="Z387" s="128">
        <v>265880326200</v>
      </c>
      <c r="AA387" s="36" t="s">
        <v>2185</v>
      </c>
      <c r="AB387" s="36" t="s">
        <v>2186</v>
      </c>
      <c r="AC387" s="37" t="s">
        <v>2187</v>
      </c>
      <c r="AD387" s="36" t="s">
        <v>2425</v>
      </c>
      <c r="AE387" s="36" t="s">
        <v>2184</v>
      </c>
      <c r="AF387" s="36" t="s">
        <v>2187</v>
      </c>
      <c r="AG387" s="3">
        <v>3.5000000000000003E-2</v>
      </c>
      <c r="AH387" s="5">
        <v>3.5000000000000003E-2</v>
      </c>
      <c r="AI387" s="9">
        <v>3.5000000000000003E-2</v>
      </c>
      <c r="AJ387" s="7">
        <v>3.5000000000000003E-2</v>
      </c>
      <c r="AK387" s="46">
        <v>1771546964</v>
      </c>
      <c r="AL387" s="47">
        <v>1872525140.95</v>
      </c>
      <c r="AM387" s="48">
        <v>1928700895.1800001</v>
      </c>
      <c r="AN387" s="49">
        <v>1986561922.03</v>
      </c>
      <c r="AO387" s="50">
        <v>7559334922.1599998</v>
      </c>
      <c r="AP387" s="37" t="s">
        <v>1908</v>
      </c>
    </row>
    <row r="388" spans="1:42" customFormat="1" ht="63.75" x14ac:dyDescent="0.25">
      <c r="A388" s="36">
        <v>387</v>
      </c>
      <c r="B388" s="37" t="s">
        <v>328</v>
      </c>
      <c r="C388" s="37" t="s">
        <v>465</v>
      </c>
      <c r="D388" s="38" t="s">
        <v>2384</v>
      </c>
      <c r="E388" s="80" t="s">
        <v>466</v>
      </c>
      <c r="F388" s="37" t="s">
        <v>467</v>
      </c>
      <c r="G388" s="36">
        <v>80</v>
      </c>
      <c r="H388" s="36">
        <v>2022</v>
      </c>
      <c r="I388" s="37" t="s">
        <v>1635</v>
      </c>
      <c r="J388" s="38" t="s">
        <v>469</v>
      </c>
      <c r="K388" s="37" t="s">
        <v>36</v>
      </c>
      <c r="L388" s="37"/>
      <c r="M388" s="37" t="s">
        <v>470</v>
      </c>
      <c r="N388" s="36">
        <v>45</v>
      </c>
      <c r="O388" s="37" t="s">
        <v>940</v>
      </c>
      <c r="P388" s="36" t="s">
        <v>1488</v>
      </c>
      <c r="Q388" s="37" t="s">
        <v>1143</v>
      </c>
      <c r="R388" s="36" t="s">
        <v>1909</v>
      </c>
      <c r="S388" s="37" t="s">
        <v>619</v>
      </c>
      <c r="T388" s="38" t="s">
        <v>1032</v>
      </c>
      <c r="U388" s="37" t="s">
        <v>500</v>
      </c>
      <c r="V388" s="36" t="s">
        <v>1910</v>
      </c>
      <c r="W388" s="37" t="s">
        <v>621</v>
      </c>
      <c r="X388" s="37" t="s">
        <v>1911</v>
      </c>
      <c r="Y388" s="37" t="s">
        <v>36</v>
      </c>
      <c r="Z388" s="36">
        <v>1000</v>
      </c>
      <c r="AA388" s="36" t="s">
        <v>2185</v>
      </c>
      <c r="AB388" s="37"/>
      <c r="AC388" s="37"/>
      <c r="AD388" s="37" t="s">
        <v>1547</v>
      </c>
      <c r="AE388" s="37" t="s">
        <v>2200</v>
      </c>
      <c r="AF388" s="37" t="s">
        <v>2187</v>
      </c>
      <c r="AG388" s="42">
        <v>103</v>
      </c>
      <c r="AH388" s="43">
        <v>133</v>
      </c>
      <c r="AI388" s="44">
        <v>134</v>
      </c>
      <c r="AJ388" s="45">
        <v>40</v>
      </c>
      <c r="AK388" s="46">
        <v>100000000</v>
      </c>
      <c r="AL388" s="47">
        <v>125000000</v>
      </c>
      <c r="AM388" s="48">
        <v>150406121</v>
      </c>
      <c r="AN388" s="49">
        <v>156196757</v>
      </c>
      <c r="AO388" s="50">
        <v>531602878</v>
      </c>
      <c r="AP388" s="37" t="s">
        <v>470</v>
      </c>
    </row>
    <row r="389" spans="1:42" customFormat="1" ht="63.75" x14ac:dyDescent="0.25">
      <c r="A389" s="36">
        <v>388</v>
      </c>
      <c r="B389" s="37" t="s">
        <v>328</v>
      </c>
      <c r="C389" s="37" t="s">
        <v>465</v>
      </c>
      <c r="D389" s="38" t="s">
        <v>2384</v>
      </c>
      <c r="E389" s="80" t="s">
        <v>466</v>
      </c>
      <c r="F389" s="37" t="s">
        <v>467</v>
      </c>
      <c r="G389" s="36">
        <v>80</v>
      </c>
      <c r="H389" s="36">
        <v>2022</v>
      </c>
      <c r="I389" s="37" t="s">
        <v>1635</v>
      </c>
      <c r="J389" s="38" t="s">
        <v>469</v>
      </c>
      <c r="K389" s="37" t="s">
        <v>36</v>
      </c>
      <c r="L389" s="37"/>
      <c r="M389" s="37" t="s">
        <v>470</v>
      </c>
      <c r="N389" s="36">
        <v>45</v>
      </c>
      <c r="O389" s="37" t="s">
        <v>940</v>
      </c>
      <c r="P389" s="36" t="s">
        <v>1488</v>
      </c>
      <c r="Q389" s="37" t="s">
        <v>1143</v>
      </c>
      <c r="R389" s="36" t="s">
        <v>1912</v>
      </c>
      <c r="S389" s="37" t="s">
        <v>768</v>
      </c>
      <c r="T389" s="38" t="s">
        <v>1913</v>
      </c>
      <c r="U389" s="37" t="s">
        <v>500</v>
      </c>
      <c r="V389" s="36" t="s">
        <v>1914</v>
      </c>
      <c r="W389" s="37" t="s">
        <v>1915</v>
      </c>
      <c r="X389" s="37" t="s">
        <v>1916</v>
      </c>
      <c r="Y389" s="37" t="s">
        <v>36</v>
      </c>
      <c r="Z389" s="36">
        <v>36</v>
      </c>
      <c r="AA389" s="36" t="s">
        <v>2185</v>
      </c>
      <c r="AB389" s="37"/>
      <c r="AC389" s="37"/>
      <c r="AD389" s="37" t="s">
        <v>1547</v>
      </c>
      <c r="AE389" s="37" t="s">
        <v>2200</v>
      </c>
      <c r="AF389" s="37" t="s">
        <v>2187</v>
      </c>
      <c r="AG389" s="42">
        <v>36</v>
      </c>
      <c r="AH389" s="43">
        <v>36</v>
      </c>
      <c r="AI389" s="44">
        <v>36</v>
      </c>
      <c r="AJ389" s="45">
        <v>36</v>
      </c>
      <c r="AK389" s="46">
        <v>120000000</v>
      </c>
      <c r="AL389" s="47">
        <v>125000000</v>
      </c>
      <c r="AM389" s="48">
        <v>170000000</v>
      </c>
      <c r="AN389" s="49">
        <v>200000000</v>
      </c>
      <c r="AO389" s="50">
        <v>615000000</v>
      </c>
      <c r="AP389" s="37" t="s">
        <v>470</v>
      </c>
    </row>
    <row r="390" spans="1:42" customFormat="1" ht="76.5" x14ac:dyDescent="0.25">
      <c r="A390" s="36">
        <v>389</v>
      </c>
      <c r="B390" s="37" t="s">
        <v>328</v>
      </c>
      <c r="C390" s="37" t="s">
        <v>465</v>
      </c>
      <c r="D390" s="38" t="s">
        <v>2384</v>
      </c>
      <c r="E390" s="80" t="s">
        <v>466</v>
      </c>
      <c r="F390" s="37" t="s">
        <v>467</v>
      </c>
      <c r="G390" s="36">
        <v>80</v>
      </c>
      <c r="H390" s="36">
        <v>2022</v>
      </c>
      <c r="I390" s="37" t="s">
        <v>1635</v>
      </c>
      <c r="J390" s="38" t="s">
        <v>469</v>
      </c>
      <c r="K390" s="37" t="s">
        <v>36</v>
      </c>
      <c r="L390" s="37"/>
      <c r="M390" s="37" t="s">
        <v>470</v>
      </c>
      <c r="N390" s="36">
        <v>45</v>
      </c>
      <c r="O390" s="37" t="s">
        <v>940</v>
      </c>
      <c r="P390" s="36" t="s">
        <v>1488</v>
      </c>
      <c r="Q390" s="37" t="s">
        <v>1143</v>
      </c>
      <c r="R390" s="36" t="s">
        <v>1917</v>
      </c>
      <c r="S390" s="37" t="s">
        <v>1918</v>
      </c>
      <c r="T390" s="38" t="s">
        <v>1919</v>
      </c>
      <c r="U390" s="37" t="s">
        <v>968</v>
      </c>
      <c r="V390" s="36">
        <v>459902300</v>
      </c>
      <c r="W390" s="37" t="s">
        <v>2314</v>
      </c>
      <c r="X390" s="37" t="s">
        <v>1920</v>
      </c>
      <c r="Y390" s="37" t="s">
        <v>36</v>
      </c>
      <c r="Z390" s="36">
        <v>1</v>
      </c>
      <c r="AA390" s="36" t="s">
        <v>2185</v>
      </c>
      <c r="AB390" s="37"/>
      <c r="AC390" s="37"/>
      <c r="AD390" s="37" t="s">
        <v>1547</v>
      </c>
      <c r="AE390" s="37" t="s">
        <v>2200</v>
      </c>
      <c r="AF390" s="37" t="s">
        <v>2187</v>
      </c>
      <c r="AG390" s="42">
        <v>2</v>
      </c>
      <c r="AH390" s="43">
        <v>1</v>
      </c>
      <c r="AI390" s="44">
        <v>1</v>
      </c>
      <c r="AJ390" s="45">
        <v>1</v>
      </c>
      <c r="AK390" s="46">
        <v>550000000</v>
      </c>
      <c r="AL390" s="47">
        <v>580000000</v>
      </c>
      <c r="AM390" s="48">
        <v>570000000</v>
      </c>
      <c r="AN390" s="49">
        <v>650000000</v>
      </c>
      <c r="AO390" s="50">
        <v>2350000000</v>
      </c>
      <c r="AP390" s="37" t="s">
        <v>470</v>
      </c>
    </row>
    <row r="391" spans="1:42" customFormat="1" ht="63.75" x14ac:dyDescent="0.25">
      <c r="A391" s="36">
        <v>390</v>
      </c>
      <c r="B391" s="37" t="s">
        <v>328</v>
      </c>
      <c r="C391" s="37" t="s">
        <v>465</v>
      </c>
      <c r="D391" s="38" t="s">
        <v>2384</v>
      </c>
      <c r="E391" s="80" t="s">
        <v>466</v>
      </c>
      <c r="F391" s="37" t="s">
        <v>467</v>
      </c>
      <c r="G391" s="36">
        <v>80</v>
      </c>
      <c r="H391" s="36">
        <v>2022</v>
      </c>
      <c r="I391" s="37" t="s">
        <v>1635</v>
      </c>
      <c r="J391" s="38" t="s">
        <v>469</v>
      </c>
      <c r="K391" s="37" t="s">
        <v>36</v>
      </c>
      <c r="L391" s="37"/>
      <c r="M391" s="37" t="s">
        <v>470</v>
      </c>
      <c r="N391" s="36">
        <v>45</v>
      </c>
      <c r="O391" s="37" t="s">
        <v>940</v>
      </c>
      <c r="P391" s="36" t="s">
        <v>1488</v>
      </c>
      <c r="Q391" s="37" t="s">
        <v>1143</v>
      </c>
      <c r="R391" s="36" t="s">
        <v>1636</v>
      </c>
      <c r="S391" s="37" t="s">
        <v>232</v>
      </c>
      <c r="T391" s="38" t="s">
        <v>1637</v>
      </c>
      <c r="U391" s="37" t="s">
        <v>1638</v>
      </c>
      <c r="V391" s="36" t="s">
        <v>1639</v>
      </c>
      <c r="W391" s="37" t="s">
        <v>1640</v>
      </c>
      <c r="X391" s="37" t="s">
        <v>1921</v>
      </c>
      <c r="Y391" s="37" t="s">
        <v>36</v>
      </c>
      <c r="Z391" s="36">
        <v>0</v>
      </c>
      <c r="AA391" s="36" t="s">
        <v>2185</v>
      </c>
      <c r="AB391" s="37"/>
      <c r="AC391" s="37"/>
      <c r="AD391" s="37" t="s">
        <v>1547</v>
      </c>
      <c r="AE391" s="37" t="s">
        <v>2200</v>
      </c>
      <c r="AF391" s="37" t="s">
        <v>2187</v>
      </c>
      <c r="AG391" s="42">
        <v>3</v>
      </c>
      <c r="AH391" s="43">
        <v>3</v>
      </c>
      <c r="AI391" s="44">
        <v>3</v>
      </c>
      <c r="AJ391" s="45">
        <v>3</v>
      </c>
      <c r="AK391" s="46">
        <v>50000000</v>
      </c>
      <c r="AL391" s="47">
        <v>52935000</v>
      </c>
      <c r="AM391" s="48">
        <v>54973000</v>
      </c>
      <c r="AN391" s="49">
        <v>57089460</v>
      </c>
      <c r="AO391" s="50">
        <v>214997460</v>
      </c>
      <c r="AP391" s="37" t="s">
        <v>470</v>
      </c>
    </row>
    <row r="392" spans="1:42" customFormat="1" ht="63.75" x14ac:dyDescent="0.25">
      <c r="A392" s="36">
        <v>391</v>
      </c>
      <c r="B392" s="37" t="s">
        <v>328</v>
      </c>
      <c r="C392" s="37" t="s">
        <v>465</v>
      </c>
      <c r="D392" s="38" t="s">
        <v>2384</v>
      </c>
      <c r="E392" s="80" t="s">
        <v>466</v>
      </c>
      <c r="F392" s="37" t="s">
        <v>467</v>
      </c>
      <c r="G392" s="36">
        <v>80</v>
      </c>
      <c r="H392" s="36">
        <v>2022</v>
      </c>
      <c r="I392" s="37" t="s">
        <v>1635</v>
      </c>
      <c r="J392" s="38" t="s">
        <v>469</v>
      </c>
      <c r="K392" s="37" t="s">
        <v>36</v>
      </c>
      <c r="L392" s="37"/>
      <c r="M392" s="37" t="s">
        <v>470</v>
      </c>
      <c r="N392" s="51" t="s">
        <v>1922</v>
      </c>
      <c r="O392" s="58" t="s">
        <v>1923</v>
      </c>
      <c r="P392" s="51" t="s">
        <v>1158</v>
      </c>
      <c r="Q392" s="58" t="s">
        <v>1159</v>
      </c>
      <c r="R392" s="51" t="s">
        <v>1924</v>
      </c>
      <c r="S392" s="58" t="s">
        <v>1925</v>
      </c>
      <c r="T392" s="59"/>
      <c r="U392" s="58" t="s">
        <v>156</v>
      </c>
      <c r="V392" s="51" t="s">
        <v>1926</v>
      </c>
      <c r="W392" s="58" t="s">
        <v>1927</v>
      </c>
      <c r="X392" s="37" t="s">
        <v>1928</v>
      </c>
      <c r="Y392" s="37" t="s">
        <v>36</v>
      </c>
      <c r="Z392" s="36">
        <v>0</v>
      </c>
      <c r="AA392" s="36" t="s">
        <v>2185</v>
      </c>
      <c r="AB392" s="38"/>
      <c r="AC392" s="37"/>
      <c r="AD392" s="37" t="s">
        <v>2291</v>
      </c>
      <c r="AE392" s="37" t="s">
        <v>2292</v>
      </c>
      <c r="AF392" s="37" t="s">
        <v>2187</v>
      </c>
      <c r="AG392" s="42">
        <v>5</v>
      </c>
      <c r="AH392" s="43">
        <v>10</v>
      </c>
      <c r="AI392" s="44">
        <v>10</v>
      </c>
      <c r="AJ392" s="45">
        <v>5</v>
      </c>
      <c r="AK392" s="46">
        <v>30000000</v>
      </c>
      <c r="AL392" s="47">
        <v>31761000</v>
      </c>
      <c r="AM392" s="48">
        <v>32900000</v>
      </c>
      <c r="AN392" s="49">
        <v>34253500</v>
      </c>
      <c r="AO392" s="50">
        <v>128914500</v>
      </c>
      <c r="AP392" s="37" t="s">
        <v>470</v>
      </c>
    </row>
    <row r="393" spans="1:42" customFormat="1" ht="63.75" x14ac:dyDescent="0.25">
      <c r="A393" s="36">
        <v>392</v>
      </c>
      <c r="B393" s="37" t="s">
        <v>328</v>
      </c>
      <c r="C393" s="37" t="s">
        <v>465</v>
      </c>
      <c r="D393" s="38" t="s">
        <v>2384</v>
      </c>
      <c r="E393" s="80" t="s">
        <v>466</v>
      </c>
      <c r="F393" s="37" t="s">
        <v>467</v>
      </c>
      <c r="G393" s="36">
        <v>80</v>
      </c>
      <c r="H393" s="36">
        <v>2022</v>
      </c>
      <c r="I393" s="37" t="s">
        <v>1635</v>
      </c>
      <c r="J393" s="38" t="s">
        <v>469</v>
      </c>
      <c r="K393" s="37" t="s">
        <v>36</v>
      </c>
      <c r="L393" s="37"/>
      <c r="M393" s="37" t="s">
        <v>470</v>
      </c>
      <c r="N393" s="51" t="s">
        <v>1922</v>
      </c>
      <c r="O393" s="58" t="s">
        <v>1923</v>
      </c>
      <c r="P393" s="51" t="s">
        <v>1158</v>
      </c>
      <c r="Q393" s="58" t="s">
        <v>1159</v>
      </c>
      <c r="R393" s="51" t="s">
        <v>1929</v>
      </c>
      <c r="S393" s="58" t="s">
        <v>1930</v>
      </c>
      <c r="T393" s="59"/>
      <c r="U393" s="58" t="s">
        <v>1931</v>
      </c>
      <c r="V393" s="51" t="s">
        <v>1932</v>
      </c>
      <c r="W393" s="58" t="s">
        <v>1933</v>
      </c>
      <c r="X393" s="37" t="s">
        <v>2108</v>
      </c>
      <c r="Y393" s="37" t="s">
        <v>36</v>
      </c>
      <c r="Z393" s="36">
        <v>0</v>
      </c>
      <c r="AA393" s="36" t="s">
        <v>2185</v>
      </c>
      <c r="AB393" s="37"/>
      <c r="AC393" s="37"/>
      <c r="AD393" s="37" t="s">
        <v>2291</v>
      </c>
      <c r="AE393" s="37" t="s">
        <v>2292</v>
      </c>
      <c r="AF393" s="37" t="s">
        <v>2187</v>
      </c>
      <c r="AG393" s="42">
        <v>300</v>
      </c>
      <c r="AH393" s="43">
        <v>850</v>
      </c>
      <c r="AI393" s="44">
        <v>850</v>
      </c>
      <c r="AJ393" s="45">
        <v>500</v>
      </c>
      <c r="AK393" s="46">
        <v>30000000</v>
      </c>
      <c r="AL393" s="47">
        <v>31761000</v>
      </c>
      <c r="AM393" s="48">
        <v>32900000</v>
      </c>
      <c r="AN393" s="49">
        <v>34253500</v>
      </c>
      <c r="AO393" s="50">
        <v>128914500</v>
      </c>
      <c r="AP393" s="37" t="s">
        <v>470</v>
      </c>
    </row>
    <row r="394" spans="1:42" customFormat="1" ht="63.75" x14ac:dyDescent="0.25">
      <c r="A394" s="36">
        <v>393</v>
      </c>
      <c r="B394" s="37" t="s">
        <v>328</v>
      </c>
      <c r="C394" s="37" t="s">
        <v>465</v>
      </c>
      <c r="D394" s="38" t="s">
        <v>2384</v>
      </c>
      <c r="E394" s="80" t="s">
        <v>466</v>
      </c>
      <c r="F394" s="37" t="s">
        <v>467</v>
      </c>
      <c r="G394" s="36">
        <v>80</v>
      </c>
      <c r="H394" s="36">
        <v>2022</v>
      </c>
      <c r="I394" s="37" t="s">
        <v>1635</v>
      </c>
      <c r="J394" s="38" t="s">
        <v>469</v>
      </c>
      <c r="K394" s="37" t="s">
        <v>36</v>
      </c>
      <c r="L394" s="37"/>
      <c r="M394" s="37" t="s">
        <v>470</v>
      </c>
      <c r="N394" s="36">
        <v>45</v>
      </c>
      <c r="O394" s="37" t="s">
        <v>940</v>
      </c>
      <c r="P394" s="36" t="s">
        <v>1488</v>
      </c>
      <c r="Q394" s="37" t="s">
        <v>1143</v>
      </c>
      <c r="R394" s="36">
        <v>4599023</v>
      </c>
      <c r="S394" s="37" t="s">
        <v>1918</v>
      </c>
      <c r="T394" s="38" t="s">
        <v>1934</v>
      </c>
      <c r="U394" s="37" t="s">
        <v>968</v>
      </c>
      <c r="V394" s="36">
        <v>459902300</v>
      </c>
      <c r="W394" s="37" t="s">
        <v>1935</v>
      </c>
      <c r="X394" s="41" t="s">
        <v>1936</v>
      </c>
      <c r="Y394" s="37" t="s">
        <v>36</v>
      </c>
      <c r="Z394" s="36">
        <v>1</v>
      </c>
      <c r="AA394" s="36" t="s">
        <v>2192</v>
      </c>
      <c r="AB394" s="37"/>
      <c r="AC394" s="37"/>
      <c r="AD394" s="37" t="s">
        <v>1547</v>
      </c>
      <c r="AE394" s="37" t="s">
        <v>2200</v>
      </c>
      <c r="AF394" s="37" t="s">
        <v>2187</v>
      </c>
      <c r="AG394" s="129">
        <v>1</v>
      </c>
      <c r="AH394" s="130">
        <v>1</v>
      </c>
      <c r="AI394" s="131">
        <v>1</v>
      </c>
      <c r="AJ394" s="132">
        <v>1</v>
      </c>
      <c r="AK394" s="46">
        <v>200000000</v>
      </c>
      <c r="AL394" s="47">
        <v>200000000</v>
      </c>
      <c r="AM394" s="48">
        <v>230000000</v>
      </c>
      <c r="AN394" s="49">
        <v>320000000</v>
      </c>
      <c r="AO394" s="50">
        <v>950000000</v>
      </c>
      <c r="AP394" s="37" t="s">
        <v>470</v>
      </c>
    </row>
    <row r="395" spans="1:42" customFormat="1" ht="63.75" x14ac:dyDescent="0.25">
      <c r="A395" s="36">
        <v>394</v>
      </c>
      <c r="B395" s="37" t="s">
        <v>328</v>
      </c>
      <c r="C395" s="37" t="s">
        <v>465</v>
      </c>
      <c r="D395" s="38" t="s">
        <v>2384</v>
      </c>
      <c r="E395" s="80" t="s">
        <v>466</v>
      </c>
      <c r="F395" s="37" t="s">
        <v>467</v>
      </c>
      <c r="G395" s="36">
        <v>80</v>
      </c>
      <c r="H395" s="36">
        <v>2022</v>
      </c>
      <c r="I395" s="37" t="s">
        <v>1635</v>
      </c>
      <c r="J395" s="38" t="s">
        <v>469</v>
      </c>
      <c r="K395" s="37" t="s">
        <v>36</v>
      </c>
      <c r="L395" s="37"/>
      <c r="M395" s="37" t="s">
        <v>470</v>
      </c>
      <c r="N395" s="36">
        <v>45</v>
      </c>
      <c r="O395" s="37" t="s">
        <v>940</v>
      </c>
      <c r="P395" s="36" t="s">
        <v>1488</v>
      </c>
      <c r="Q395" s="37" t="s">
        <v>1143</v>
      </c>
      <c r="R395" s="36">
        <v>4599017</v>
      </c>
      <c r="S395" s="37" t="s">
        <v>1643</v>
      </c>
      <c r="T395" s="38" t="s">
        <v>1934</v>
      </c>
      <c r="U395" s="37" t="s">
        <v>968</v>
      </c>
      <c r="V395" s="36">
        <v>459901700</v>
      </c>
      <c r="W395" s="37" t="s">
        <v>1646</v>
      </c>
      <c r="X395" s="37" t="s">
        <v>1937</v>
      </c>
      <c r="Y395" s="37" t="s">
        <v>36</v>
      </c>
      <c r="Z395" s="36">
        <v>0</v>
      </c>
      <c r="AA395" s="36" t="s">
        <v>2192</v>
      </c>
      <c r="AB395" s="37"/>
      <c r="AC395" s="37"/>
      <c r="AD395" s="37" t="s">
        <v>1547</v>
      </c>
      <c r="AE395" s="37" t="s">
        <v>2200</v>
      </c>
      <c r="AF395" s="37" t="s">
        <v>2187</v>
      </c>
      <c r="AG395" s="129">
        <v>1</v>
      </c>
      <c r="AH395" s="130">
        <v>1</v>
      </c>
      <c r="AI395" s="131">
        <v>1</v>
      </c>
      <c r="AJ395" s="132">
        <v>1</v>
      </c>
      <c r="AK395" s="46">
        <v>250000000</v>
      </c>
      <c r="AL395" s="47">
        <v>185620173</v>
      </c>
      <c r="AM395" s="48">
        <v>350000000</v>
      </c>
      <c r="AN395" s="49">
        <v>400000000</v>
      </c>
      <c r="AO395" s="50">
        <v>1185620173</v>
      </c>
      <c r="AP395" s="37" t="s">
        <v>470</v>
      </c>
    </row>
    <row r="396" spans="1:42" customFormat="1" ht="63.75" x14ac:dyDescent="0.25">
      <c r="A396" s="36">
        <v>395</v>
      </c>
      <c r="B396" s="37" t="s">
        <v>328</v>
      </c>
      <c r="C396" s="37" t="s">
        <v>465</v>
      </c>
      <c r="D396" s="38" t="s">
        <v>2384</v>
      </c>
      <c r="E396" s="80" t="s">
        <v>466</v>
      </c>
      <c r="F396" s="37" t="s">
        <v>467</v>
      </c>
      <c r="G396" s="36">
        <v>80</v>
      </c>
      <c r="H396" s="36">
        <v>2022</v>
      </c>
      <c r="I396" s="37" t="s">
        <v>1635</v>
      </c>
      <c r="J396" s="38" t="s">
        <v>469</v>
      </c>
      <c r="K396" s="37" t="s">
        <v>36</v>
      </c>
      <c r="L396" s="37"/>
      <c r="M396" s="37" t="s">
        <v>470</v>
      </c>
      <c r="N396" s="36">
        <v>45</v>
      </c>
      <c r="O396" s="37" t="s">
        <v>940</v>
      </c>
      <c r="P396" s="36" t="s">
        <v>1488</v>
      </c>
      <c r="Q396" s="37" t="s">
        <v>1143</v>
      </c>
      <c r="R396" s="36">
        <v>4599008</v>
      </c>
      <c r="S396" s="37" t="s">
        <v>594</v>
      </c>
      <c r="T396" s="38" t="s">
        <v>595</v>
      </c>
      <c r="U396" s="37" t="s">
        <v>83</v>
      </c>
      <c r="V396" s="36">
        <v>459900800</v>
      </c>
      <c r="W396" s="37" t="s">
        <v>594</v>
      </c>
      <c r="X396" s="41" t="s">
        <v>2136</v>
      </c>
      <c r="Y396" s="37" t="s">
        <v>36</v>
      </c>
      <c r="Z396" s="36">
        <v>0</v>
      </c>
      <c r="AA396" s="36" t="s">
        <v>2185</v>
      </c>
      <c r="AB396" s="37"/>
      <c r="AC396" s="37"/>
      <c r="AD396" s="37" t="s">
        <v>1547</v>
      </c>
      <c r="AE396" s="37" t="s">
        <v>2200</v>
      </c>
      <c r="AF396" s="37" t="s">
        <v>2187</v>
      </c>
      <c r="AG396" s="133">
        <v>0.5</v>
      </c>
      <c r="AH396" s="134">
        <v>0.5</v>
      </c>
      <c r="AI396" s="135">
        <v>0.5</v>
      </c>
      <c r="AJ396" s="136">
        <v>0.5</v>
      </c>
      <c r="AK396" s="46">
        <v>2500000000</v>
      </c>
      <c r="AL396" s="47">
        <v>2500000000</v>
      </c>
      <c r="AM396" s="48">
        <v>2500000000</v>
      </c>
      <c r="AN396" s="49">
        <v>2500000000</v>
      </c>
      <c r="AO396" s="50">
        <v>10000000000</v>
      </c>
      <c r="AP396" s="37" t="s">
        <v>470</v>
      </c>
    </row>
    <row r="397" spans="1:42" customFormat="1" ht="63.75" x14ac:dyDescent="0.25">
      <c r="A397" s="36">
        <v>396</v>
      </c>
      <c r="B397" s="37" t="s">
        <v>328</v>
      </c>
      <c r="C397" s="37" t="s">
        <v>465</v>
      </c>
      <c r="D397" s="38" t="s">
        <v>2384</v>
      </c>
      <c r="E397" s="80" t="s">
        <v>466</v>
      </c>
      <c r="F397" s="37" t="s">
        <v>467</v>
      </c>
      <c r="G397" s="36">
        <v>80</v>
      </c>
      <c r="H397" s="36">
        <v>2022</v>
      </c>
      <c r="I397" s="37" t="s">
        <v>1635</v>
      </c>
      <c r="J397" s="38" t="s">
        <v>469</v>
      </c>
      <c r="K397" s="37" t="s">
        <v>36</v>
      </c>
      <c r="L397" s="37"/>
      <c r="M397" s="37" t="s">
        <v>470</v>
      </c>
      <c r="N397" s="36">
        <v>45</v>
      </c>
      <c r="O397" s="37" t="s">
        <v>940</v>
      </c>
      <c r="P397" s="36" t="s">
        <v>1488</v>
      </c>
      <c r="Q397" s="37" t="s">
        <v>1143</v>
      </c>
      <c r="R397" s="36">
        <v>4599012</v>
      </c>
      <c r="S397" s="37" t="s">
        <v>1938</v>
      </c>
      <c r="T397" s="38" t="s">
        <v>1939</v>
      </c>
      <c r="U397" s="37" t="s">
        <v>83</v>
      </c>
      <c r="V397" s="36">
        <v>459901200</v>
      </c>
      <c r="W397" s="37" t="s">
        <v>1938</v>
      </c>
      <c r="X397" s="41" t="s">
        <v>1940</v>
      </c>
      <c r="Y397" s="37" t="s">
        <v>36</v>
      </c>
      <c r="Z397" s="36"/>
      <c r="AA397" s="36" t="s">
        <v>2185</v>
      </c>
      <c r="AB397" s="37"/>
      <c r="AC397" s="37"/>
      <c r="AD397" s="37" t="s">
        <v>1547</v>
      </c>
      <c r="AE397" s="37" t="s">
        <v>2200</v>
      </c>
      <c r="AF397" s="37" t="s">
        <v>2187</v>
      </c>
      <c r="AG397" s="42">
        <v>1</v>
      </c>
      <c r="AH397" s="43">
        <v>1</v>
      </c>
      <c r="AI397" s="44">
        <v>0</v>
      </c>
      <c r="AJ397" s="45">
        <v>0</v>
      </c>
      <c r="AK397" s="46">
        <v>510508868</v>
      </c>
      <c r="AL397" s="47">
        <v>666381200</v>
      </c>
      <c r="AM397" s="48">
        <v>0</v>
      </c>
      <c r="AN397" s="49">
        <v>0</v>
      </c>
      <c r="AO397" s="50">
        <v>1176890068</v>
      </c>
      <c r="AP397" s="37" t="s">
        <v>470</v>
      </c>
    </row>
    <row r="398" spans="1:42" customFormat="1" ht="63.75" x14ac:dyDescent="0.25">
      <c r="A398" s="36">
        <v>397</v>
      </c>
      <c r="B398" s="37" t="s">
        <v>328</v>
      </c>
      <c r="C398" s="37" t="s">
        <v>465</v>
      </c>
      <c r="D398" s="38" t="s">
        <v>2384</v>
      </c>
      <c r="E398" s="80" t="s">
        <v>466</v>
      </c>
      <c r="F398" s="37" t="s">
        <v>467</v>
      </c>
      <c r="G398" s="36">
        <v>80</v>
      </c>
      <c r="H398" s="36">
        <v>2022</v>
      </c>
      <c r="I398" s="37" t="s">
        <v>1635</v>
      </c>
      <c r="J398" s="38" t="s">
        <v>469</v>
      </c>
      <c r="K398" s="37" t="s">
        <v>36</v>
      </c>
      <c r="L398" s="37"/>
      <c r="M398" s="37" t="s">
        <v>470</v>
      </c>
      <c r="N398" s="36">
        <v>45</v>
      </c>
      <c r="O398" s="37" t="s">
        <v>940</v>
      </c>
      <c r="P398" s="36" t="s">
        <v>1488</v>
      </c>
      <c r="Q398" s="37" t="s">
        <v>1143</v>
      </c>
      <c r="R398" s="36">
        <v>4599016</v>
      </c>
      <c r="S398" s="37" t="s">
        <v>1941</v>
      </c>
      <c r="T398" s="38" t="s">
        <v>1942</v>
      </c>
      <c r="U398" s="37" t="s">
        <v>83</v>
      </c>
      <c r="V398" s="36">
        <v>459901600</v>
      </c>
      <c r="W398" s="37" t="s">
        <v>1941</v>
      </c>
      <c r="X398" s="41" t="s">
        <v>1943</v>
      </c>
      <c r="Y398" s="37" t="s">
        <v>36</v>
      </c>
      <c r="Z398" s="36">
        <v>4</v>
      </c>
      <c r="AA398" s="36" t="s">
        <v>2185</v>
      </c>
      <c r="AB398" s="37"/>
      <c r="AC398" s="37"/>
      <c r="AD398" s="37" t="s">
        <v>1547</v>
      </c>
      <c r="AE398" s="37" t="s">
        <v>2200</v>
      </c>
      <c r="AF398" s="37" t="s">
        <v>2187</v>
      </c>
      <c r="AG398" s="42">
        <v>4</v>
      </c>
      <c r="AH398" s="43">
        <v>4</v>
      </c>
      <c r="AI398" s="44">
        <v>4</v>
      </c>
      <c r="AJ398" s="45">
        <v>4</v>
      </c>
      <c r="AK398" s="46">
        <v>145000000</v>
      </c>
      <c r="AL398" s="47">
        <v>220000000</v>
      </c>
      <c r="AM398" s="48">
        <v>293546548</v>
      </c>
      <c r="AN398" s="49">
        <v>300000000</v>
      </c>
      <c r="AO398" s="50">
        <v>958546548</v>
      </c>
      <c r="AP398" s="37" t="s">
        <v>470</v>
      </c>
    </row>
    <row r="399" spans="1:42" customFormat="1" ht="63.75" x14ac:dyDescent="0.25">
      <c r="A399" s="36">
        <v>398</v>
      </c>
      <c r="B399" s="37" t="s">
        <v>328</v>
      </c>
      <c r="C399" s="37" t="s">
        <v>465</v>
      </c>
      <c r="D399" s="38" t="s">
        <v>2384</v>
      </c>
      <c r="E399" s="80" t="s">
        <v>466</v>
      </c>
      <c r="F399" s="37" t="s">
        <v>467</v>
      </c>
      <c r="G399" s="36">
        <v>80</v>
      </c>
      <c r="H399" s="36">
        <v>2022</v>
      </c>
      <c r="I399" s="37" t="s">
        <v>1635</v>
      </c>
      <c r="J399" s="38" t="s">
        <v>469</v>
      </c>
      <c r="K399" s="37" t="s">
        <v>36</v>
      </c>
      <c r="L399" s="37"/>
      <c r="M399" s="37" t="s">
        <v>470</v>
      </c>
      <c r="N399" s="36">
        <v>45</v>
      </c>
      <c r="O399" s="37" t="s">
        <v>940</v>
      </c>
      <c r="P399" s="36" t="s">
        <v>1488</v>
      </c>
      <c r="Q399" s="37" t="s">
        <v>1143</v>
      </c>
      <c r="R399" s="36">
        <v>4599020</v>
      </c>
      <c r="S399" s="37" t="s">
        <v>1562</v>
      </c>
      <c r="T399" s="38" t="s">
        <v>1563</v>
      </c>
      <c r="U399" s="37" t="s">
        <v>500</v>
      </c>
      <c r="V399" s="36">
        <v>459902000</v>
      </c>
      <c r="W399" s="37" t="s">
        <v>1565</v>
      </c>
      <c r="X399" s="37" t="s">
        <v>2011</v>
      </c>
      <c r="Y399" s="37" t="s">
        <v>36</v>
      </c>
      <c r="Z399" s="36">
        <v>0</v>
      </c>
      <c r="AA399" s="36" t="s">
        <v>2185</v>
      </c>
      <c r="AB399" s="37"/>
      <c r="AC399" s="37"/>
      <c r="AD399" s="37" t="s">
        <v>1547</v>
      </c>
      <c r="AE399" s="37" t="s">
        <v>2200</v>
      </c>
      <c r="AF399" s="37" t="s">
        <v>2187</v>
      </c>
      <c r="AG399" s="52">
        <v>0</v>
      </c>
      <c r="AH399" s="43">
        <v>1</v>
      </c>
      <c r="AI399" s="44">
        <v>0</v>
      </c>
      <c r="AJ399" s="45">
        <v>0</v>
      </c>
      <c r="AK399" s="46">
        <v>0</v>
      </c>
      <c r="AL399" s="47">
        <v>30000000</v>
      </c>
      <c r="AM399" s="48">
        <v>0</v>
      </c>
      <c r="AN399" s="49">
        <v>0</v>
      </c>
      <c r="AO399" s="50">
        <v>30000000</v>
      </c>
      <c r="AP399" s="37" t="s">
        <v>470</v>
      </c>
    </row>
    <row r="400" spans="1:42" customFormat="1" ht="63.75" x14ac:dyDescent="0.25">
      <c r="A400" s="36">
        <v>399</v>
      </c>
      <c r="B400" s="37" t="s">
        <v>328</v>
      </c>
      <c r="C400" s="37" t="s">
        <v>465</v>
      </c>
      <c r="D400" s="38" t="s">
        <v>2384</v>
      </c>
      <c r="E400" s="80" t="s">
        <v>466</v>
      </c>
      <c r="F400" s="37" t="s">
        <v>467</v>
      </c>
      <c r="G400" s="36">
        <v>80</v>
      </c>
      <c r="H400" s="36">
        <v>2022</v>
      </c>
      <c r="I400" s="37" t="s">
        <v>1635</v>
      </c>
      <c r="J400" s="38" t="s">
        <v>469</v>
      </c>
      <c r="K400" s="37" t="s">
        <v>36</v>
      </c>
      <c r="L400" s="37"/>
      <c r="M400" s="37" t="s">
        <v>470</v>
      </c>
      <c r="N400" s="36">
        <v>45</v>
      </c>
      <c r="O400" s="37" t="s">
        <v>940</v>
      </c>
      <c r="P400" s="36" t="s">
        <v>1488</v>
      </c>
      <c r="Q400" s="37" t="s">
        <v>1143</v>
      </c>
      <c r="R400" s="36">
        <v>4599029</v>
      </c>
      <c r="S400" s="37" t="s">
        <v>1482</v>
      </c>
      <c r="T400" s="38" t="s">
        <v>1483</v>
      </c>
      <c r="U400" s="37" t="s">
        <v>1484</v>
      </c>
      <c r="V400" s="36">
        <v>459902900</v>
      </c>
      <c r="W400" s="37" t="s">
        <v>1486</v>
      </c>
      <c r="X400" s="37" t="s">
        <v>1944</v>
      </c>
      <c r="Y400" s="37" t="s">
        <v>36</v>
      </c>
      <c r="Z400" s="36">
        <v>0</v>
      </c>
      <c r="AA400" s="36" t="s">
        <v>2185</v>
      </c>
      <c r="AB400" s="37"/>
      <c r="AC400" s="37"/>
      <c r="AD400" s="37" t="s">
        <v>1547</v>
      </c>
      <c r="AE400" s="37" t="s">
        <v>2200</v>
      </c>
      <c r="AF400" s="37" t="s">
        <v>2187</v>
      </c>
      <c r="AG400" s="42">
        <v>3</v>
      </c>
      <c r="AH400" s="43">
        <v>4</v>
      </c>
      <c r="AI400" s="44">
        <v>4</v>
      </c>
      <c r="AJ400" s="45">
        <v>4</v>
      </c>
      <c r="AK400" s="46">
        <v>91693000</v>
      </c>
      <c r="AL400" s="47">
        <v>181037700</v>
      </c>
      <c r="AM400" s="48">
        <v>188007651</v>
      </c>
      <c r="AN400" s="49">
        <v>195245946</v>
      </c>
      <c r="AO400" s="50">
        <v>655984297</v>
      </c>
      <c r="AP400" s="37" t="s">
        <v>470</v>
      </c>
    </row>
    <row r="401" spans="1:42" customFormat="1" ht="63.75" x14ac:dyDescent="0.25">
      <c r="A401" s="36">
        <v>400</v>
      </c>
      <c r="B401" s="37" t="s">
        <v>328</v>
      </c>
      <c r="C401" s="37" t="s">
        <v>465</v>
      </c>
      <c r="D401" s="38" t="s">
        <v>2384</v>
      </c>
      <c r="E401" s="80" t="s">
        <v>466</v>
      </c>
      <c r="F401" s="37" t="s">
        <v>467</v>
      </c>
      <c r="G401" s="36">
        <v>80</v>
      </c>
      <c r="H401" s="36">
        <v>2022</v>
      </c>
      <c r="I401" s="37" t="s">
        <v>1635</v>
      </c>
      <c r="J401" s="38" t="s">
        <v>469</v>
      </c>
      <c r="K401" s="37" t="s">
        <v>36</v>
      </c>
      <c r="L401" s="37"/>
      <c r="M401" s="37" t="s">
        <v>470</v>
      </c>
      <c r="N401" s="36">
        <v>45</v>
      </c>
      <c r="O401" s="37" t="s">
        <v>940</v>
      </c>
      <c r="P401" s="36">
        <v>4502</v>
      </c>
      <c r="Q401" s="37" t="s">
        <v>2512</v>
      </c>
      <c r="R401" s="36">
        <v>4502001</v>
      </c>
      <c r="S401" s="37" t="s">
        <v>1503</v>
      </c>
      <c r="T401" s="38" t="s">
        <v>1504</v>
      </c>
      <c r="U401" s="37" t="s">
        <v>792</v>
      </c>
      <c r="V401" s="36">
        <v>450200100</v>
      </c>
      <c r="W401" s="37" t="s">
        <v>1506</v>
      </c>
      <c r="X401" s="37" t="s">
        <v>1945</v>
      </c>
      <c r="Y401" s="37" t="s">
        <v>36</v>
      </c>
      <c r="Z401" s="36">
        <v>2</v>
      </c>
      <c r="AA401" s="36" t="s">
        <v>2185</v>
      </c>
      <c r="AB401" s="37"/>
      <c r="AC401" s="37"/>
      <c r="AD401" s="37" t="s">
        <v>1547</v>
      </c>
      <c r="AE401" s="37" t="s">
        <v>2200</v>
      </c>
      <c r="AF401" s="37" t="s">
        <v>2187</v>
      </c>
      <c r="AG401" s="52">
        <v>0</v>
      </c>
      <c r="AH401" s="43">
        <v>1</v>
      </c>
      <c r="AI401" s="44">
        <v>1</v>
      </c>
      <c r="AJ401" s="45">
        <v>2</v>
      </c>
      <c r="AK401" s="46">
        <v>0</v>
      </c>
      <c r="AL401" s="47">
        <v>130000000</v>
      </c>
      <c r="AM401" s="48">
        <v>155775000</v>
      </c>
      <c r="AN401" s="49">
        <v>245967406</v>
      </c>
      <c r="AO401" s="50">
        <v>531742406</v>
      </c>
      <c r="AP401" s="37" t="s">
        <v>470</v>
      </c>
    </row>
    <row r="402" spans="1:42" customFormat="1" ht="76.5" x14ac:dyDescent="0.25">
      <c r="A402" s="36">
        <v>401</v>
      </c>
      <c r="B402" s="37" t="s">
        <v>328</v>
      </c>
      <c r="C402" s="37" t="s">
        <v>465</v>
      </c>
      <c r="D402" s="38" t="s">
        <v>2384</v>
      </c>
      <c r="E402" s="80" t="s">
        <v>466</v>
      </c>
      <c r="F402" s="37" t="s">
        <v>467</v>
      </c>
      <c r="G402" s="36">
        <v>80</v>
      </c>
      <c r="H402" s="36">
        <v>2022</v>
      </c>
      <c r="I402" s="37" t="s">
        <v>1635</v>
      </c>
      <c r="J402" s="38" t="s">
        <v>469</v>
      </c>
      <c r="K402" s="37" t="s">
        <v>36</v>
      </c>
      <c r="L402" s="37"/>
      <c r="M402" s="37" t="s">
        <v>470</v>
      </c>
      <c r="N402" s="36">
        <v>45</v>
      </c>
      <c r="O402" s="37" t="s">
        <v>940</v>
      </c>
      <c r="P402" s="36">
        <v>4502</v>
      </c>
      <c r="Q402" s="37" t="s">
        <v>2512</v>
      </c>
      <c r="R402" s="36">
        <v>4502013</v>
      </c>
      <c r="S402" s="37" t="s">
        <v>1946</v>
      </c>
      <c r="T402" s="38" t="s">
        <v>1947</v>
      </c>
      <c r="U402" s="37" t="s">
        <v>1948</v>
      </c>
      <c r="V402" s="36">
        <v>450201300</v>
      </c>
      <c r="W402" s="37" t="s">
        <v>1949</v>
      </c>
      <c r="X402" s="37" t="s">
        <v>2104</v>
      </c>
      <c r="Y402" s="37" t="s">
        <v>36</v>
      </c>
      <c r="Z402" s="36">
        <v>0</v>
      </c>
      <c r="AA402" s="36" t="s">
        <v>2185</v>
      </c>
      <c r="AB402" s="38" t="s">
        <v>1746</v>
      </c>
      <c r="AC402" s="38" t="s">
        <v>2293</v>
      </c>
      <c r="AD402" s="37" t="s">
        <v>1547</v>
      </c>
      <c r="AE402" s="37" t="s">
        <v>2200</v>
      </c>
      <c r="AF402" s="37" t="s">
        <v>2187</v>
      </c>
      <c r="AG402" s="52">
        <v>0</v>
      </c>
      <c r="AH402" s="156">
        <v>1.5</v>
      </c>
      <c r="AI402" s="157">
        <v>1.5</v>
      </c>
      <c r="AJ402" s="155">
        <v>0</v>
      </c>
      <c r="AK402" s="46">
        <v>0</v>
      </c>
      <c r="AL402" s="47">
        <v>120000000</v>
      </c>
      <c r="AM402" s="48">
        <v>120000000</v>
      </c>
      <c r="AN402" s="49">
        <v>0</v>
      </c>
      <c r="AO402" s="50">
        <v>240000000</v>
      </c>
      <c r="AP402" s="37" t="s">
        <v>470</v>
      </c>
    </row>
    <row r="403" spans="1:42" customFormat="1" ht="63.75" x14ac:dyDescent="0.25">
      <c r="A403" s="36">
        <v>402</v>
      </c>
      <c r="B403" s="37" t="s">
        <v>328</v>
      </c>
      <c r="C403" s="37" t="s">
        <v>465</v>
      </c>
      <c r="D403" s="38" t="s">
        <v>2384</v>
      </c>
      <c r="E403" s="80" t="s">
        <v>466</v>
      </c>
      <c r="F403" s="37" t="s">
        <v>467</v>
      </c>
      <c r="G403" s="36">
        <v>80</v>
      </c>
      <c r="H403" s="36">
        <v>2022</v>
      </c>
      <c r="I403" s="37" t="s">
        <v>1635</v>
      </c>
      <c r="J403" s="38" t="s">
        <v>469</v>
      </c>
      <c r="K403" s="37" t="s">
        <v>36</v>
      </c>
      <c r="L403" s="37"/>
      <c r="M403" s="37" t="s">
        <v>470</v>
      </c>
      <c r="N403" s="36">
        <v>45</v>
      </c>
      <c r="O403" s="37" t="s">
        <v>940</v>
      </c>
      <c r="P403" s="36">
        <v>4599</v>
      </c>
      <c r="Q403" s="37" t="s">
        <v>1143</v>
      </c>
      <c r="R403" s="36">
        <v>4599030</v>
      </c>
      <c r="S403" s="37" t="s">
        <v>1478</v>
      </c>
      <c r="T403" s="38" t="s">
        <v>944</v>
      </c>
      <c r="U403" s="37" t="s">
        <v>297</v>
      </c>
      <c r="V403" s="36">
        <v>459903000</v>
      </c>
      <c r="W403" s="37" t="s">
        <v>297</v>
      </c>
      <c r="X403" s="37" t="s">
        <v>2012</v>
      </c>
      <c r="Y403" s="37" t="s">
        <v>36</v>
      </c>
      <c r="Z403" s="36">
        <v>0</v>
      </c>
      <c r="AA403" s="36" t="s">
        <v>2185</v>
      </c>
      <c r="AB403" s="37"/>
      <c r="AC403" s="37" t="s">
        <v>2294</v>
      </c>
      <c r="AD403" s="37" t="s">
        <v>1547</v>
      </c>
      <c r="AE403" s="37" t="s">
        <v>2200</v>
      </c>
      <c r="AF403" s="37" t="s">
        <v>2187</v>
      </c>
      <c r="AG403" s="42">
        <v>250</v>
      </c>
      <c r="AH403" s="43">
        <v>300</v>
      </c>
      <c r="AI403" s="44">
        <v>300</v>
      </c>
      <c r="AJ403" s="45">
        <v>150</v>
      </c>
      <c r="AK403" s="46">
        <v>200000000</v>
      </c>
      <c r="AL403" s="47">
        <v>120000000</v>
      </c>
      <c r="AM403" s="48">
        <v>140000000</v>
      </c>
      <c r="AN403" s="49">
        <v>160000000</v>
      </c>
      <c r="AO403" s="50">
        <v>620000000</v>
      </c>
      <c r="AP403" s="37" t="s">
        <v>470</v>
      </c>
    </row>
    <row r="404" spans="1:42" customFormat="1" ht="63.75" x14ac:dyDescent="0.25">
      <c r="A404" s="36">
        <v>403</v>
      </c>
      <c r="B404" s="37" t="s">
        <v>328</v>
      </c>
      <c r="C404" s="37" t="s">
        <v>465</v>
      </c>
      <c r="D404" s="38" t="s">
        <v>2384</v>
      </c>
      <c r="E404" s="80" t="s">
        <v>466</v>
      </c>
      <c r="F404" s="37" t="s">
        <v>467</v>
      </c>
      <c r="G404" s="36">
        <v>80</v>
      </c>
      <c r="H404" s="36">
        <v>2022</v>
      </c>
      <c r="I404" s="37" t="s">
        <v>1635</v>
      </c>
      <c r="J404" s="38" t="s">
        <v>469</v>
      </c>
      <c r="K404" s="37" t="s">
        <v>36</v>
      </c>
      <c r="L404" s="37"/>
      <c r="M404" s="37" t="s">
        <v>470</v>
      </c>
      <c r="N404" s="36">
        <v>45</v>
      </c>
      <c r="O404" s="37" t="s">
        <v>940</v>
      </c>
      <c r="P404" s="36">
        <v>4599</v>
      </c>
      <c r="Q404" s="37" t="s">
        <v>1143</v>
      </c>
      <c r="R404" s="36">
        <v>4599038</v>
      </c>
      <c r="S404" s="37" t="s">
        <v>1950</v>
      </c>
      <c r="T404" s="38" t="s">
        <v>1951</v>
      </c>
      <c r="U404" s="37" t="s">
        <v>1952</v>
      </c>
      <c r="V404" s="36">
        <v>459903800</v>
      </c>
      <c r="W404" s="37" t="s">
        <v>1953</v>
      </c>
      <c r="X404" s="41" t="s">
        <v>1954</v>
      </c>
      <c r="Y404" s="37" t="s">
        <v>36</v>
      </c>
      <c r="Z404" s="36">
        <v>0</v>
      </c>
      <c r="AA404" s="36" t="s">
        <v>2185</v>
      </c>
      <c r="AB404" s="37"/>
      <c r="AC404" s="37" t="s">
        <v>2295</v>
      </c>
      <c r="AD404" s="37" t="s">
        <v>1547</v>
      </c>
      <c r="AE404" s="37" t="s">
        <v>2200</v>
      </c>
      <c r="AF404" s="37" t="s">
        <v>2187</v>
      </c>
      <c r="AG404" s="42">
        <v>10</v>
      </c>
      <c r="AH404" s="43">
        <v>50</v>
      </c>
      <c r="AI404" s="44">
        <v>20</v>
      </c>
      <c r="AJ404" s="45">
        <v>20</v>
      </c>
      <c r="AK404" s="46">
        <v>300000000</v>
      </c>
      <c r="AL404" s="47">
        <v>78618800</v>
      </c>
      <c r="AM404" s="48">
        <v>240000000</v>
      </c>
      <c r="AN404" s="49">
        <v>260000000</v>
      </c>
      <c r="AO404" s="50">
        <v>878618800</v>
      </c>
      <c r="AP404" s="37" t="s">
        <v>470</v>
      </c>
    </row>
    <row r="405" spans="1:42" customFormat="1" ht="76.5" x14ac:dyDescent="0.25">
      <c r="A405" s="36">
        <v>404</v>
      </c>
      <c r="B405" s="37" t="s">
        <v>328</v>
      </c>
      <c r="C405" s="37" t="s">
        <v>465</v>
      </c>
      <c r="D405" s="38" t="s">
        <v>2384</v>
      </c>
      <c r="E405" s="80" t="s">
        <v>466</v>
      </c>
      <c r="F405" s="37" t="s">
        <v>467</v>
      </c>
      <c r="G405" s="36">
        <v>80</v>
      </c>
      <c r="H405" s="36">
        <v>2022</v>
      </c>
      <c r="I405" s="37" t="s">
        <v>1635</v>
      </c>
      <c r="J405" s="38" t="s">
        <v>469</v>
      </c>
      <c r="K405" s="37" t="s">
        <v>36</v>
      </c>
      <c r="L405" s="37"/>
      <c r="M405" s="37" t="s">
        <v>470</v>
      </c>
      <c r="N405" s="36">
        <v>45</v>
      </c>
      <c r="O405" s="37" t="s">
        <v>940</v>
      </c>
      <c r="P405" s="36">
        <v>4599</v>
      </c>
      <c r="Q405" s="37" t="s">
        <v>1143</v>
      </c>
      <c r="R405" s="36">
        <v>4599011</v>
      </c>
      <c r="S405" s="37" t="s">
        <v>1955</v>
      </c>
      <c r="T405" s="38" t="s">
        <v>1956</v>
      </c>
      <c r="U405" s="37" t="s">
        <v>83</v>
      </c>
      <c r="V405" s="36">
        <v>459901100</v>
      </c>
      <c r="W405" s="37" t="s">
        <v>1955</v>
      </c>
      <c r="X405" s="41" t="s">
        <v>1957</v>
      </c>
      <c r="Y405" s="37" t="s">
        <v>36</v>
      </c>
      <c r="Z405" s="36">
        <v>0</v>
      </c>
      <c r="AA405" s="36" t="s">
        <v>2185</v>
      </c>
      <c r="AB405" s="37"/>
      <c r="AC405" s="37"/>
      <c r="AD405" s="37"/>
      <c r="AE405" s="37"/>
      <c r="AF405" s="37" t="s">
        <v>2187</v>
      </c>
      <c r="AG405" s="52">
        <v>0</v>
      </c>
      <c r="AH405" s="43">
        <v>1</v>
      </c>
      <c r="AI405" s="44">
        <v>0</v>
      </c>
      <c r="AJ405" s="45">
        <v>0</v>
      </c>
      <c r="AK405" s="46">
        <v>0</v>
      </c>
      <c r="AL405" s="47">
        <v>60000000</v>
      </c>
      <c r="AM405" s="48">
        <v>0</v>
      </c>
      <c r="AN405" s="49">
        <v>0</v>
      </c>
      <c r="AO405" s="50">
        <v>60000000</v>
      </c>
      <c r="AP405" s="37" t="s">
        <v>470</v>
      </c>
    </row>
    <row r="406" spans="1:42" customFormat="1" ht="63.75" x14ac:dyDescent="0.25">
      <c r="A406" s="36">
        <v>405</v>
      </c>
      <c r="B406" s="37" t="s">
        <v>328</v>
      </c>
      <c r="C406" s="37" t="s">
        <v>465</v>
      </c>
      <c r="D406" s="38" t="s">
        <v>2384</v>
      </c>
      <c r="E406" s="80" t="s">
        <v>466</v>
      </c>
      <c r="F406" s="37" t="s">
        <v>467</v>
      </c>
      <c r="G406" s="36">
        <v>80</v>
      </c>
      <c r="H406" s="36">
        <v>2022</v>
      </c>
      <c r="I406" s="37" t="s">
        <v>1635</v>
      </c>
      <c r="J406" s="38" t="s">
        <v>469</v>
      </c>
      <c r="K406" s="37" t="s">
        <v>36</v>
      </c>
      <c r="L406" s="37"/>
      <c r="M406" s="37" t="s">
        <v>470</v>
      </c>
      <c r="N406" s="36">
        <v>45</v>
      </c>
      <c r="O406" s="37" t="s">
        <v>940</v>
      </c>
      <c r="P406" s="36">
        <v>4599</v>
      </c>
      <c r="Q406" s="37" t="s">
        <v>1143</v>
      </c>
      <c r="R406" s="36">
        <v>4599020</v>
      </c>
      <c r="S406" s="37" t="s">
        <v>1562</v>
      </c>
      <c r="T406" s="38" t="s">
        <v>1563</v>
      </c>
      <c r="U406" s="37" t="s">
        <v>500</v>
      </c>
      <c r="V406" s="36">
        <v>459902000</v>
      </c>
      <c r="W406" s="37" t="s">
        <v>1565</v>
      </c>
      <c r="X406" s="41" t="s">
        <v>1958</v>
      </c>
      <c r="Y406" s="37" t="s">
        <v>36</v>
      </c>
      <c r="Z406" s="36">
        <v>2</v>
      </c>
      <c r="AA406" s="36" t="s">
        <v>2185</v>
      </c>
      <c r="AB406" s="37"/>
      <c r="AC406" s="37"/>
      <c r="AD406" s="37" t="s">
        <v>1547</v>
      </c>
      <c r="AE406" s="37" t="s">
        <v>2200</v>
      </c>
      <c r="AF406" s="37" t="s">
        <v>2187</v>
      </c>
      <c r="AG406" s="42">
        <v>2</v>
      </c>
      <c r="AH406" s="43">
        <v>2</v>
      </c>
      <c r="AI406" s="44">
        <v>2</v>
      </c>
      <c r="AJ406" s="45">
        <v>2</v>
      </c>
      <c r="AK406" s="46">
        <v>200000000</v>
      </c>
      <c r="AL406" s="47">
        <v>240000000</v>
      </c>
      <c r="AM406" s="48">
        <v>240000000</v>
      </c>
      <c r="AN406" s="49">
        <v>260000000</v>
      </c>
      <c r="AO406" s="50">
        <v>940000000</v>
      </c>
      <c r="AP406" s="37" t="s">
        <v>470</v>
      </c>
    </row>
    <row r="407" spans="1:42" customFormat="1" ht="76.5" x14ac:dyDescent="0.25">
      <c r="A407" s="36">
        <v>406</v>
      </c>
      <c r="B407" s="37" t="s">
        <v>328</v>
      </c>
      <c r="C407" s="37" t="s">
        <v>465</v>
      </c>
      <c r="D407" s="38" t="s">
        <v>2384</v>
      </c>
      <c r="E407" s="80" t="s">
        <v>466</v>
      </c>
      <c r="F407" s="80" t="s">
        <v>467</v>
      </c>
      <c r="G407" s="36">
        <v>80</v>
      </c>
      <c r="H407" s="36">
        <v>2022</v>
      </c>
      <c r="I407" s="37" t="s">
        <v>1635</v>
      </c>
      <c r="J407" s="38" t="s">
        <v>469</v>
      </c>
      <c r="K407" s="37" t="s">
        <v>36</v>
      </c>
      <c r="L407" s="37"/>
      <c r="M407" s="37" t="s">
        <v>470</v>
      </c>
      <c r="N407" s="36">
        <v>23</v>
      </c>
      <c r="O407" s="37" t="s">
        <v>97</v>
      </c>
      <c r="P407" s="36">
        <v>2302</v>
      </c>
      <c r="Q407" s="37" t="s">
        <v>1959</v>
      </c>
      <c r="R407" s="36">
        <v>2302061</v>
      </c>
      <c r="S407" s="37" t="s">
        <v>1960</v>
      </c>
      <c r="T407" s="38" t="s">
        <v>1961</v>
      </c>
      <c r="U407" s="37" t="s">
        <v>203</v>
      </c>
      <c r="V407" s="36">
        <v>230206100</v>
      </c>
      <c r="W407" s="37" t="s">
        <v>2513</v>
      </c>
      <c r="X407" s="41" t="s">
        <v>1962</v>
      </c>
      <c r="Y407" s="37" t="s">
        <v>36</v>
      </c>
      <c r="Z407" s="36">
        <v>948</v>
      </c>
      <c r="AA407" s="36" t="s">
        <v>2185</v>
      </c>
      <c r="AB407" s="38" t="s">
        <v>1746</v>
      </c>
      <c r="AC407" s="38" t="s">
        <v>2293</v>
      </c>
      <c r="AD407" s="37" t="s">
        <v>263</v>
      </c>
      <c r="AE407" s="37" t="s">
        <v>2296</v>
      </c>
      <c r="AF407" s="36" t="s">
        <v>2191</v>
      </c>
      <c r="AG407" s="42">
        <v>25</v>
      </c>
      <c r="AH407" s="43">
        <v>75</v>
      </c>
      <c r="AI407" s="44">
        <v>75</v>
      </c>
      <c r="AJ407" s="45">
        <v>25</v>
      </c>
      <c r="AK407" s="46">
        <v>40000000</v>
      </c>
      <c r="AL407" s="47">
        <v>40000000</v>
      </c>
      <c r="AM407" s="48">
        <v>100000000</v>
      </c>
      <c r="AN407" s="49">
        <v>20000000</v>
      </c>
      <c r="AO407" s="50">
        <v>200000000</v>
      </c>
      <c r="AP407" s="37" t="s">
        <v>470</v>
      </c>
    </row>
    <row r="408" spans="1:42" customFormat="1" ht="76.5" x14ac:dyDescent="0.25">
      <c r="A408" s="36">
        <v>407</v>
      </c>
      <c r="B408" s="37" t="s">
        <v>328</v>
      </c>
      <c r="C408" s="37" t="s">
        <v>465</v>
      </c>
      <c r="D408" s="38" t="s">
        <v>2384</v>
      </c>
      <c r="E408" s="80" t="s">
        <v>466</v>
      </c>
      <c r="F408" s="80" t="s">
        <v>467</v>
      </c>
      <c r="G408" s="36">
        <v>80</v>
      </c>
      <c r="H408" s="36">
        <v>2022</v>
      </c>
      <c r="I408" s="37" t="s">
        <v>1635</v>
      </c>
      <c r="J408" s="38" t="s">
        <v>469</v>
      </c>
      <c r="K408" s="37" t="s">
        <v>36</v>
      </c>
      <c r="L408" s="37"/>
      <c r="M408" s="37" t="s">
        <v>470</v>
      </c>
      <c r="N408" s="36">
        <v>23</v>
      </c>
      <c r="O408" s="37" t="s">
        <v>97</v>
      </c>
      <c r="P408" s="36">
        <v>2302</v>
      </c>
      <c r="Q408" s="37" t="s">
        <v>1959</v>
      </c>
      <c r="R408" s="36">
        <v>2302078</v>
      </c>
      <c r="S408" s="37" t="s">
        <v>1964</v>
      </c>
      <c r="T408" s="38" t="s">
        <v>1963</v>
      </c>
      <c r="U408" s="37" t="s">
        <v>1965</v>
      </c>
      <c r="V408" s="36">
        <v>230207800</v>
      </c>
      <c r="W408" s="37" t="s">
        <v>1963</v>
      </c>
      <c r="X408" s="41" t="s">
        <v>1966</v>
      </c>
      <c r="Y408" s="37" t="s">
        <v>36</v>
      </c>
      <c r="Z408" s="36">
        <v>0</v>
      </c>
      <c r="AA408" s="36" t="s">
        <v>2185</v>
      </c>
      <c r="AB408" s="38" t="s">
        <v>1746</v>
      </c>
      <c r="AC408" s="38" t="s">
        <v>2293</v>
      </c>
      <c r="AD408" s="37" t="s">
        <v>263</v>
      </c>
      <c r="AE408" s="37" t="s">
        <v>2296</v>
      </c>
      <c r="AF408" s="36" t="s">
        <v>2191</v>
      </c>
      <c r="AG408" s="42">
        <v>25</v>
      </c>
      <c r="AH408" s="43">
        <v>75</v>
      </c>
      <c r="AI408" s="44">
        <v>75</v>
      </c>
      <c r="AJ408" s="45">
        <v>25</v>
      </c>
      <c r="AK408" s="46">
        <v>50000000</v>
      </c>
      <c r="AL408" s="47">
        <v>70000000</v>
      </c>
      <c r="AM408" s="48">
        <v>200000000</v>
      </c>
      <c r="AN408" s="49">
        <v>25000000</v>
      </c>
      <c r="AO408" s="50">
        <v>345000000</v>
      </c>
      <c r="AP408" s="37" t="s">
        <v>470</v>
      </c>
    </row>
    <row r="409" spans="1:42" customFormat="1" ht="63.75" x14ac:dyDescent="0.25">
      <c r="A409" s="36">
        <v>408</v>
      </c>
      <c r="B409" s="37" t="s">
        <v>328</v>
      </c>
      <c r="C409" s="37" t="s">
        <v>465</v>
      </c>
      <c r="D409" s="38" t="s">
        <v>2384</v>
      </c>
      <c r="E409" s="80" t="s">
        <v>466</v>
      </c>
      <c r="F409" s="37" t="s">
        <v>467</v>
      </c>
      <c r="G409" s="36">
        <v>80</v>
      </c>
      <c r="H409" s="36">
        <v>2022</v>
      </c>
      <c r="I409" s="37" t="s">
        <v>1635</v>
      </c>
      <c r="J409" s="38" t="s">
        <v>469</v>
      </c>
      <c r="K409" s="37" t="s">
        <v>36</v>
      </c>
      <c r="L409" s="37"/>
      <c r="M409" s="37" t="s">
        <v>470</v>
      </c>
      <c r="N409" s="36">
        <v>45</v>
      </c>
      <c r="O409" s="37" t="s">
        <v>940</v>
      </c>
      <c r="P409" s="36">
        <v>4599</v>
      </c>
      <c r="Q409" s="37" t="s">
        <v>1143</v>
      </c>
      <c r="R409" s="36">
        <v>4599005</v>
      </c>
      <c r="S409" s="37" t="s">
        <v>1967</v>
      </c>
      <c r="T409" s="38" t="s">
        <v>1968</v>
      </c>
      <c r="U409" s="37" t="s">
        <v>500</v>
      </c>
      <c r="V409" s="36">
        <v>459900500</v>
      </c>
      <c r="W409" s="37" t="s">
        <v>1969</v>
      </c>
      <c r="X409" s="41" t="s">
        <v>1970</v>
      </c>
      <c r="Y409" s="37" t="s">
        <v>36</v>
      </c>
      <c r="Z409" s="36">
        <v>1</v>
      </c>
      <c r="AA409" s="36" t="s">
        <v>2185</v>
      </c>
      <c r="AB409" s="37"/>
      <c r="AC409" s="38"/>
      <c r="AD409" s="37"/>
      <c r="AE409" s="37" t="s">
        <v>2200</v>
      </c>
      <c r="AF409" s="36" t="s">
        <v>2191</v>
      </c>
      <c r="AG409" s="137">
        <v>0.5</v>
      </c>
      <c r="AH409" s="138">
        <v>1.5</v>
      </c>
      <c r="AI409" s="139">
        <v>0.5</v>
      </c>
      <c r="AJ409" s="140">
        <v>0.5</v>
      </c>
      <c r="AK409" s="46">
        <v>60000000</v>
      </c>
      <c r="AL409" s="47">
        <v>65000000</v>
      </c>
      <c r="AM409" s="48">
        <v>67000000</v>
      </c>
      <c r="AN409" s="49">
        <v>70000000</v>
      </c>
      <c r="AO409" s="50">
        <v>262000000</v>
      </c>
      <c r="AP409" s="37" t="s">
        <v>470</v>
      </c>
    </row>
    <row r="410" spans="1:42" customFormat="1" ht="63.75" x14ac:dyDescent="0.25">
      <c r="A410" s="36">
        <v>409</v>
      </c>
      <c r="B410" s="37" t="s">
        <v>328</v>
      </c>
      <c r="C410" s="37" t="s">
        <v>465</v>
      </c>
      <c r="D410" s="38" t="s">
        <v>2384</v>
      </c>
      <c r="E410" s="80" t="s">
        <v>466</v>
      </c>
      <c r="F410" s="37" t="s">
        <v>467</v>
      </c>
      <c r="G410" s="36">
        <v>80</v>
      </c>
      <c r="H410" s="36">
        <v>2022</v>
      </c>
      <c r="I410" s="37" t="s">
        <v>1635</v>
      </c>
      <c r="J410" s="38" t="s">
        <v>469</v>
      </c>
      <c r="K410" s="37" t="s">
        <v>36</v>
      </c>
      <c r="L410" s="37"/>
      <c r="M410" s="37" t="s">
        <v>470</v>
      </c>
      <c r="N410" s="36">
        <v>45</v>
      </c>
      <c r="O410" s="37" t="s">
        <v>940</v>
      </c>
      <c r="P410" s="36">
        <v>4599</v>
      </c>
      <c r="Q410" s="37" t="s">
        <v>1143</v>
      </c>
      <c r="R410" s="36">
        <v>4599007</v>
      </c>
      <c r="S410" s="37" t="s">
        <v>1971</v>
      </c>
      <c r="T410" s="38" t="s">
        <v>1972</v>
      </c>
      <c r="U410" s="37" t="s">
        <v>1973</v>
      </c>
      <c r="V410" s="36">
        <v>459900700</v>
      </c>
      <c r="W410" s="37" t="s">
        <v>1974</v>
      </c>
      <c r="X410" s="41" t="s">
        <v>1975</v>
      </c>
      <c r="Y410" s="37" t="s">
        <v>25</v>
      </c>
      <c r="Z410" s="36">
        <v>0</v>
      </c>
      <c r="AA410" s="36" t="s">
        <v>2185</v>
      </c>
      <c r="AB410" s="37"/>
      <c r="AC410" s="37"/>
      <c r="AD410" s="37"/>
      <c r="AE410" s="37" t="s">
        <v>2200</v>
      </c>
      <c r="AF410" s="36" t="s">
        <v>2191</v>
      </c>
      <c r="AG410" s="83">
        <v>0.02</v>
      </c>
      <c r="AH410" s="84">
        <v>0.05</v>
      </c>
      <c r="AI410" s="85">
        <v>0.04</v>
      </c>
      <c r="AJ410" s="86">
        <v>0.04</v>
      </c>
      <c r="AK410" s="46">
        <v>300000000</v>
      </c>
      <c r="AL410" s="47">
        <v>200000000</v>
      </c>
      <c r="AM410" s="48">
        <v>360000000</v>
      </c>
      <c r="AN410" s="49">
        <v>450000000</v>
      </c>
      <c r="AO410" s="50">
        <v>1310000000</v>
      </c>
      <c r="AP410" s="37" t="s">
        <v>470</v>
      </c>
    </row>
    <row r="411" spans="1:42" customFormat="1" ht="63.75" x14ac:dyDescent="0.25">
      <c r="A411" s="36">
        <v>410</v>
      </c>
      <c r="B411" s="37" t="s">
        <v>328</v>
      </c>
      <c r="C411" s="37" t="s">
        <v>465</v>
      </c>
      <c r="D411" s="38" t="s">
        <v>2384</v>
      </c>
      <c r="E411" s="80" t="s">
        <v>466</v>
      </c>
      <c r="F411" s="80" t="s">
        <v>467</v>
      </c>
      <c r="G411" s="36">
        <v>80</v>
      </c>
      <c r="H411" s="36">
        <v>2022</v>
      </c>
      <c r="I411" s="37" t="s">
        <v>1635</v>
      </c>
      <c r="J411" s="38" t="s">
        <v>469</v>
      </c>
      <c r="K411" s="37" t="s">
        <v>764</v>
      </c>
      <c r="L411" s="37"/>
      <c r="M411" s="37" t="s">
        <v>470</v>
      </c>
      <c r="N411" s="36">
        <v>23</v>
      </c>
      <c r="O411" s="37" t="s">
        <v>97</v>
      </c>
      <c r="P411" s="36">
        <v>2302</v>
      </c>
      <c r="Q411" s="37" t="s">
        <v>1959</v>
      </c>
      <c r="R411" s="36">
        <v>2302036</v>
      </c>
      <c r="S411" s="37" t="s">
        <v>1977</v>
      </c>
      <c r="T411" s="38" t="s">
        <v>1976</v>
      </c>
      <c r="U411" s="37" t="s">
        <v>685</v>
      </c>
      <c r="V411" s="36">
        <v>230203600</v>
      </c>
      <c r="W411" s="37" t="s">
        <v>1978</v>
      </c>
      <c r="X411" s="41" t="s">
        <v>1979</v>
      </c>
      <c r="Y411" s="37" t="s">
        <v>36</v>
      </c>
      <c r="Z411" s="36">
        <v>0</v>
      </c>
      <c r="AA411" s="36" t="s">
        <v>2185</v>
      </c>
      <c r="AB411" s="37"/>
      <c r="AC411" s="37"/>
      <c r="AD411" s="37"/>
      <c r="AE411" s="37" t="s">
        <v>2200</v>
      </c>
      <c r="AF411" s="36" t="s">
        <v>2191</v>
      </c>
      <c r="AG411" s="52">
        <v>0</v>
      </c>
      <c r="AH411" s="43">
        <v>1</v>
      </c>
      <c r="AI411" s="44">
        <v>1</v>
      </c>
      <c r="AJ411" s="45">
        <v>0</v>
      </c>
      <c r="AK411" s="46">
        <v>0</v>
      </c>
      <c r="AL411" s="47">
        <v>2500000000</v>
      </c>
      <c r="AM411" s="48">
        <v>2500000000</v>
      </c>
      <c r="AN411" s="49">
        <v>0</v>
      </c>
      <c r="AO411" s="50">
        <v>5000000000</v>
      </c>
      <c r="AP411" s="37" t="s">
        <v>470</v>
      </c>
    </row>
    <row r="412" spans="1:42" customFormat="1" ht="76.5" x14ac:dyDescent="0.25">
      <c r="A412" s="36">
        <v>411</v>
      </c>
      <c r="B412" s="37" t="s">
        <v>328</v>
      </c>
      <c r="C412" s="37" t="s">
        <v>465</v>
      </c>
      <c r="D412" s="38" t="s">
        <v>2384</v>
      </c>
      <c r="E412" s="80" t="s">
        <v>466</v>
      </c>
      <c r="F412" s="37" t="s">
        <v>467</v>
      </c>
      <c r="G412" s="36">
        <v>80</v>
      </c>
      <c r="H412" s="36">
        <v>2022</v>
      </c>
      <c r="I412" s="37" t="s">
        <v>1635</v>
      </c>
      <c r="J412" s="38" t="s">
        <v>469</v>
      </c>
      <c r="K412" s="37" t="s">
        <v>36</v>
      </c>
      <c r="L412" s="37"/>
      <c r="M412" s="37" t="s">
        <v>470</v>
      </c>
      <c r="N412" s="36">
        <v>45</v>
      </c>
      <c r="O412" s="37" t="s">
        <v>940</v>
      </c>
      <c r="P412" s="36">
        <v>4599</v>
      </c>
      <c r="Q412" s="37" t="s">
        <v>1143</v>
      </c>
      <c r="R412" s="36">
        <v>4599023</v>
      </c>
      <c r="S412" s="37" t="s">
        <v>1980</v>
      </c>
      <c r="T412" s="38" t="s">
        <v>1919</v>
      </c>
      <c r="U412" s="37" t="s">
        <v>968</v>
      </c>
      <c r="V412" s="36">
        <v>459902300</v>
      </c>
      <c r="W412" s="37" t="s">
        <v>2492</v>
      </c>
      <c r="X412" s="41" t="s">
        <v>1993</v>
      </c>
      <c r="Y412" s="37" t="s">
        <v>36</v>
      </c>
      <c r="Z412" s="36">
        <v>1</v>
      </c>
      <c r="AA412" s="36" t="s">
        <v>2192</v>
      </c>
      <c r="AB412" s="37"/>
      <c r="AC412" s="37"/>
      <c r="AD412" s="37" t="s">
        <v>1547</v>
      </c>
      <c r="AE412" s="37" t="s">
        <v>2200</v>
      </c>
      <c r="AF412" s="37" t="s">
        <v>2187</v>
      </c>
      <c r="AG412" s="42">
        <v>1</v>
      </c>
      <c r="AH412" s="43">
        <v>1</v>
      </c>
      <c r="AI412" s="44">
        <v>1</v>
      </c>
      <c r="AJ412" s="45">
        <v>1</v>
      </c>
      <c r="AK412" s="46">
        <v>15000000000</v>
      </c>
      <c r="AL412" s="47">
        <v>15000000000</v>
      </c>
      <c r="AM412" s="48">
        <v>15000000000</v>
      </c>
      <c r="AN412" s="49">
        <v>15000000000</v>
      </c>
      <c r="AO412" s="50">
        <v>60000000000</v>
      </c>
      <c r="AP412" s="37" t="s">
        <v>470</v>
      </c>
    </row>
    <row r="413" spans="1:42" x14ac:dyDescent="0.2">
      <c r="A413" s="141"/>
      <c r="B413" s="141"/>
      <c r="C413" s="141"/>
      <c r="D413" s="141"/>
      <c r="E413" s="141"/>
      <c r="F413" s="141"/>
      <c r="G413" s="141"/>
      <c r="H413" s="141"/>
      <c r="I413" s="141"/>
      <c r="J413" s="141"/>
      <c r="K413" s="141"/>
      <c r="L413" s="141"/>
      <c r="M413" s="141"/>
      <c r="N413" s="141"/>
      <c r="O413" s="141"/>
      <c r="P413" s="141"/>
      <c r="Q413" s="141"/>
      <c r="R413" s="141"/>
      <c r="S413" s="141"/>
      <c r="T413" s="141"/>
      <c r="U413" s="141"/>
      <c r="V413" s="141"/>
      <c r="W413" s="141"/>
      <c r="X413" s="141"/>
      <c r="Y413" s="141"/>
      <c r="Z413" s="141"/>
      <c r="AA413" s="141"/>
      <c r="AB413" s="141"/>
      <c r="AC413" s="141"/>
      <c r="AD413" s="141"/>
      <c r="AE413" s="141"/>
      <c r="AF413" s="141"/>
      <c r="AG413" s="141"/>
      <c r="AH413" s="141"/>
      <c r="AI413" s="141"/>
      <c r="AJ413" s="141"/>
      <c r="AK413" s="142">
        <f>SUM(AK2:AK412)</f>
        <v>2112399092960.3909</v>
      </c>
      <c r="AL413" s="143">
        <f>SUM(AL2:AL412)</f>
        <v>2811631171718.6992</v>
      </c>
      <c r="AM413" s="144">
        <f>SUM(AM2:AM412)</f>
        <v>2683751217211.1606</v>
      </c>
      <c r="AN413" s="145">
        <f>SUM(AN2:AN412)</f>
        <v>2682477770627.5513</v>
      </c>
      <c r="AO413" s="146">
        <f>SUM(AO2:AO412)</f>
        <v>10290259252517.795</v>
      </c>
      <c r="AP413" s="147"/>
    </row>
    <row r="414" spans="1:42" ht="12.75" customHeight="1" x14ac:dyDescent="0.2"/>
    <row r="415" spans="1:42" ht="30" customHeight="1" x14ac:dyDescent="0.2"/>
    <row r="416" spans="1:42" x14ac:dyDescent="0.2">
      <c r="AP416" s="148"/>
    </row>
    <row r="417" spans="42:42" x14ac:dyDescent="0.2">
      <c r="AP417" s="148"/>
    </row>
  </sheetData>
  <autoFilter ref="A1:AR1" xr:uid="{4377AFAC-D53C-4206-A9A9-3014F39FB844}"/>
  <dataValidations count="7">
    <dataValidation type="list" allowBlank="1" showInputMessage="1" showErrorMessage="1" sqref="AE284:AE317" xr:uid="{7CD99DD4-9721-4912-976B-CE012301669D}">
      <formula1>"Interno!$G$4:$G$19!$Q$4:$Q$22"</formula1>
    </dataValidation>
    <dataValidation type="textLength" allowBlank="1" showInputMessage="1" showErrorMessage="1" sqref="N385:O385 L387 N387:O387 AD387:AE387" xr:uid="{F038CB52-97DF-4BFB-8C30-50F3AEC45731}">
      <formula1>10</formula1>
      <formula2>30</formula2>
    </dataValidation>
    <dataValidation type="whole" allowBlank="1" showInputMessage="1" showErrorMessage="1" sqref="H314:H317" xr:uid="{3C104676-1013-452A-AC8A-E7606D231864}">
      <formula1>4</formula1>
      <formula2>4</formula2>
    </dataValidation>
    <dataValidation type="decimal" allowBlank="1" showErrorMessage="1" sqref="H79:H120 H299:I305 H314:I314 H306:H313 H284:H288 H294:H298 H375:H377 H315:H317 H41:H49 H384:H412" xr:uid="{F8F2BAF4-FBC7-4806-990E-2B7A0211721B}">
      <formula1>2000</formula1>
      <formula2>2023</formula2>
    </dataValidation>
    <dataValidation type="list" allowBlank="1" showErrorMessage="1" sqref="P42:P47 P49:P51" xr:uid="{E406A95F-ED34-46E4-9487-F7C59E1D162F}">
      <formula1>#REF!</formula1>
    </dataValidation>
    <dataValidation type="list" allowBlank="1" showInputMessage="1" showErrorMessage="1" sqref="P14 P19:P26 P314:P317 R314:W317 T385:Y385 P132 P324 P344 P335:P340 P346:P347 P350:P354 P360 P382:P384 P363:P374 P387:W387 P126:P128 P112:P122 P142:P145 P147:P153 P158:P164 P248 P81:P109 P52:P67 P69:P78" xr:uid="{8280EABB-4D5B-4A63-9B8F-D4F69D6D668C}">
      <formula1>#REF!</formula1>
    </dataValidation>
    <dataValidation type="whole" allowBlank="1" showInputMessage="1" showErrorMessage="1" sqref="H2:H26 H222:H263 H344:H374 H294 H318:H340 H378 H380:H384 H52:H118 H123:H178" xr:uid="{070DABA0-017B-4062-9058-EFE18247A24C}">
      <formula1>2000</formula1>
      <formula2>2023</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3603A2C-A7C6-4560-9758-D3558926E9EC}">
          <x14:formula1>
            <xm:f>'G:\Users\Per§onal_\Downloads\[Matriz_estrategica_Final.xlsx]Interno'!#REF!</xm:f>
          </x14:formula1>
          <xm:sqref>B387 N385:O385 N387:O387 Y387:AA387 AP385 AE387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7B819-E886-46EE-A049-B8F354BB343E}">
  <dimension ref="A1:AS412"/>
  <sheetViews>
    <sheetView workbookViewId="0">
      <pane ySplit="1" topLeftCell="A2" activePane="bottomLeft" state="frozen"/>
      <selection pane="bottomLeft" activeCell="C2" sqref="C2"/>
    </sheetView>
  </sheetViews>
  <sheetFormatPr baseColWidth="10" defaultRowHeight="15" x14ac:dyDescent="0.25"/>
  <cols>
    <col min="2" max="3" width="18" customWidth="1"/>
    <col min="5" max="5" width="20.42578125" customWidth="1"/>
    <col min="13" max="13" width="25.28515625" customWidth="1"/>
    <col min="15" max="15" width="51.140625" customWidth="1"/>
    <col min="18" max="18" width="11.42578125" style="175"/>
    <col min="20" max="20" width="11.42578125" style="175"/>
    <col min="24" max="24" width="11.42578125" style="175"/>
    <col min="26" max="26" width="39.140625" customWidth="1"/>
    <col min="27" max="27" width="22.7109375" customWidth="1"/>
    <col min="39" max="42" width="16.7109375" style="176" bestFit="1" customWidth="1"/>
    <col min="43" max="43" width="17.7109375" style="176" bestFit="1" customWidth="1"/>
    <col min="44" max="44" width="51.5703125" customWidth="1"/>
  </cols>
  <sheetData>
    <row r="1" spans="1:45" x14ac:dyDescent="0.25">
      <c r="A1" t="s">
        <v>3193</v>
      </c>
      <c r="B1" t="s">
        <v>3256</v>
      </c>
      <c r="C1" t="s">
        <v>2997</v>
      </c>
      <c r="D1" t="s">
        <v>2998</v>
      </c>
      <c r="E1" s="193" t="s">
        <v>2999</v>
      </c>
      <c r="F1" t="s">
        <v>3000</v>
      </c>
      <c r="G1" t="s">
        <v>3022</v>
      </c>
      <c r="H1" t="s">
        <v>3001</v>
      </c>
      <c r="I1" t="s">
        <v>3002</v>
      </c>
      <c r="J1" t="s">
        <v>3003</v>
      </c>
      <c r="K1" t="s">
        <v>2994</v>
      </c>
      <c r="L1" t="s">
        <v>3004</v>
      </c>
      <c r="M1" t="s">
        <v>3251</v>
      </c>
      <c r="N1" t="s">
        <v>3245</v>
      </c>
      <c r="O1" t="s">
        <v>3005</v>
      </c>
      <c r="P1" t="s">
        <v>3006</v>
      </c>
      <c r="Q1" s="193" t="s">
        <v>2995</v>
      </c>
      <c r="R1" s="175" t="s">
        <v>3240</v>
      </c>
      <c r="S1" s="193" t="s">
        <v>3007</v>
      </c>
      <c r="T1" s="175" t="s">
        <v>3008</v>
      </c>
      <c r="U1" t="s">
        <v>2996</v>
      </c>
      <c r="V1" t="s">
        <v>3009</v>
      </c>
      <c r="W1" t="s">
        <v>3010</v>
      </c>
      <c r="X1" s="175" t="s">
        <v>3011</v>
      </c>
      <c r="Y1" t="s">
        <v>3012</v>
      </c>
      <c r="Z1" s="193" t="s">
        <v>3241</v>
      </c>
      <c r="AA1" t="s">
        <v>3252</v>
      </c>
      <c r="AB1" t="s">
        <v>3242</v>
      </c>
      <c r="AC1" t="s">
        <v>3243</v>
      </c>
      <c r="AD1" t="s">
        <v>3246</v>
      </c>
      <c r="AE1" t="s">
        <v>3248</v>
      </c>
      <c r="AF1" t="s">
        <v>3013</v>
      </c>
      <c r="AG1" t="s">
        <v>3249</v>
      </c>
      <c r="AH1" t="s">
        <v>3250</v>
      </c>
      <c r="AI1" t="s">
        <v>3014</v>
      </c>
      <c r="AJ1" t="s">
        <v>3015</v>
      </c>
      <c r="AK1" t="s">
        <v>3016</v>
      </c>
      <c r="AL1" t="s">
        <v>3017</v>
      </c>
      <c r="AM1" s="176" t="s">
        <v>3018</v>
      </c>
      <c r="AN1" s="176" t="s">
        <v>3019</v>
      </c>
      <c r="AO1" s="176" t="s">
        <v>3020</v>
      </c>
      <c r="AP1" s="176" t="s">
        <v>3021</v>
      </c>
      <c r="AQ1" s="176" t="s">
        <v>3244</v>
      </c>
      <c r="AR1" s="177" t="s">
        <v>3247</v>
      </c>
      <c r="AS1" s="176" t="s">
        <v>3253</v>
      </c>
    </row>
    <row r="2" spans="1:45" x14ac:dyDescent="0.25">
      <c r="A2">
        <v>2</v>
      </c>
      <c r="B2" t="s">
        <v>3255</v>
      </c>
      <c r="C2">
        <v>1</v>
      </c>
      <c r="D2" t="s">
        <v>19</v>
      </c>
      <c r="E2" t="s">
        <v>20</v>
      </c>
      <c r="F2" t="s">
        <v>2383</v>
      </c>
      <c r="G2" t="s">
        <v>21</v>
      </c>
      <c r="H2" t="s">
        <v>22</v>
      </c>
      <c r="I2" s="178">
        <v>0.26250000000000001</v>
      </c>
      <c r="J2">
        <v>2023</v>
      </c>
      <c r="K2" t="s">
        <v>23</v>
      </c>
      <c r="L2" t="s">
        <v>24</v>
      </c>
      <c r="M2" t="s">
        <v>25</v>
      </c>
      <c r="N2" t="s">
        <v>27</v>
      </c>
      <c r="O2" t="s">
        <v>26</v>
      </c>
      <c r="P2">
        <v>22</v>
      </c>
      <c r="Q2" t="s">
        <v>28</v>
      </c>
      <c r="R2" s="175" t="s">
        <v>29</v>
      </c>
      <c r="S2" t="s">
        <v>1984</v>
      </c>
      <c r="T2" s="175">
        <v>2201006</v>
      </c>
      <c r="U2" t="s">
        <v>30</v>
      </c>
      <c r="V2" t="s">
        <v>31</v>
      </c>
      <c r="W2" t="s">
        <v>32</v>
      </c>
      <c r="X2" s="175" t="s">
        <v>33</v>
      </c>
      <c r="Y2" t="s">
        <v>34</v>
      </c>
      <c r="Z2" t="s">
        <v>35</v>
      </c>
      <c r="AA2" t="s">
        <v>36</v>
      </c>
      <c r="AB2">
        <v>270</v>
      </c>
      <c r="AC2" t="s">
        <v>2185</v>
      </c>
      <c r="AD2" t="s">
        <v>3023</v>
      </c>
      <c r="AE2" t="s">
        <v>2187</v>
      </c>
      <c r="AF2" t="s">
        <v>37</v>
      </c>
      <c r="AG2" t="s">
        <v>2187</v>
      </c>
      <c r="AH2" t="s">
        <v>2187</v>
      </c>
      <c r="AI2">
        <v>125</v>
      </c>
      <c r="AJ2">
        <v>125</v>
      </c>
      <c r="AK2">
        <v>125</v>
      </c>
      <c r="AL2">
        <v>125</v>
      </c>
      <c r="AM2" s="176">
        <v>958852400</v>
      </c>
      <c r="AN2" s="176">
        <v>453960364</v>
      </c>
      <c r="AO2" s="176" t="s">
        <v>2524</v>
      </c>
      <c r="AP2" s="176">
        <v>354592436</v>
      </c>
      <c r="AQ2" s="176" t="s">
        <v>2525</v>
      </c>
      <c r="AR2" t="s">
        <v>26</v>
      </c>
      <c r="AS2">
        <v>7</v>
      </c>
    </row>
    <row r="3" spans="1:45" x14ac:dyDescent="0.25">
      <c r="A3">
        <v>2</v>
      </c>
      <c r="B3" t="s">
        <v>3255</v>
      </c>
      <c r="C3">
        <v>2</v>
      </c>
      <c r="D3" t="s">
        <v>19</v>
      </c>
      <c r="E3" t="s">
        <v>20</v>
      </c>
      <c r="F3" t="s">
        <v>2383</v>
      </c>
      <c r="G3" t="s">
        <v>21</v>
      </c>
      <c r="H3" t="s">
        <v>22</v>
      </c>
      <c r="I3" s="178">
        <v>0.26250000000000001</v>
      </c>
      <c r="J3">
        <v>2023</v>
      </c>
      <c r="K3" t="s">
        <v>23</v>
      </c>
      <c r="L3" t="s">
        <v>24</v>
      </c>
      <c r="M3" t="s">
        <v>25</v>
      </c>
      <c r="N3" t="s">
        <v>27</v>
      </c>
      <c r="O3" t="s">
        <v>26</v>
      </c>
      <c r="P3">
        <v>22</v>
      </c>
      <c r="Q3" t="s">
        <v>28</v>
      </c>
      <c r="R3" s="175" t="s">
        <v>29</v>
      </c>
      <c r="S3" t="s">
        <v>1984</v>
      </c>
      <c r="T3" s="175" t="s">
        <v>38</v>
      </c>
      <c r="U3" t="s">
        <v>39</v>
      </c>
      <c r="V3" t="s">
        <v>40</v>
      </c>
      <c r="W3" t="s">
        <v>41</v>
      </c>
      <c r="X3" s="175" t="s">
        <v>42</v>
      </c>
      <c r="Y3" t="s">
        <v>41</v>
      </c>
      <c r="Z3" t="s">
        <v>43</v>
      </c>
      <c r="AA3" t="s">
        <v>36</v>
      </c>
      <c r="AB3">
        <v>0</v>
      </c>
      <c r="AC3" t="s">
        <v>2185</v>
      </c>
      <c r="AD3" t="s">
        <v>2356</v>
      </c>
      <c r="AE3" t="s">
        <v>2237</v>
      </c>
      <c r="AF3" t="s">
        <v>37</v>
      </c>
      <c r="AG3" t="s">
        <v>2187</v>
      </c>
      <c r="AH3" t="s">
        <v>2187</v>
      </c>
      <c r="AI3">
        <v>15</v>
      </c>
      <c r="AJ3">
        <v>17</v>
      </c>
      <c r="AK3">
        <v>17</v>
      </c>
      <c r="AL3">
        <v>15</v>
      </c>
      <c r="AM3" s="176">
        <v>9571141576</v>
      </c>
      <c r="AN3" s="176">
        <v>9571141576</v>
      </c>
      <c r="AO3" s="176">
        <v>9571141576</v>
      </c>
      <c r="AP3" s="176">
        <v>9571141576</v>
      </c>
      <c r="AQ3" s="176">
        <v>38284566304</v>
      </c>
      <c r="AR3" t="s">
        <v>26</v>
      </c>
      <c r="AS3" s="175">
        <v>7</v>
      </c>
    </row>
    <row r="4" spans="1:45" x14ac:dyDescent="0.25">
      <c r="A4">
        <v>2</v>
      </c>
      <c r="B4" t="s">
        <v>3255</v>
      </c>
      <c r="C4">
        <v>3</v>
      </c>
      <c r="D4" t="s">
        <v>19</v>
      </c>
      <c r="E4" t="s">
        <v>20</v>
      </c>
      <c r="F4" t="s">
        <v>2383</v>
      </c>
      <c r="G4" t="s">
        <v>21</v>
      </c>
      <c r="H4" t="s">
        <v>22</v>
      </c>
      <c r="I4" s="178">
        <v>0.26250000000000001</v>
      </c>
      <c r="J4">
        <v>2023</v>
      </c>
      <c r="K4" t="s">
        <v>23</v>
      </c>
      <c r="L4" t="s">
        <v>24</v>
      </c>
      <c r="M4" t="s">
        <v>25</v>
      </c>
      <c r="N4" t="s">
        <v>27</v>
      </c>
      <c r="O4" t="s">
        <v>26</v>
      </c>
      <c r="P4">
        <v>22</v>
      </c>
      <c r="Q4" t="s">
        <v>28</v>
      </c>
      <c r="R4" s="175" t="s">
        <v>29</v>
      </c>
      <c r="S4" t="s">
        <v>1984</v>
      </c>
      <c r="T4" s="175">
        <v>2201034</v>
      </c>
      <c r="U4" t="s">
        <v>44</v>
      </c>
      <c r="V4" t="s">
        <v>45</v>
      </c>
      <c r="W4" t="s">
        <v>46</v>
      </c>
      <c r="X4" s="175" t="s">
        <v>47</v>
      </c>
      <c r="Y4" t="s">
        <v>48</v>
      </c>
      <c r="Z4" t="s">
        <v>49</v>
      </c>
      <c r="AA4" t="s">
        <v>36</v>
      </c>
      <c r="AB4">
        <v>0</v>
      </c>
      <c r="AC4" t="s">
        <v>2185</v>
      </c>
      <c r="AD4" t="s">
        <v>2236</v>
      </c>
      <c r="AE4" t="s">
        <v>3024</v>
      </c>
      <c r="AF4" t="s">
        <v>37</v>
      </c>
      <c r="AG4" t="s">
        <v>2187</v>
      </c>
      <c r="AH4" t="s">
        <v>2187</v>
      </c>
      <c r="AI4">
        <v>0</v>
      </c>
      <c r="AJ4">
        <v>3000</v>
      </c>
      <c r="AK4">
        <v>1500</v>
      </c>
      <c r="AL4">
        <v>0</v>
      </c>
      <c r="AM4" s="176">
        <v>0</v>
      </c>
      <c r="AN4" s="176">
        <v>1020000000</v>
      </c>
      <c r="AO4" s="176">
        <v>520000000</v>
      </c>
      <c r="AP4" s="176">
        <v>0</v>
      </c>
      <c r="AQ4" s="176">
        <v>1540000000</v>
      </c>
      <c r="AR4" t="s">
        <v>26</v>
      </c>
      <c r="AS4" s="175">
        <v>7</v>
      </c>
    </row>
    <row r="5" spans="1:45" x14ac:dyDescent="0.25">
      <c r="A5">
        <v>2</v>
      </c>
      <c r="B5" t="s">
        <v>3255</v>
      </c>
      <c r="C5">
        <v>4</v>
      </c>
      <c r="D5" t="s">
        <v>19</v>
      </c>
      <c r="E5" t="s">
        <v>20</v>
      </c>
      <c r="F5" t="s">
        <v>2383</v>
      </c>
      <c r="G5" t="s">
        <v>21</v>
      </c>
      <c r="H5" t="s">
        <v>22</v>
      </c>
      <c r="I5" s="178">
        <v>0.26250000000000001</v>
      </c>
      <c r="J5">
        <v>2023</v>
      </c>
      <c r="K5" t="s">
        <v>23</v>
      </c>
      <c r="L5" t="s">
        <v>24</v>
      </c>
      <c r="M5" t="s">
        <v>25</v>
      </c>
      <c r="N5" t="s">
        <v>27</v>
      </c>
      <c r="O5" t="s">
        <v>26</v>
      </c>
      <c r="P5">
        <v>22</v>
      </c>
      <c r="Q5" t="s">
        <v>28</v>
      </c>
      <c r="R5" s="175" t="s">
        <v>29</v>
      </c>
      <c r="S5" t="s">
        <v>1984</v>
      </c>
      <c r="T5" s="175" t="s">
        <v>50</v>
      </c>
      <c r="U5" t="s">
        <v>51</v>
      </c>
      <c r="V5" t="s">
        <v>52</v>
      </c>
      <c r="W5" t="s">
        <v>53</v>
      </c>
      <c r="X5" s="175">
        <v>220105600</v>
      </c>
      <c r="Y5" t="s">
        <v>54</v>
      </c>
      <c r="Z5" t="s">
        <v>55</v>
      </c>
      <c r="AA5" t="s">
        <v>36</v>
      </c>
      <c r="AB5">
        <v>200</v>
      </c>
      <c r="AC5" t="s">
        <v>2185</v>
      </c>
      <c r="AD5" t="s">
        <v>3025</v>
      </c>
      <c r="AE5" t="s">
        <v>3026</v>
      </c>
      <c r="AF5" t="s">
        <v>37</v>
      </c>
      <c r="AG5" t="s">
        <v>2187</v>
      </c>
      <c r="AH5" t="s">
        <v>2187</v>
      </c>
      <c r="AI5">
        <v>50</v>
      </c>
      <c r="AJ5">
        <v>75</v>
      </c>
      <c r="AK5">
        <v>75</v>
      </c>
      <c r="AL5">
        <v>50</v>
      </c>
      <c r="AM5" s="176">
        <v>142949400</v>
      </c>
      <c r="AN5" s="176">
        <v>328848200</v>
      </c>
      <c r="AO5" s="176">
        <v>328848200</v>
      </c>
      <c r="AP5" s="176">
        <v>328848200</v>
      </c>
      <c r="AQ5" s="176">
        <v>1129494000</v>
      </c>
      <c r="AR5" t="s">
        <v>26</v>
      </c>
      <c r="AS5" s="175">
        <v>7</v>
      </c>
    </row>
    <row r="6" spans="1:45" x14ac:dyDescent="0.25">
      <c r="A6">
        <v>2</v>
      </c>
      <c r="B6" t="s">
        <v>3255</v>
      </c>
      <c r="C6">
        <v>5</v>
      </c>
      <c r="D6" t="s">
        <v>19</v>
      </c>
      <c r="E6" t="s">
        <v>20</v>
      </c>
      <c r="F6" t="s">
        <v>2383</v>
      </c>
      <c r="G6" t="s">
        <v>21</v>
      </c>
      <c r="H6" t="s">
        <v>22</v>
      </c>
      <c r="I6" s="178">
        <v>0.26250000000000001</v>
      </c>
      <c r="J6">
        <v>2023</v>
      </c>
      <c r="K6" t="s">
        <v>23</v>
      </c>
      <c r="L6" t="s">
        <v>24</v>
      </c>
      <c r="M6" t="s">
        <v>25</v>
      </c>
      <c r="N6" t="s">
        <v>27</v>
      </c>
      <c r="O6" t="s">
        <v>26</v>
      </c>
      <c r="P6">
        <v>22</v>
      </c>
      <c r="Q6" t="s">
        <v>28</v>
      </c>
      <c r="R6" s="175" t="s">
        <v>29</v>
      </c>
      <c r="S6" t="s">
        <v>1984</v>
      </c>
      <c r="T6" s="175" t="s">
        <v>56</v>
      </c>
      <c r="U6" t="s">
        <v>57</v>
      </c>
      <c r="V6" t="s">
        <v>58</v>
      </c>
      <c r="W6" t="s">
        <v>59</v>
      </c>
      <c r="X6" s="175">
        <v>220106100</v>
      </c>
      <c r="Y6" t="s">
        <v>60</v>
      </c>
      <c r="Z6" t="s">
        <v>61</v>
      </c>
      <c r="AA6" t="s">
        <v>36</v>
      </c>
      <c r="AB6">
        <v>67</v>
      </c>
      <c r="AC6" t="s">
        <v>2185</v>
      </c>
      <c r="AD6" t="s">
        <v>3027</v>
      </c>
      <c r="AE6" t="s">
        <v>3026</v>
      </c>
      <c r="AF6" t="s">
        <v>37</v>
      </c>
      <c r="AG6" t="s">
        <v>2187</v>
      </c>
      <c r="AH6" t="s">
        <v>2187</v>
      </c>
      <c r="AI6">
        <v>10</v>
      </c>
      <c r="AJ6">
        <v>15</v>
      </c>
      <c r="AK6">
        <v>15</v>
      </c>
      <c r="AL6">
        <v>10</v>
      </c>
      <c r="AM6" s="176">
        <v>646000000</v>
      </c>
      <c r="AN6" s="176">
        <v>777122000</v>
      </c>
      <c r="AO6" s="176">
        <v>794435660</v>
      </c>
      <c r="AP6" s="176" t="s">
        <v>2526</v>
      </c>
      <c r="AQ6" s="176" t="s">
        <v>2527</v>
      </c>
      <c r="AR6" t="s">
        <v>26</v>
      </c>
      <c r="AS6" s="175">
        <v>7</v>
      </c>
    </row>
    <row r="7" spans="1:45" x14ac:dyDescent="0.25">
      <c r="A7">
        <v>2</v>
      </c>
      <c r="B7" t="s">
        <v>3255</v>
      </c>
      <c r="C7">
        <v>6</v>
      </c>
      <c r="D7" t="s">
        <v>19</v>
      </c>
      <c r="E7" t="s">
        <v>20</v>
      </c>
      <c r="F7" t="s">
        <v>2383</v>
      </c>
      <c r="G7" t="s">
        <v>21</v>
      </c>
      <c r="H7" t="s">
        <v>22</v>
      </c>
      <c r="I7" s="178">
        <v>0.26250000000000001</v>
      </c>
      <c r="J7">
        <v>2023</v>
      </c>
      <c r="K7" t="s">
        <v>23</v>
      </c>
      <c r="L7" t="s">
        <v>24</v>
      </c>
      <c r="M7" t="s">
        <v>25</v>
      </c>
      <c r="N7" t="s">
        <v>27</v>
      </c>
      <c r="O7" t="s">
        <v>26</v>
      </c>
      <c r="P7">
        <v>22</v>
      </c>
      <c r="Q7" t="s">
        <v>28</v>
      </c>
      <c r="R7" s="175" t="s">
        <v>29</v>
      </c>
      <c r="S7" t="s">
        <v>1984</v>
      </c>
      <c r="T7" s="175" t="s">
        <v>62</v>
      </c>
      <c r="U7" t="s">
        <v>63</v>
      </c>
      <c r="V7" t="s">
        <v>64</v>
      </c>
      <c r="W7" t="s">
        <v>65</v>
      </c>
      <c r="X7" s="175">
        <v>220106700</v>
      </c>
      <c r="Y7" t="s">
        <v>66</v>
      </c>
      <c r="Z7" t="s">
        <v>67</v>
      </c>
      <c r="AA7" t="s">
        <v>36</v>
      </c>
      <c r="AB7">
        <v>0</v>
      </c>
      <c r="AC7" t="s">
        <v>2185</v>
      </c>
      <c r="AD7" t="s">
        <v>3028</v>
      </c>
      <c r="AE7" t="s">
        <v>3024</v>
      </c>
      <c r="AF7" t="s">
        <v>37</v>
      </c>
      <c r="AG7" t="s">
        <v>2187</v>
      </c>
      <c r="AH7" t="s">
        <v>2187</v>
      </c>
      <c r="AI7">
        <v>10</v>
      </c>
      <c r="AJ7">
        <v>140</v>
      </c>
      <c r="AK7">
        <v>0</v>
      </c>
      <c r="AL7">
        <v>0</v>
      </c>
      <c r="AM7" s="176">
        <v>30000000</v>
      </c>
      <c r="AN7" s="176">
        <v>270000000</v>
      </c>
      <c r="AO7" s="176">
        <v>0</v>
      </c>
      <c r="AP7" s="176">
        <v>0</v>
      </c>
      <c r="AQ7" s="176">
        <v>300000000</v>
      </c>
      <c r="AR7" t="s">
        <v>26</v>
      </c>
      <c r="AS7" s="175">
        <v>7</v>
      </c>
    </row>
    <row r="8" spans="1:45" x14ac:dyDescent="0.25">
      <c r="A8">
        <v>2</v>
      </c>
      <c r="B8" t="s">
        <v>3255</v>
      </c>
      <c r="C8">
        <v>7</v>
      </c>
      <c r="D8" t="s">
        <v>19</v>
      </c>
      <c r="E8" t="s">
        <v>20</v>
      </c>
      <c r="F8" t="s">
        <v>2383</v>
      </c>
      <c r="G8" t="s">
        <v>21</v>
      </c>
      <c r="H8" t="s">
        <v>22</v>
      </c>
      <c r="I8" s="178">
        <v>0.26250000000000001</v>
      </c>
      <c r="J8">
        <v>2023</v>
      </c>
      <c r="K8" t="s">
        <v>23</v>
      </c>
      <c r="L8" t="s">
        <v>24</v>
      </c>
      <c r="M8" t="s">
        <v>25</v>
      </c>
      <c r="N8" t="s">
        <v>27</v>
      </c>
      <c r="O8" t="s">
        <v>26</v>
      </c>
      <c r="P8">
        <v>22</v>
      </c>
      <c r="Q8" t="s">
        <v>28</v>
      </c>
      <c r="R8" s="175" t="s">
        <v>29</v>
      </c>
      <c r="S8" t="s">
        <v>1984</v>
      </c>
      <c r="T8" s="175" t="s">
        <v>68</v>
      </c>
      <c r="U8" t="s">
        <v>69</v>
      </c>
      <c r="V8" t="s">
        <v>70</v>
      </c>
      <c r="W8" t="s">
        <v>46</v>
      </c>
      <c r="X8" s="175" t="s">
        <v>71</v>
      </c>
      <c r="Y8" t="s">
        <v>72</v>
      </c>
      <c r="Z8" t="s">
        <v>73</v>
      </c>
      <c r="AA8" t="s">
        <v>36</v>
      </c>
      <c r="AB8">
        <v>25000</v>
      </c>
      <c r="AC8" t="s">
        <v>2185</v>
      </c>
      <c r="AD8" t="s">
        <v>2243</v>
      </c>
      <c r="AE8" t="s">
        <v>3029</v>
      </c>
      <c r="AF8" t="s">
        <v>37</v>
      </c>
      <c r="AG8" t="s">
        <v>2187</v>
      </c>
      <c r="AH8" t="s">
        <v>2187</v>
      </c>
      <c r="AI8">
        <v>0</v>
      </c>
      <c r="AJ8">
        <v>9333</v>
      </c>
      <c r="AK8">
        <v>9334</v>
      </c>
      <c r="AL8">
        <v>9333</v>
      </c>
      <c r="AM8" s="176">
        <v>0</v>
      </c>
      <c r="AN8" s="176">
        <v>495000000</v>
      </c>
      <c r="AO8" s="176">
        <v>495000000</v>
      </c>
      <c r="AP8" s="176">
        <v>400000000</v>
      </c>
      <c r="AQ8" s="176">
        <v>1390000000</v>
      </c>
      <c r="AR8" t="s">
        <v>26</v>
      </c>
      <c r="AS8" s="175">
        <v>7</v>
      </c>
    </row>
    <row r="9" spans="1:45" x14ac:dyDescent="0.25">
      <c r="A9">
        <v>2</v>
      </c>
      <c r="B9" t="s">
        <v>3255</v>
      </c>
      <c r="C9">
        <v>8</v>
      </c>
      <c r="D9" t="s">
        <v>19</v>
      </c>
      <c r="E9" t="s">
        <v>20</v>
      </c>
      <c r="F9" t="s">
        <v>2383</v>
      </c>
      <c r="G9" t="s">
        <v>21</v>
      </c>
      <c r="H9" t="s">
        <v>22</v>
      </c>
      <c r="I9" s="178">
        <v>0.26250000000000001</v>
      </c>
      <c r="J9">
        <v>2023</v>
      </c>
      <c r="K9" t="s">
        <v>23</v>
      </c>
      <c r="L9" t="s">
        <v>24</v>
      </c>
      <c r="M9" t="s">
        <v>25</v>
      </c>
      <c r="N9" t="s">
        <v>27</v>
      </c>
      <c r="O9" t="s">
        <v>26</v>
      </c>
      <c r="P9">
        <v>22</v>
      </c>
      <c r="Q9" t="s">
        <v>28</v>
      </c>
      <c r="R9" s="175" t="s">
        <v>29</v>
      </c>
      <c r="S9" t="s">
        <v>1984</v>
      </c>
      <c r="T9" s="175" t="s">
        <v>74</v>
      </c>
      <c r="U9" t="s">
        <v>75</v>
      </c>
      <c r="V9" t="s">
        <v>76</v>
      </c>
      <c r="W9" t="s">
        <v>77</v>
      </c>
      <c r="X9" s="175">
        <v>220107400</v>
      </c>
      <c r="Y9" t="s">
        <v>78</v>
      </c>
      <c r="Z9" t="s">
        <v>79</v>
      </c>
      <c r="AA9" t="s">
        <v>36</v>
      </c>
      <c r="AB9">
        <v>5677</v>
      </c>
      <c r="AC9" t="s">
        <v>2185</v>
      </c>
      <c r="AD9" t="s">
        <v>3030</v>
      </c>
      <c r="AE9" t="s">
        <v>2187</v>
      </c>
      <c r="AF9" t="s">
        <v>37</v>
      </c>
      <c r="AG9" t="s">
        <v>2187</v>
      </c>
      <c r="AH9" t="s">
        <v>2187</v>
      </c>
      <c r="AI9">
        <v>0</v>
      </c>
      <c r="AJ9">
        <v>2000</v>
      </c>
      <c r="AK9">
        <v>2000</v>
      </c>
      <c r="AL9">
        <v>2000</v>
      </c>
      <c r="AM9" s="176">
        <v>0</v>
      </c>
      <c r="AN9" s="176">
        <v>698600000</v>
      </c>
      <c r="AO9" s="176">
        <v>673950000</v>
      </c>
      <c r="AP9" s="176">
        <v>673950000</v>
      </c>
      <c r="AQ9" s="176">
        <v>2046500000</v>
      </c>
      <c r="AR9" t="s">
        <v>26</v>
      </c>
      <c r="AS9" s="175">
        <v>7</v>
      </c>
    </row>
    <row r="10" spans="1:45" x14ac:dyDescent="0.25">
      <c r="A10">
        <v>2</v>
      </c>
      <c r="B10" t="s">
        <v>3255</v>
      </c>
      <c r="C10">
        <v>9</v>
      </c>
      <c r="D10" t="s">
        <v>19</v>
      </c>
      <c r="E10" t="s">
        <v>20</v>
      </c>
      <c r="F10" t="s">
        <v>2383</v>
      </c>
      <c r="G10" t="s">
        <v>21</v>
      </c>
      <c r="H10" t="s">
        <v>22</v>
      </c>
      <c r="I10" s="178">
        <v>0.26250000000000001</v>
      </c>
      <c r="J10">
        <v>2023</v>
      </c>
      <c r="K10" t="s">
        <v>23</v>
      </c>
      <c r="L10" t="s">
        <v>24</v>
      </c>
      <c r="M10" t="s">
        <v>25</v>
      </c>
      <c r="N10" t="s">
        <v>27</v>
      </c>
      <c r="O10" t="s">
        <v>26</v>
      </c>
      <c r="P10">
        <v>22</v>
      </c>
      <c r="Q10" t="s">
        <v>28</v>
      </c>
      <c r="R10" s="175" t="s">
        <v>29</v>
      </c>
      <c r="S10" t="s">
        <v>1984</v>
      </c>
      <c r="T10" s="175" t="s">
        <v>80</v>
      </c>
      <c r="U10" t="s">
        <v>81</v>
      </c>
      <c r="V10" t="s">
        <v>82</v>
      </c>
      <c r="W10" t="s">
        <v>83</v>
      </c>
      <c r="X10" s="175">
        <v>220108100</v>
      </c>
      <c r="Y10" t="s">
        <v>84</v>
      </c>
      <c r="Z10" t="s">
        <v>3031</v>
      </c>
      <c r="AA10" t="s">
        <v>36</v>
      </c>
      <c r="AB10">
        <v>0</v>
      </c>
      <c r="AC10" t="s">
        <v>2185</v>
      </c>
      <c r="AD10" t="s">
        <v>2281</v>
      </c>
      <c r="AE10" t="s">
        <v>3024</v>
      </c>
      <c r="AF10" t="s">
        <v>37</v>
      </c>
      <c r="AG10" t="s">
        <v>2187</v>
      </c>
      <c r="AH10" t="s">
        <v>2187</v>
      </c>
      <c r="AI10">
        <v>50</v>
      </c>
      <c r="AJ10">
        <v>300</v>
      </c>
      <c r="AK10">
        <v>0</v>
      </c>
      <c r="AL10">
        <v>0</v>
      </c>
      <c r="AM10" s="176">
        <v>42000000</v>
      </c>
      <c r="AN10" s="176">
        <v>378000000</v>
      </c>
      <c r="AO10" s="176">
        <v>0</v>
      </c>
      <c r="AP10" s="176">
        <v>0</v>
      </c>
      <c r="AQ10" s="176">
        <v>420000000</v>
      </c>
      <c r="AR10" t="s">
        <v>26</v>
      </c>
      <c r="AS10" s="175">
        <v>7</v>
      </c>
    </row>
    <row r="11" spans="1:45" x14ac:dyDescent="0.25">
      <c r="A11">
        <v>2</v>
      </c>
      <c r="B11" t="s">
        <v>3255</v>
      </c>
      <c r="C11">
        <v>10</v>
      </c>
      <c r="D11" t="s">
        <v>19</v>
      </c>
      <c r="E11" t="s">
        <v>20</v>
      </c>
      <c r="F11" t="s">
        <v>2383</v>
      </c>
      <c r="G11" t="s">
        <v>21</v>
      </c>
      <c r="H11" t="s">
        <v>22</v>
      </c>
      <c r="I11" s="178">
        <v>0.26250000000000001</v>
      </c>
      <c r="J11">
        <v>2023</v>
      </c>
      <c r="K11" t="s">
        <v>23</v>
      </c>
      <c r="L11" t="s">
        <v>24</v>
      </c>
      <c r="M11" t="s">
        <v>25</v>
      </c>
      <c r="N11" t="s">
        <v>27</v>
      </c>
      <c r="O11" t="s">
        <v>26</v>
      </c>
      <c r="P11">
        <v>22</v>
      </c>
      <c r="Q11" t="s">
        <v>28</v>
      </c>
      <c r="R11" s="175" t="s">
        <v>29</v>
      </c>
      <c r="S11" t="s">
        <v>1984</v>
      </c>
      <c r="T11" s="175" t="s">
        <v>86</v>
      </c>
      <c r="U11" t="s">
        <v>87</v>
      </c>
      <c r="V11" t="s">
        <v>88</v>
      </c>
      <c r="W11" t="s">
        <v>83</v>
      </c>
      <c r="X11" s="175">
        <v>220108400</v>
      </c>
      <c r="Y11" t="s">
        <v>89</v>
      </c>
      <c r="Z11" t="s">
        <v>90</v>
      </c>
      <c r="AA11" t="s">
        <v>36</v>
      </c>
      <c r="AB11">
        <v>89</v>
      </c>
      <c r="AC11" t="s">
        <v>2185</v>
      </c>
      <c r="AD11" t="s">
        <v>2236</v>
      </c>
      <c r="AE11" t="s">
        <v>3024</v>
      </c>
      <c r="AF11" t="s">
        <v>37</v>
      </c>
      <c r="AG11" t="s">
        <v>2187</v>
      </c>
      <c r="AH11" t="s">
        <v>2187</v>
      </c>
      <c r="AI11">
        <v>45</v>
      </c>
      <c r="AJ11">
        <v>45</v>
      </c>
      <c r="AK11">
        <v>45</v>
      </c>
      <c r="AL11">
        <v>40</v>
      </c>
      <c r="AM11" s="176">
        <v>2800000000</v>
      </c>
      <c r="AN11" s="176">
        <v>2500000000</v>
      </c>
      <c r="AO11" s="176">
        <v>2500000000</v>
      </c>
      <c r="AP11" s="176">
        <v>2500000000</v>
      </c>
      <c r="AQ11" s="176">
        <v>10300000000</v>
      </c>
      <c r="AR11" t="s">
        <v>26</v>
      </c>
      <c r="AS11" s="175">
        <v>7</v>
      </c>
    </row>
    <row r="12" spans="1:45" x14ac:dyDescent="0.25">
      <c r="A12">
        <v>2</v>
      </c>
      <c r="B12" t="s">
        <v>3255</v>
      </c>
      <c r="C12">
        <v>11</v>
      </c>
      <c r="D12" t="s">
        <v>19</v>
      </c>
      <c r="E12" t="s">
        <v>20</v>
      </c>
      <c r="F12" t="s">
        <v>2383</v>
      </c>
      <c r="G12" t="s">
        <v>21</v>
      </c>
      <c r="H12" t="s">
        <v>22</v>
      </c>
      <c r="I12" s="178">
        <v>0.26250000000000001</v>
      </c>
      <c r="J12">
        <v>2023</v>
      </c>
      <c r="K12" t="s">
        <v>23</v>
      </c>
      <c r="L12" t="s">
        <v>24</v>
      </c>
      <c r="M12" t="s">
        <v>25</v>
      </c>
      <c r="N12" t="s">
        <v>27</v>
      </c>
      <c r="O12" t="s">
        <v>26</v>
      </c>
      <c r="P12">
        <v>22</v>
      </c>
      <c r="Q12" t="s">
        <v>28</v>
      </c>
      <c r="R12" s="175" t="s">
        <v>29</v>
      </c>
      <c r="S12" t="s">
        <v>1984</v>
      </c>
      <c r="T12" s="175" t="s">
        <v>91</v>
      </c>
      <c r="U12" t="s">
        <v>92</v>
      </c>
      <c r="V12" t="s">
        <v>93</v>
      </c>
      <c r="W12" t="s">
        <v>94</v>
      </c>
      <c r="X12" s="175">
        <v>220108500</v>
      </c>
      <c r="Y12" t="s">
        <v>95</v>
      </c>
      <c r="Z12" t="s">
        <v>96</v>
      </c>
      <c r="AA12" t="s">
        <v>36</v>
      </c>
      <c r="AB12">
        <v>0</v>
      </c>
      <c r="AC12" t="s">
        <v>2185</v>
      </c>
      <c r="AD12" t="s">
        <v>3032</v>
      </c>
      <c r="AE12" t="s">
        <v>3033</v>
      </c>
      <c r="AF12" t="s">
        <v>37</v>
      </c>
      <c r="AG12" t="s">
        <v>2187</v>
      </c>
      <c r="AH12" t="s">
        <v>2187</v>
      </c>
      <c r="AI12">
        <v>100</v>
      </c>
      <c r="AJ12">
        <v>300</v>
      </c>
      <c r="AK12">
        <v>300</v>
      </c>
      <c r="AL12">
        <v>300</v>
      </c>
      <c r="AM12" s="176">
        <v>600000000</v>
      </c>
      <c r="AN12" s="176">
        <v>600000000</v>
      </c>
      <c r="AO12" s="176">
        <v>600000000</v>
      </c>
      <c r="AP12" s="176">
        <v>600000000</v>
      </c>
      <c r="AQ12" s="176">
        <v>2400000000</v>
      </c>
      <c r="AR12" t="s">
        <v>26</v>
      </c>
      <c r="AS12" s="175">
        <v>7</v>
      </c>
    </row>
    <row r="13" spans="1:45" x14ac:dyDescent="0.25">
      <c r="A13">
        <v>2</v>
      </c>
      <c r="B13" t="s">
        <v>3255</v>
      </c>
      <c r="C13">
        <v>12</v>
      </c>
      <c r="D13" t="s">
        <v>19</v>
      </c>
      <c r="E13" t="s">
        <v>20</v>
      </c>
      <c r="F13" t="s">
        <v>2383</v>
      </c>
      <c r="G13" t="s">
        <v>21</v>
      </c>
      <c r="H13" t="s">
        <v>22</v>
      </c>
      <c r="I13" s="178">
        <v>0.26250000000000001</v>
      </c>
      <c r="J13">
        <v>2023</v>
      </c>
      <c r="K13" t="s">
        <v>23</v>
      </c>
      <c r="L13" t="s">
        <v>24</v>
      </c>
      <c r="M13" t="s">
        <v>25</v>
      </c>
      <c r="N13" t="s">
        <v>27</v>
      </c>
      <c r="O13" t="s">
        <v>26</v>
      </c>
      <c r="P13">
        <v>23</v>
      </c>
      <c r="Q13" t="s">
        <v>97</v>
      </c>
      <c r="R13" s="175" t="s">
        <v>98</v>
      </c>
      <c r="S13" t="s">
        <v>99</v>
      </c>
      <c r="T13" s="175" t="s">
        <v>100</v>
      </c>
      <c r="U13" t="s">
        <v>101</v>
      </c>
      <c r="V13" t="s">
        <v>102</v>
      </c>
      <c r="W13" t="s">
        <v>103</v>
      </c>
      <c r="X13" s="175" t="s">
        <v>104</v>
      </c>
      <c r="Y13" t="s">
        <v>1151</v>
      </c>
      <c r="Z13" t="s">
        <v>105</v>
      </c>
      <c r="AA13" t="s">
        <v>36</v>
      </c>
      <c r="AB13">
        <v>32</v>
      </c>
      <c r="AC13" t="s">
        <v>2185</v>
      </c>
      <c r="AD13" t="s">
        <v>3034</v>
      </c>
      <c r="AE13" t="s">
        <v>2187</v>
      </c>
      <c r="AF13" t="s">
        <v>37</v>
      </c>
      <c r="AG13" t="s">
        <v>2250</v>
      </c>
      <c r="AH13" t="s">
        <v>2191</v>
      </c>
      <c r="AI13">
        <v>0</v>
      </c>
      <c r="AJ13">
        <v>100</v>
      </c>
      <c r="AK13">
        <v>110</v>
      </c>
      <c r="AL13">
        <v>40</v>
      </c>
      <c r="AM13" s="176">
        <v>0</v>
      </c>
      <c r="AN13" s="176">
        <v>208000000</v>
      </c>
      <c r="AO13" s="176">
        <v>208000000</v>
      </c>
      <c r="AP13" s="176">
        <v>209000000</v>
      </c>
      <c r="AQ13" s="176">
        <v>625000000</v>
      </c>
      <c r="AR13" t="s">
        <v>26</v>
      </c>
      <c r="AS13" s="175">
        <v>7</v>
      </c>
    </row>
    <row r="14" spans="1:45" x14ac:dyDescent="0.25">
      <c r="A14">
        <v>2</v>
      </c>
      <c r="B14" t="s">
        <v>3255</v>
      </c>
      <c r="C14">
        <v>13</v>
      </c>
      <c r="D14" t="s">
        <v>19</v>
      </c>
      <c r="E14" t="s">
        <v>20</v>
      </c>
      <c r="F14" t="s">
        <v>2383</v>
      </c>
      <c r="G14" t="s">
        <v>21</v>
      </c>
      <c r="H14" t="s">
        <v>22</v>
      </c>
      <c r="I14" s="178">
        <v>0.26250000000000001</v>
      </c>
      <c r="J14">
        <v>2023</v>
      </c>
      <c r="K14" t="s">
        <v>23</v>
      </c>
      <c r="L14" t="s">
        <v>24</v>
      </c>
      <c r="M14" t="s">
        <v>25</v>
      </c>
      <c r="N14" t="s">
        <v>27</v>
      </c>
      <c r="O14" t="s">
        <v>26</v>
      </c>
      <c r="P14">
        <v>22</v>
      </c>
      <c r="Q14" t="s">
        <v>28</v>
      </c>
      <c r="R14" s="175" t="s">
        <v>29</v>
      </c>
      <c r="S14" t="s">
        <v>1984</v>
      </c>
      <c r="T14" s="175" t="s">
        <v>106</v>
      </c>
      <c r="U14" t="s">
        <v>107</v>
      </c>
      <c r="V14" t="s">
        <v>108</v>
      </c>
      <c r="W14" t="s">
        <v>59</v>
      </c>
      <c r="X14" s="175" t="s">
        <v>109</v>
      </c>
      <c r="Y14" t="s">
        <v>110</v>
      </c>
      <c r="Z14" t="s">
        <v>111</v>
      </c>
      <c r="AA14" t="s">
        <v>36</v>
      </c>
      <c r="AB14">
        <v>0</v>
      </c>
      <c r="AC14" t="s">
        <v>2185</v>
      </c>
      <c r="AD14" t="s">
        <v>3035</v>
      </c>
      <c r="AE14" t="s">
        <v>3029</v>
      </c>
      <c r="AF14" t="s">
        <v>37</v>
      </c>
      <c r="AG14" t="s">
        <v>2250</v>
      </c>
      <c r="AH14" t="s">
        <v>2191</v>
      </c>
      <c r="AI14">
        <v>0</v>
      </c>
      <c r="AJ14">
        <v>30</v>
      </c>
      <c r="AK14">
        <v>40</v>
      </c>
      <c r="AL14">
        <v>30</v>
      </c>
      <c r="AM14" s="176">
        <v>0</v>
      </c>
      <c r="AN14" s="176">
        <v>500000000</v>
      </c>
      <c r="AO14" s="176">
        <v>600000000</v>
      </c>
      <c r="AP14" s="176">
        <v>500000000</v>
      </c>
      <c r="AQ14" s="176">
        <v>1600000000</v>
      </c>
      <c r="AR14" t="s">
        <v>26</v>
      </c>
      <c r="AS14" s="175">
        <v>7</v>
      </c>
    </row>
    <row r="15" spans="1:45" x14ac:dyDescent="0.25">
      <c r="A15">
        <v>2</v>
      </c>
      <c r="B15" t="s">
        <v>3255</v>
      </c>
      <c r="C15">
        <v>14</v>
      </c>
      <c r="D15" t="s">
        <v>19</v>
      </c>
      <c r="E15" t="s">
        <v>20</v>
      </c>
      <c r="F15" t="s">
        <v>2383</v>
      </c>
      <c r="G15" t="s">
        <v>112</v>
      </c>
      <c r="H15" t="s">
        <v>113</v>
      </c>
      <c r="I15" s="179">
        <v>0.307</v>
      </c>
      <c r="J15">
        <v>2022</v>
      </c>
      <c r="K15" t="s">
        <v>114</v>
      </c>
      <c r="L15" t="s">
        <v>115</v>
      </c>
      <c r="M15" t="s">
        <v>25</v>
      </c>
      <c r="N15" t="s">
        <v>27</v>
      </c>
      <c r="O15" t="s">
        <v>26</v>
      </c>
      <c r="P15">
        <v>22</v>
      </c>
      <c r="Q15" t="s">
        <v>28</v>
      </c>
      <c r="R15" s="175">
        <v>2202</v>
      </c>
      <c r="S15" t="s">
        <v>122</v>
      </c>
      <c r="T15" s="175" t="s">
        <v>116</v>
      </c>
      <c r="U15" t="s">
        <v>117</v>
      </c>
      <c r="V15" t="s">
        <v>118</v>
      </c>
      <c r="W15" t="s">
        <v>119</v>
      </c>
      <c r="X15" s="175" t="s">
        <v>120</v>
      </c>
      <c r="Y15" t="s">
        <v>121</v>
      </c>
      <c r="Z15" t="s">
        <v>2480</v>
      </c>
      <c r="AA15" t="s">
        <v>36</v>
      </c>
      <c r="AB15">
        <v>0</v>
      </c>
      <c r="AC15" t="s">
        <v>2185</v>
      </c>
      <c r="AD15" t="s">
        <v>3036</v>
      </c>
      <c r="AE15" t="s">
        <v>3033</v>
      </c>
      <c r="AF15" t="s">
        <v>37</v>
      </c>
      <c r="AG15" t="s">
        <v>2187</v>
      </c>
      <c r="AH15" t="s">
        <v>2187</v>
      </c>
      <c r="AI15">
        <v>0</v>
      </c>
      <c r="AJ15">
        <v>1700</v>
      </c>
      <c r="AK15">
        <v>1700</v>
      </c>
      <c r="AL15">
        <v>1600</v>
      </c>
      <c r="AM15" s="176">
        <v>0</v>
      </c>
      <c r="AN15" s="176">
        <v>600000000</v>
      </c>
      <c r="AO15" s="176">
        <v>600000000</v>
      </c>
      <c r="AP15" s="176">
        <v>600000000</v>
      </c>
      <c r="AQ15" s="176">
        <v>1800000000</v>
      </c>
      <c r="AR15" t="s">
        <v>26</v>
      </c>
      <c r="AS15" s="175">
        <v>7</v>
      </c>
    </row>
    <row r="16" spans="1:45" x14ac:dyDescent="0.25">
      <c r="A16">
        <v>2</v>
      </c>
      <c r="B16" t="s">
        <v>3255</v>
      </c>
      <c r="C16">
        <v>15</v>
      </c>
      <c r="D16" t="s">
        <v>19</v>
      </c>
      <c r="E16" t="s">
        <v>20</v>
      </c>
      <c r="F16" t="s">
        <v>2383</v>
      </c>
      <c r="G16" t="s">
        <v>112</v>
      </c>
      <c r="H16" t="s">
        <v>113</v>
      </c>
      <c r="I16" s="179">
        <v>0.307</v>
      </c>
      <c r="J16">
        <v>2022</v>
      </c>
      <c r="K16" t="s">
        <v>114</v>
      </c>
      <c r="L16" t="s">
        <v>115</v>
      </c>
      <c r="M16" t="s">
        <v>25</v>
      </c>
      <c r="N16" t="s">
        <v>27</v>
      </c>
      <c r="O16" t="s">
        <v>26</v>
      </c>
      <c r="P16">
        <v>22</v>
      </c>
      <c r="Q16" t="s">
        <v>28</v>
      </c>
      <c r="R16" s="175">
        <v>2202</v>
      </c>
      <c r="S16" t="s">
        <v>122</v>
      </c>
      <c r="T16" s="175" t="s">
        <v>123</v>
      </c>
      <c r="U16" t="s">
        <v>124</v>
      </c>
      <c r="V16" t="s">
        <v>125</v>
      </c>
      <c r="W16" t="s">
        <v>119</v>
      </c>
      <c r="X16" s="175">
        <v>220206500</v>
      </c>
      <c r="Y16" t="s">
        <v>126</v>
      </c>
      <c r="Z16" t="s">
        <v>2481</v>
      </c>
      <c r="AA16" t="s">
        <v>36</v>
      </c>
      <c r="AB16">
        <v>0</v>
      </c>
      <c r="AC16" t="s">
        <v>2185</v>
      </c>
      <c r="AD16" t="s">
        <v>3034</v>
      </c>
      <c r="AE16" t="s">
        <v>3033</v>
      </c>
      <c r="AF16" t="s">
        <v>37</v>
      </c>
      <c r="AG16" t="s">
        <v>2250</v>
      </c>
      <c r="AH16" t="s">
        <v>2191</v>
      </c>
      <c r="AI16">
        <v>0</v>
      </c>
      <c r="AJ16">
        <v>100</v>
      </c>
      <c r="AK16">
        <v>0</v>
      </c>
      <c r="AL16">
        <v>0</v>
      </c>
      <c r="AM16" s="176">
        <v>0</v>
      </c>
      <c r="AN16" s="176">
        <v>1000000000</v>
      </c>
      <c r="AO16" s="176">
        <v>0</v>
      </c>
      <c r="AP16" s="176">
        <v>0</v>
      </c>
      <c r="AQ16" s="176">
        <v>1000000000</v>
      </c>
      <c r="AR16" t="s">
        <v>26</v>
      </c>
      <c r="AS16" s="175">
        <v>7</v>
      </c>
    </row>
    <row r="17" spans="1:45" x14ac:dyDescent="0.25">
      <c r="A17">
        <v>2</v>
      </c>
      <c r="B17" t="s">
        <v>3255</v>
      </c>
      <c r="C17">
        <v>16</v>
      </c>
      <c r="D17" t="s">
        <v>19</v>
      </c>
      <c r="E17" t="s">
        <v>20</v>
      </c>
      <c r="F17" t="s">
        <v>2383</v>
      </c>
      <c r="G17" t="s">
        <v>112</v>
      </c>
      <c r="H17" t="s">
        <v>113</v>
      </c>
      <c r="I17" s="179">
        <v>0.307</v>
      </c>
      <c r="J17">
        <v>2022</v>
      </c>
      <c r="K17" t="s">
        <v>114</v>
      </c>
      <c r="L17" t="s">
        <v>115</v>
      </c>
      <c r="M17" t="s">
        <v>25</v>
      </c>
      <c r="N17" t="s">
        <v>27</v>
      </c>
      <c r="O17" t="s">
        <v>26</v>
      </c>
      <c r="P17">
        <v>22</v>
      </c>
      <c r="Q17" t="s">
        <v>28</v>
      </c>
      <c r="R17" s="175" t="s">
        <v>127</v>
      </c>
      <c r="S17" t="s">
        <v>122</v>
      </c>
      <c r="T17" s="175" t="s">
        <v>128</v>
      </c>
      <c r="U17" t="s">
        <v>129</v>
      </c>
      <c r="V17" t="s">
        <v>130</v>
      </c>
      <c r="W17" t="s">
        <v>83</v>
      </c>
      <c r="X17" s="175" t="s">
        <v>131</v>
      </c>
      <c r="Y17" t="s">
        <v>132</v>
      </c>
      <c r="Z17" t="s">
        <v>133</v>
      </c>
      <c r="AA17" t="s">
        <v>36</v>
      </c>
      <c r="AB17">
        <v>1</v>
      </c>
      <c r="AC17" t="s">
        <v>2185</v>
      </c>
      <c r="AD17" t="s">
        <v>3037</v>
      </c>
      <c r="AE17" t="s">
        <v>3033</v>
      </c>
      <c r="AF17" t="s">
        <v>37</v>
      </c>
      <c r="AG17" t="s">
        <v>2250</v>
      </c>
      <c r="AH17" t="s">
        <v>2191</v>
      </c>
      <c r="AI17">
        <v>0</v>
      </c>
      <c r="AJ17">
        <v>2</v>
      </c>
      <c r="AK17">
        <v>1</v>
      </c>
      <c r="AL17">
        <v>0</v>
      </c>
      <c r="AM17" s="176">
        <v>0</v>
      </c>
      <c r="AN17" s="176">
        <v>2000000000</v>
      </c>
      <c r="AO17" s="176">
        <v>1189540250</v>
      </c>
      <c r="AP17" s="176">
        <v>0</v>
      </c>
      <c r="AQ17" s="176">
        <v>3189540250</v>
      </c>
      <c r="AR17" t="s">
        <v>26</v>
      </c>
      <c r="AS17" s="175">
        <v>7</v>
      </c>
    </row>
    <row r="18" spans="1:45" x14ac:dyDescent="0.25">
      <c r="A18">
        <v>2</v>
      </c>
      <c r="B18" t="s">
        <v>3255</v>
      </c>
      <c r="C18">
        <v>17</v>
      </c>
      <c r="D18" t="s">
        <v>19</v>
      </c>
      <c r="E18" t="s">
        <v>20</v>
      </c>
      <c r="F18" t="s">
        <v>2383</v>
      </c>
      <c r="G18" t="s">
        <v>134</v>
      </c>
      <c r="H18" t="s">
        <v>135</v>
      </c>
      <c r="I18" s="178">
        <v>0.58399999999999996</v>
      </c>
      <c r="J18">
        <v>2023</v>
      </c>
      <c r="K18" t="s">
        <v>136</v>
      </c>
      <c r="L18" t="s">
        <v>137</v>
      </c>
      <c r="M18" t="s">
        <v>25</v>
      </c>
      <c r="N18" t="s">
        <v>27</v>
      </c>
      <c r="O18" t="s">
        <v>26</v>
      </c>
      <c r="P18">
        <v>23</v>
      </c>
      <c r="Q18" t="s">
        <v>97</v>
      </c>
      <c r="R18" s="175" t="s">
        <v>98</v>
      </c>
      <c r="S18" t="s">
        <v>99</v>
      </c>
      <c r="T18" s="175" t="s">
        <v>138</v>
      </c>
      <c r="U18" t="s">
        <v>139</v>
      </c>
      <c r="V18" t="s">
        <v>140</v>
      </c>
      <c r="W18" t="s">
        <v>46</v>
      </c>
      <c r="X18" s="175" t="s">
        <v>141</v>
      </c>
      <c r="Y18" t="s">
        <v>142</v>
      </c>
      <c r="Z18" t="s">
        <v>143</v>
      </c>
      <c r="AA18" t="s">
        <v>36</v>
      </c>
      <c r="AB18">
        <v>14163</v>
      </c>
      <c r="AC18" t="s">
        <v>2185</v>
      </c>
      <c r="AD18" t="s">
        <v>3037</v>
      </c>
      <c r="AE18" t="s">
        <v>2253</v>
      </c>
      <c r="AF18" t="s">
        <v>37</v>
      </c>
      <c r="AG18" t="s">
        <v>2250</v>
      </c>
      <c r="AH18" t="s">
        <v>2191</v>
      </c>
      <c r="AI18">
        <v>0</v>
      </c>
      <c r="AJ18">
        <v>15000</v>
      </c>
      <c r="AK18">
        <v>20000</v>
      </c>
      <c r="AL18">
        <v>20000</v>
      </c>
      <c r="AM18" s="176">
        <v>0</v>
      </c>
      <c r="AN18" s="176">
        <v>1658679797</v>
      </c>
      <c r="AO18" s="176">
        <v>2394988603</v>
      </c>
      <c r="AP18" s="176">
        <v>3246012206</v>
      </c>
      <c r="AQ18" s="176">
        <v>7299680606</v>
      </c>
      <c r="AR18" t="s">
        <v>26</v>
      </c>
      <c r="AS18" s="175">
        <v>7</v>
      </c>
    </row>
    <row r="19" spans="1:45" x14ac:dyDescent="0.25">
      <c r="A19">
        <v>2</v>
      </c>
      <c r="B19" t="s">
        <v>3255</v>
      </c>
      <c r="C19">
        <v>18</v>
      </c>
      <c r="D19" t="s">
        <v>19</v>
      </c>
      <c r="E19" t="s">
        <v>20</v>
      </c>
      <c r="F19" t="s">
        <v>2383</v>
      </c>
      <c r="G19" t="s">
        <v>134</v>
      </c>
      <c r="H19" t="s">
        <v>135</v>
      </c>
      <c r="I19" s="178">
        <v>0.58399999999999996</v>
      </c>
      <c r="J19">
        <v>2023</v>
      </c>
      <c r="K19" t="s">
        <v>136</v>
      </c>
      <c r="L19" t="s">
        <v>137</v>
      </c>
      <c r="M19" t="s">
        <v>25</v>
      </c>
      <c r="N19" t="s">
        <v>27</v>
      </c>
      <c r="O19" t="s">
        <v>26</v>
      </c>
      <c r="P19">
        <v>23</v>
      </c>
      <c r="Q19" t="s">
        <v>97</v>
      </c>
      <c r="R19" s="175" t="s">
        <v>98</v>
      </c>
      <c r="S19" t="s">
        <v>99</v>
      </c>
      <c r="T19" s="175" t="s">
        <v>138</v>
      </c>
      <c r="U19" t="s">
        <v>139</v>
      </c>
      <c r="V19" t="s">
        <v>140</v>
      </c>
      <c r="W19" t="s">
        <v>46</v>
      </c>
      <c r="X19" s="175" t="s">
        <v>141</v>
      </c>
      <c r="Y19" t="s">
        <v>142</v>
      </c>
      <c r="Z19" t="s">
        <v>144</v>
      </c>
      <c r="AA19" t="s">
        <v>36</v>
      </c>
      <c r="AB19">
        <v>347</v>
      </c>
      <c r="AC19" t="s">
        <v>2192</v>
      </c>
      <c r="AD19" t="s">
        <v>3038</v>
      </c>
      <c r="AE19" t="s">
        <v>3033</v>
      </c>
      <c r="AF19" t="s">
        <v>37</v>
      </c>
      <c r="AG19" t="s">
        <v>2250</v>
      </c>
      <c r="AH19" t="s">
        <v>2191</v>
      </c>
      <c r="AI19">
        <v>347</v>
      </c>
      <c r="AJ19">
        <v>347</v>
      </c>
      <c r="AK19">
        <v>347</v>
      </c>
      <c r="AL19">
        <v>347</v>
      </c>
      <c r="AM19" s="176">
        <v>2395000000</v>
      </c>
      <c r="AN19" s="176">
        <v>2466000000</v>
      </c>
      <c r="AO19" s="176">
        <v>2540000000</v>
      </c>
      <c r="AP19" s="176">
        <v>2617000000</v>
      </c>
      <c r="AQ19" s="176">
        <v>10018000000</v>
      </c>
      <c r="AR19" t="s">
        <v>26</v>
      </c>
      <c r="AS19" s="175">
        <v>7</v>
      </c>
    </row>
    <row r="20" spans="1:45" x14ac:dyDescent="0.25">
      <c r="A20">
        <v>2</v>
      </c>
      <c r="B20" t="s">
        <v>3255</v>
      </c>
      <c r="C20">
        <v>19</v>
      </c>
      <c r="D20" t="s">
        <v>19</v>
      </c>
      <c r="E20" t="s">
        <v>20</v>
      </c>
      <c r="F20" t="s">
        <v>2383</v>
      </c>
      <c r="G20" t="s">
        <v>134</v>
      </c>
      <c r="H20" t="s">
        <v>135</v>
      </c>
      <c r="I20" s="178">
        <v>0.58399999999999996</v>
      </c>
      <c r="J20">
        <v>2023</v>
      </c>
      <c r="K20" t="s">
        <v>136</v>
      </c>
      <c r="L20" t="s">
        <v>137</v>
      </c>
      <c r="M20" t="s">
        <v>25</v>
      </c>
      <c r="N20" t="s">
        <v>27</v>
      </c>
      <c r="O20" t="s">
        <v>26</v>
      </c>
      <c r="P20">
        <v>22</v>
      </c>
      <c r="Q20" t="s">
        <v>28</v>
      </c>
      <c r="R20" s="175" t="s">
        <v>29</v>
      </c>
      <c r="S20" t="s">
        <v>1984</v>
      </c>
      <c r="T20" s="175" t="s">
        <v>145</v>
      </c>
      <c r="U20" t="s">
        <v>146</v>
      </c>
      <c r="V20" t="s">
        <v>147</v>
      </c>
      <c r="W20" t="s">
        <v>148</v>
      </c>
      <c r="X20" s="175" t="s">
        <v>149</v>
      </c>
      <c r="Y20" t="s">
        <v>150</v>
      </c>
      <c r="Z20" t="s">
        <v>151</v>
      </c>
      <c r="AA20" t="s">
        <v>36</v>
      </c>
      <c r="AB20">
        <v>41</v>
      </c>
      <c r="AC20" t="s">
        <v>2185</v>
      </c>
      <c r="AD20" t="s">
        <v>3039</v>
      </c>
      <c r="AE20" t="s">
        <v>3033</v>
      </c>
      <c r="AF20" t="s">
        <v>37</v>
      </c>
      <c r="AG20" t="s">
        <v>2250</v>
      </c>
      <c r="AH20" t="s">
        <v>2191</v>
      </c>
      <c r="AI20">
        <v>0</v>
      </c>
      <c r="AJ20">
        <v>250</v>
      </c>
      <c r="AK20">
        <v>300</v>
      </c>
      <c r="AL20">
        <v>250</v>
      </c>
      <c r="AM20" s="176">
        <v>0</v>
      </c>
      <c r="AN20" s="176">
        <v>1450000000</v>
      </c>
      <c r="AO20" s="176">
        <v>1000000000</v>
      </c>
      <c r="AP20" s="176">
        <v>1250000000</v>
      </c>
      <c r="AQ20" s="176">
        <v>3700000000</v>
      </c>
      <c r="AR20" t="s">
        <v>26</v>
      </c>
      <c r="AS20" s="175">
        <v>7</v>
      </c>
    </row>
    <row r="21" spans="1:45" x14ac:dyDescent="0.25">
      <c r="A21">
        <v>2</v>
      </c>
      <c r="B21" t="s">
        <v>3255</v>
      </c>
      <c r="C21">
        <v>20</v>
      </c>
      <c r="D21" t="s">
        <v>19</v>
      </c>
      <c r="E21" t="s">
        <v>20</v>
      </c>
      <c r="F21" t="s">
        <v>2383</v>
      </c>
      <c r="G21" t="s">
        <v>134</v>
      </c>
      <c r="H21" t="s">
        <v>135</v>
      </c>
      <c r="I21" s="178">
        <v>0.58399999999999996</v>
      </c>
      <c r="J21">
        <v>2023</v>
      </c>
      <c r="K21" t="s">
        <v>152</v>
      </c>
      <c r="L21" t="s">
        <v>137</v>
      </c>
      <c r="M21" t="s">
        <v>25</v>
      </c>
      <c r="N21" t="s">
        <v>27</v>
      </c>
      <c r="O21" t="s">
        <v>26</v>
      </c>
      <c r="P21">
        <v>22</v>
      </c>
      <c r="Q21" t="s">
        <v>28</v>
      </c>
      <c r="R21" s="175" t="s">
        <v>29</v>
      </c>
      <c r="S21" t="s">
        <v>1984</v>
      </c>
      <c r="T21" s="175" t="s">
        <v>154</v>
      </c>
      <c r="U21" t="s">
        <v>153</v>
      </c>
      <c r="V21" t="s">
        <v>155</v>
      </c>
      <c r="W21" t="s">
        <v>156</v>
      </c>
      <c r="X21" s="175" t="s">
        <v>157</v>
      </c>
      <c r="Y21" t="s">
        <v>158</v>
      </c>
      <c r="Z21" t="s">
        <v>159</v>
      </c>
      <c r="AA21" t="s">
        <v>36</v>
      </c>
      <c r="AB21">
        <v>0</v>
      </c>
      <c r="AC21" t="s">
        <v>2185</v>
      </c>
      <c r="AD21" t="s">
        <v>3040</v>
      </c>
      <c r="AE21" t="s">
        <v>2187</v>
      </c>
      <c r="AF21" t="s">
        <v>37</v>
      </c>
      <c r="AG21" t="s">
        <v>2250</v>
      </c>
      <c r="AH21" t="s">
        <v>2191</v>
      </c>
      <c r="AI21">
        <v>0</v>
      </c>
      <c r="AJ21" t="s">
        <v>3194</v>
      </c>
      <c r="AK21" t="s">
        <v>3194</v>
      </c>
      <c r="AL21">
        <v>0</v>
      </c>
      <c r="AM21" s="176">
        <v>0</v>
      </c>
      <c r="AN21" s="176">
        <v>600000000</v>
      </c>
      <c r="AO21" s="176">
        <v>600000000</v>
      </c>
      <c r="AP21" s="176">
        <v>0</v>
      </c>
      <c r="AQ21" s="176">
        <v>1200000000</v>
      </c>
      <c r="AR21" t="s">
        <v>26</v>
      </c>
      <c r="AS21" s="175">
        <v>7</v>
      </c>
    </row>
    <row r="22" spans="1:45" x14ac:dyDescent="0.25">
      <c r="A22">
        <v>2</v>
      </c>
      <c r="B22" t="s">
        <v>3255</v>
      </c>
      <c r="C22">
        <v>21</v>
      </c>
      <c r="D22" t="s">
        <v>19</v>
      </c>
      <c r="E22" t="s">
        <v>20</v>
      </c>
      <c r="F22" t="s">
        <v>2383</v>
      </c>
      <c r="G22" t="s">
        <v>160</v>
      </c>
      <c r="H22" t="s">
        <v>161</v>
      </c>
      <c r="I22" s="180">
        <v>0.51160000000000005</v>
      </c>
      <c r="J22">
        <v>2023</v>
      </c>
      <c r="K22" t="s">
        <v>162</v>
      </c>
      <c r="L22" t="s">
        <v>163</v>
      </c>
      <c r="M22" t="s">
        <v>25</v>
      </c>
      <c r="N22" t="s">
        <v>27</v>
      </c>
      <c r="O22" t="s">
        <v>26</v>
      </c>
      <c r="P22">
        <v>22</v>
      </c>
      <c r="Q22" t="s">
        <v>28</v>
      </c>
      <c r="R22" s="175">
        <v>2201</v>
      </c>
      <c r="S22" t="s">
        <v>1984</v>
      </c>
      <c r="T22" s="175">
        <v>2201017</v>
      </c>
      <c r="U22" t="s">
        <v>164</v>
      </c>
      <c r="V22" t="s">
        <v>165</v>
      </c>
      <c r="W22" t="s">
        <v>166</v>
      </c>
      <c r="X22" s="175">
        <v>220101700</v>
      </c>
      <c r="Y22" t="s">
        <v>167</v>
      </c>
      <c r="Z22" t="s">
        <v>168</v>
      </c>
      <c r="AA22" t="s">
        <v>36</v>
      </c>
      <c r="AB22">
        <v>9531</v>
      </c>
      <c r="AC22" t="s">
        <v>2192</v>
      </c>
      <c r="AD22" t="s">
        <v>3041</v>
      </c>
      <c r="AE22" t="s">
        <v>2258</v>
      </c>
      <c r="AF22" t="s">
        <v>37</v>
      </c>
      <c r="AG22" t="s">
        <v>2250</v>
      </c>
      <c r="AH22" t="s">
        <v>2191</v>
      </c>
      <c r="AI22">
        <v>9531</v>
      </c>
      <c r="AJ22">
        <v>9531</v>
      </c>
      <c r="AK22">
        <v>9531</v>
      </c>
      <c r="AL22">
        <v>9531</v>
      </c>
      <c r="AM22" s="176">
        <v>72408214186</v>
      </c>
      <c r="AN22" s="176" t="s">
        <v>2528</v>
      </c>
      <c r="AO22" s="176" t="s">
        <v>2529</v>
      </c>
      <c r="AP22" s="176" t="s">
        <v>2530</v>
      </c>
      <c r="AQ22" s="176">
        <v>335305400188</v>
      </c>
      <c r="AR22" t="s">
        <v>26</v>
      </c>
      <c r="AS22" s="175">
        <v>7</v>
      </c>
    </row>
    <row r="23" spans="1:45" x14ac:dyDescent="0.25">
      <c r="A23">
        <v>2</v>
      </c>
      <c r="B23" t="s">
        <v>3255</v>
      </c>
      <c r="C23">
        <v>22</v>
      </c>
      <c r="D23" t="s">
        <v>19</v>
      </c>
      <c r="E23" t="s">
        <v>20</v>
      </c>
      <c r="F23" t="s">
        <v>2383</v>
      </c>
      <c r="G23" t="s">
        <v>169</v>
      </c>
      <c r="H23" t="s">
        <v>2358</v>
      </c>
      <c r="I23" s="180">
        <v>0.76049999999999995</v>
      </c>
      <c r="J23">
        <v>2023</v>
      </c>
      <c r="K23" t="s">
        <v>162</v>
      </c>
      <c r="L23" t="s">
        <v>170</v>
      </c>
      <c r="M23" t="s">
        <v>25</v>
      </c>
      <c r="N23" t="s">
        <v>27</v>
      </c>
      <c r="O23" t="s">
        <v>26</v>
      </c>
      <c r="P23">
        <v>22</v>
      </c>
      <c r="Q23" t="s">
        <v>28</v>
      </c>
      <c r="R23" s="175">
        <v>2201</v>
      </c>
      <c r="S23" t="s">
        <v>1984</v>
      </c>
      <c r="T23" s="175">
        <v>2201017</v>
      </c>
      <c r="U23" t="s">
        <v>164</v>
      </c>
      <c r="V23" t="s">
        <v>165</v>
      </c>
      <c r="W23" t="s">
        <v>166</v>
      </c>
      <c r="X23" s="175">
        <v>220101700</v>
      </c>
      <c r="Y23" t="s">
        <v>171</v>
      </c>
      <c r="Z23" t="s">
        <v>172</v>
      </c>
      <c r="AA23" t="s">
        <v>36</v>
      </c>
      <c r="AB23">
        <v>73059</v>
      </c>
      <c r="AC23" t="s">
        <v>2192</v>
      </c>
      <c r="AD23" t="s">
        <v>3041</v>
      </c>
      <c r="AE23" t="s">
        <v>2258</v>
      </c>
      <c r="AF23" t="s">
        <v>37</v>
      </c>
      <c r="AG23" t="s">
        <v>2250</v>
      </c>
      <c r="AH23" t="s">
        <v>2191</v>
      </c>
      <c r="AI23">
        <v>73059</v>
      </c>
      <c r="AJ23">
        <v>73059</v>
      </c>
      <c r="AK23">
        <v>73059</v>
      </c>
      <c r="AL23">
        <v>73059</v>
      </c>
      <c r="AM23" s="176" t="s">
        <v>2531</v>
      </c>
      <c r="AN23" s="176" t="s">
        <v>2532</v>
      </c>
      <c r="AO23" s="176" t="s">
        <v>2533</v>
      </c>
      <c r="AP23" s="176" t="s">
        <v>2534</v>
      </c>
      <c r="AQ23" s="176" t="s">
        <v>2535</v>
      </c>
      <c r="AR23" t="s">
        <v>26</v>
      </c>
      <c r="AS23" s="175">
        <v>7</v>
      </c>
    </row>
    <row r="24" spans="1:45" x14ac:dyDescent="0.25">
      <c r="A24">
        <v>2</v>
      </c>
      <c r="B24" t="s">
        <v>3255</v>
      </c>
      <c r="C24">
        <v>23</v>
      </c>
      <c r="D24" t="s">
        <v>19</v>
      </c>
      <c r="E24" t="s">
        <v>20</v>
      </c>
      <c r="F24" t="s">
        <v>2383</v>
      </c>
      <c r="G24" t="s">
        <v>173</v>
      </c>
      <c r="H24" t="s">
        <v>2349</v>
      </c>
      <c r="I24" s="180">
        <v>0.57620000000000005</v>
      </c>
      <c r="J24">
        <v>2023</v>
      </c>
      <c r="K24" t="s">
        <v>162</v>
      </c>
      <c r="L24" t="s">
        <v>174</v>
      </c>
      <c r="M24" t="s">
        <v>25</v>
      </c>
      <c r="N24" t="s">
        <v>27</v>
      </c>
      <c r="O24" t="s">
        <v>26</v>
      </c>
      <c r="P24">
        <v>22</v>
      </c>
      <c r="Q24" t="s">
        <v>28</v>
      </c>
      <c r="R24" s="175">
        <v>2201</v>
      </c>
      <c r="S24" t="s">
        <v>1984</v>
      </c>
      <c r="T24" s="175">
        <v>2201017</v>
      </c>
      <c r="U24" t="s">
        <v>164</v>
      </c>
      <c r="V24" t="s">
        <v>165</v>
      </c>
      <c r="W24" t="s">
        <v>166</v>
      </c>
      <c r="X24" s="175">
        <v>220101700</v>
      </c>
      <c r="Y24" t="s">
        <v>167</v>
      </c>
      <c r="Z24" t="s">
        <v>175</v>
      </c>
      <c r="AA24" t="s">
        <v>36</v>
      </c>
      <c r="AB24">
        <v>45228</v>
      </c>
      <c r="AC24" t="s">
        <v>2192</v>
      </c>
      <c r="AD24" t="s">
        <v>3041</v>
      </c>
      <c r="AE24" t="s">
        <v>3033</v>
      </c>
      <c r="AF24" t="s">
        <v>37</v>
      </c>
      <c r="AG24" t="s">
        <v>2250</v>
      </c>
      <c r="AH24" t="s">
        <v>2191</v>
      </c>
      <c r="AI24">
        <v>45228</v>
      </c>
      <c r="AJ24">
        <v>45228</v>
      </c>
      <c r="AK24">
        <v>45228</v>
      </c>
      <c r="AL24">
        <v>45228</v>
      </c>
      <c r="AM24" s="176" t="s">
        <v>2536</v>
      </c>
      <c r="AN24" s="176" t="s">
        <v>2537</v>
      </c>
      <c r="AO24" s="176" t="s">
        <v>2538</v>
      </c>
      <c r="AP24" s="176" t="s">
        <v>2539</v>
      </c>
      <c r="AQ24" s="176" t="s">
        <v>2540</v>
      </c>
      <c r="AR24" t="s">
        <v>26</v>
      </c>
      <c r="AS24" s="175">
        <v>7</v>
      </c>
    </row>
    <row r="25" spans="1:45" x14ac:dyDescent="0.25">
      <c r="A25">
        <v>2</v>
      </c>
      <c r="B25" t="s">
        <v>3255</v>
      </c>
      <c r="C25">
        <v>24</v>
      </c>
      <c r="D25" t="s">
        <v>19</v>
      </c>
      <c r="E25" t="s">
        <v>20</v>
      </c>
      <c r="F25" t="s">
        <v>2383</v>
      </c>
      <c r="G25" t="s">
        <v>176</v>
      </c>
      <c r="H25" t="s">
        <v>2350</v>
      </c>
      <c r="I25" s="180">
        <v>0.29330000000000001</v>
      </c>
      <c r="J25">
        <v>2023</v>
      </c>
      <c r="K25" t="s">
        <v>162</v>
      </c>
      <c r="L25" t="s">
        <v>177</v>
      </c>
      <c r="M25" t="s">
        <v>25</v>
      </c>
      <c r="N25" t="s">
        <v>27</v>
      </c>
      <c r="O25" t="s">
        <v>26</v>
      </c>
      <c r="P25">
        <v>22</v>
      </c>
      <c r="Q25" t="s">
        <v>28</v>
      </c>
      <c r="R25" s="175">
        <v>2201</v>
      </c>
      <c r="S25" t="s">
        <v>1984</v>
      </c>
      <c r="T25" s="175">
        <v>2201017</v>
      </c>
      <c r="U25" t="s">
        <v>164</v>
      </c>
      <c r="V25" t="s">
        <v>165</v>
      </c>
      <c r="W25" t="s">
        <v>166</v>
      </c>
      <c r="X25" s="175">
        <v>220101700</v>
      </c>
      <c r="Y25" t="s">
        <v>171</v>
      </c>
      <c r="Z25" t="s">
        <v>178</v>
      </c>
      <c r="AA25" t="s">
        <v>36</v>
      </c>
      <c r="AB25">
        <v>11554</v>
      </c>
      <c r="AC25" t="s">
        <v>2192</v>
      </c>
      <c r="AD25" t="s">
        <v>3041</v>
      </c>
      <c r="AE25" t="s">
        <v>3033</v>
      </c>
      <c r="AF25" t="s">
        <v>37</v>
      </c>
      <c r="AG25" t="s">
        <v>2250</v>
      </c>
      <c r="AH25" t="s">
        <v>2191</v>
      </c>
      <c r="AI25">
        <v>11554</v>
      </c>
      <c r="AJ25">
        <v>11554</v>
      </c>
      <c r="AK25">
        <v>11554</v>
      </c>
      <c r="AL25">
        <v>11554</v>
      </c>
      <c r="AM25" s="176" t="s">
        <v>2541</v>
      </c>
      <c r="AN25" s="176" t="s">
        <v>2542</v>
      </c>
      <c r="AO25" s="176" t="s">
        <v>2543</v>
      </c>
      <c r="AP25" s="176" t="s">
        <v>2544</v>
      </c>
      <c r="AQ25" s="176" t="s">
        <v>2545</v>
      </c>
      <c r="AR25" t="s">
        <v>26</v>
      </c>
      <c r="AS25" s="175">
        <v>7</v>
      </c>
    </row>
    <row r="26" spans="1:45" x14ac:dyDescent="0.25">
      <c r="A26">
        <v>2</v>
      </c>
      <c r="B26" t="s">
        <v>3255</v>
      </c>
      <c r="C26">
        <v>25</v>
      </c>
      <c r="D26" t="s">
        <v>19</v>
      </c>
      <c r="E26" t="s">
        <v>20</v>
      </c>
      <c r="F26" t="s">
        <v>2383</v>
      </c>
      <c r="G26" t="s">
        <v>179</v>
      </c>
      <c r="H26" t="s">
        <v>180</v>
      </c>
      <c r="I26" s="180">
        <v>0.90739999999999998</v>
      </c>
      <c r="J26">
        <v>2023</v>
      </c>
      <c r="K26" t="s">
        <v>162</v>
      </c>
      <c r="L26" t="s">
        <v>181</v>
      </c>
      <c r="M26" t="s">
        <v>25</v>
      </c>
      <c r="N26" t="s">
        <v>27</v>
      </c>
      <c r="O26" t="s">
        <v>26</v>
      </c>
      <c r="P26">
        <v>22</v>
      </c>
      <c r="Q26" t="s">
        <v>28</v>
      </c>
      <c r="R26" s="175">
        <v>2201</v>
      </c>
      <c r="S26" t="s">
        <v>1984</v>
      </c>
      <c r="T26" s="175">
        <v>2201017</v>
      </c>
      <c r="U26" t="s">
        <v>164</v>
      </c>
      <c r="V26" t="s">
        <v>165</v>
      </c>
      <c r="W26" t="s">
        <v>166</v>
      </c>
      <c r="X26" s="175">
        <v>220101700</v>
      </c>
      <c r="Y26" t="s">
        <v>171</v>
      </c>
      <c r="Z26" t="s">
        <v>182</v>
      </c>
      <c r="AA26" t="s">
        <v>36</v>
      </c>
      <c r="AB26">
        <v>61428</v>
      </c>
      <c r="AC26" t="s">
        <v>2192</v>
      </c>
      <c r="AD26" t="s">
        <v>3041</v>
      </c>
      <c r="AE26" t="s">
        <v>3024</v>
      </c>
      <c r="AF26" t="s">
        <v>37</v>
      </c>
      <c r="AG26" t="s">
        <v>2250</v>
      </c>
      <c r="AH26" t="s">
        <v>2191</v>
      </c>
      <c r="AI26">
        <v>61428</v>
      </c>
      <c r="AJ26">
        <v>61428</v>
      </c>
      <c r="AK26">
        <v>61428</v>
      </c>
      <c r="AL26">
        <v>61428</v>
      </c>
      <c r="AM26" s="176" t="s">
        <v>2546</v>
      </c>
      <c r="AN26" s="176" t="s">
        <v>2547</v>
      </c>
      <c r="AO26" s="176" t="s">
        <v>2548</v>
      </c>
      <c r="AP26" s="176" t="s">
        <v>2549</v>
      </c>
      <c r="AQ26" s="176" t="s">
        <v>2550</v>
      </c>
      <c r="AR26" t="s">
        <v>26</v>
      </c>
      <c r="AS26" s="175">
        <v>7</v>
      </c>
    </row>
    <row r="27" spans="1:45" x14ac:dyDescent="0.25">
      <c r="A27">
        <v>2</v>
      </c>
      <c r="B27" t="s">
        <v>3255</v>
      </c>
      <c r="C27">
        <v>26</v>
      </c>
      <c r="D27" t="s">
        <v>19</v>
      </c>
      <c r="E27" t="s">
        <v>20</v>
      </c>
      <c r="F27" t="s">
        <v>2383</v>
      </c>
      <c r="G27" t="s">
        <v>179</v>
      </c>
      <c r="H27" t="s">
        <v>180</v>
      </c>
      <c r="I27" s="180">
        <v>0.90739999999999998</v>
      </c>
      <c r="J27">
        <v>2023</v>
      </c>
      <c r="K27" t="s">
        <v>162</v>
      </c>
      <c r="L27" t="s">
        <v>181</v>
      </c>
      <c r="M27" t="s">
        <v>25</v>
      </c>
      <c r="N27" t="s">
        <v>183</v>
      </c>
      <c r="O27" t="s">
        <v>26</v>
      </c>
      <c r="P27">
        <v>22</v>
      </c>
      <c r="Q27" t="s">
        <v>28</v>
      </c>
      <c r="R27" s="175" t="s">
        <v>29</v>
      </c>
      <c r="S27" t="s">
        <v>1984</v>
      </c>
      <c r="T27" s="175">
        <v>2201052</v>
      </c>
      <c r="U27" t="s">
        <v>184</v>
      </c>
      <c r="V27" t="s">
        <v>185</v>
      </c>
      <c r="W27" t="s">
        <v>83</v>
      </c>
      <c r="X27" s="175">
        <v>220105200</v>
      </c>
      <c r="Y27" t="s">
        <v>186</v>
      </c>
      <c r="Z27" t="s">
        <v>1985</v>
      </c>
      <c r="AA27" t="s">
        <v>36</v>
      </c>
      <c r="AB27">
        <v>125</v>
      </c>
      <c r="AC27" t="s">
        <v>2185</v>
      </c>
      <c r="AD27" t="s">
        <v>3042</v>
      </c>
      <c r="AE27" t="s">
        <v>3024</v>
      </c>
      <c r="AF27" t="s">
        <v>37</v>
      </c>
      <c r="AG27" t="s">
        <v>2250</v>
      </c>
      <c r="AH27" t="s">
        <v>2191</v>
      </c>
      <c r="AI27">
        <v>187</v>
      </c>
      <c r="AJ27">
        <v>100</v>
      </c>
      <c r="AK27">
        <v>43</v>
      </c>
      <c r="AL27">
        <v>20</v>
      </c>
      <c r="AM27" s="176" t="s">
        <v>2551</v>
      </c>
      <c r="AN27" s="176" t="s">
        <v>2552</v>
      </c>
      <c r="AO27" s="176">
        <v>3100000000</v>
      </c>
      <c r="AP27" s="176">
        <v>2500000000</v>
      </c>
      <c r="AQ27" s="176" t="s">
        <v>2553</v>
      </c>
      <c r="AR27" t="s">
        <v>26</v>
      </c>
      <c r="AS27" s="175">
        <v>7</v>
      </c>
    </row>
    <row r="28" spans="1:45" x14ac:dyDescent="0.25">
      <c r="A28">
        <v>2</v>
      </c>
      <c r="B28" t="s">
        <v>3255</v>
      </c>
      <c r="C28">
        <v>27</v>
      </c>
      <c r="D28" t="s">
        <v>19</v>
      </c>
      <c r="E28" t="s">
        <v>20</v>
      </c>
      <c r="F28" t="s">
        <v>2383</v>
      </c>
      <c r="G28" t="s">
        <v>179</v>
      </c>
      <c r="H28" t="s">
        <v>180</v>
      </c>
      <c r="I28" s="180">
        <v>0.90739999999999998</v>
      </c>
      <c r="J28">
        <v>2023</v>
      </c>
      <c r="K28" t="s">
        <v>162</v>
      </c>
      <c r="L28" t="s">
        <v>181</v>
      </c>
      <c r="M28" t="s">
        <v>25</v>
      </c>
      <c r="N28" t="s">
        <v>183</v>
      </c>
      <c r="O28" t="s">
        <v>26</v>
      </c>
      <c r="P28">
        <v>22</v>
      </c>
      <c r="Q28" t="s">
        <v>28</v>
      </c>
      <c r="R28" s="175" t="s">
        <v>29</v>
      </c>
      <c r="S28" t="s">
        <v>1984</v>
      </c>
      <c r="T28" s="175" t="s">
        <v>2378</v>
      </c>
      <c r="U28" t="s">
        <v>2379</v>
      </c>
      <c r="V28" t="s">
        <v>2380</v>
      </c>
      <c r="W28" t="s">
        <v>1417</v>
      </c>
      <c r="X28" s="175" t="s">
        <v>2381</v>
      </c>
      <c r="Y28" t="s">
        <v>2382</v>
      </c>
      <c r="Z28" t="s">
        <v>2121</v>
      </c>
      <c r="AA28" t="s">
        <v>36</v>
      </c>
      <c r="AB28">
        <v>25</v>
      </c>
      <c r="AC28" t="s">
        <v>2185</v>
      </c>
      <c r="AD28" t="s">
        <v>3042</v>
      </c>
      <c r="AE28" t="s">
        <v>3024</v>
      </c>
      <c r="AF28" t="s">
        <v>37</v>
      </c>
      <c r="AG28" t="s">
        <v>2250</v>
      </c>
      <c r="AH28" t="s">
        <v>2191</v>
      </c>
      <c r="AI28">
        <v>30</v>
      </c>
      <c r="AJ28">
        <v>20</v>
      </c>
      <c r="AK28">
        <v>15</v>
      </c>
      <c r="AL28">
        <v>10</v>
      </c>
      <c r="AM28" s="176">
        <v>503342817</v>
      </c>
      <c r="AN28" s="176">
        <v>2158729900</v>
      </c>
      <c r="AO28" s="176">
        <v>1700000000</v>
      </c>
      <c r="AP28" s="176">
        <v>200000000</v>
      </c>
      <c r="AQ28" s="176">
        <v>4562072717</v>
      </c>
      <c r="AR28" t="s">
        <v>26</v>
      </c>
      <c r="AS28" s="175">
        <v>7</v>
      </c>
    </row>
    <row r="29" spans="1:45" x14ac:dyDescent="0.25">
      <c r="A29">
        <v>2</v>
      </c>
      <c r="B29" t="s">
        <v>3255</v>
      </c>
      <c r="C29">
        <v>28</v>
      </c>
      <c r="D29" t="s">
        <v>19</v>
      </c>
      <c r="E29" t="s">
        <v>20</v>
      </c>
      <c r="F29" t="s">
        <v>2383</v>
      </c>
      <c r="G29" t="s">
        <v>179</v>
      </c>
      <c r="H29" t="s">
        <v>180</v>
      </c>
      <c r="I29" s="180">
        <v>0.90739999999999998</v>
      </c>
      <c r="J29">
        <v>2023</v>
      </c>
      <c r="K29" t="s">
        <v>162</v>
      </c>
      <c r="L29" t="s">
        <v>181</v>
      </c>
      <c r="M29" t="s">
        <v>25</v>
      </c>
      <c r="N29" t="s">
        <v>27</v>
      </c>
      <c r="O29" t="s">
        <v>26</v>
      </c>
      <c r="P29">
        <v>22</v>
      </c>
      <c r="Q29" t="s">
        <v>28</v>
      </c>
      <c r="R29" s="175" t="s">
        <v>29</v>
      </c>
      <c r="S29" t="s">
        <v>1984</v>
      </c>
      <c r="T29" s="175">
        <v>2201002</v>
      </c>
      <c r="U29" t="s">
        <v>2273</v>
      </c>
      <c r="V29" t="s">
        <v>190</v>
      </c>
      <c r="W29" t="s">
        <v>191</v>
      </c>
      <c r="X29" s="175">
        <v>220100200</v>
      </c>
      <c r="Y29" t="s">
        <v>192</v>
      </c>
      <c r="Z29" t="s">
        <v>3043</v>
      </c>
      <c r="AA29" t="s">
        <v>36</v>
      </c>
      <c r="AB29">
        <v>2</v>
      </c>
      <c r="AC29" t="s">
        <v>2185</v>
      </c>
      <c r="AD29" t="s">
        <v>3044</v>
      </c>
      <c r="AE29" t="s">
        <v>3024</v>
      </c>
      <c r="AF29" t="s">
        <v>37</v>
      </c>
      <c r="AG29" t="s">
        <v>2250</v>
      </c>
      <c r="AH29" t="s">
        <v>2191</v>
      </c>
      <c r="AI29">
        <v>6</v>
      </c>
      <c r="AJ29">
        <v>6</v>
      </c>
      <c r="AK29">
        <v>6</v>
      </c>
      <c r="AL29">
        <v>6</v>
      </c>
      <c r="AM29" s="176">
        <v>90000000</v>
      </c>
      <c r="AN29" s="176">
        <v>99000000</v>
      </c>
      <c r="AO29" s="176">
        <v>108900000</v>
      </c>
      <c r="AP29" s="176">
        <v>119790000</v>
      </c>
      <c r="AQ29" s="176">
        <v>417690000</v>
      </c>
      <c r="AR29" t="s">
        <v>26</v>
      </c>
      <c r="AS29" s="175">
        <v>7</v>
      </c>
    </row>
    <row r="30" spans="1:45" x14ac:dyDescent="0.25">
      <c r="A30">
        <v>2</v>
      </c>
      <c r="B30" t="s">
        <v>3255</v>
      </c>
      <c r="C30">
        <v>29</v>
      </c>
      <c r="D30" t="s">
        <v>19</v>
      </c>
      <c r="E30" t="s">
        <v>20</v>
      </c>
      <c r="F30" t="s">
        <v>2383</v>
      </c>
      <c r="G30" t="s">
        <v>179</v>
      </c>
      <c r="H30" t="s">
        <v>180</v>
      </c>
      <c r="I30" s="180">
        <v>0.90739999999999998</v>
      </c>
      <c r="J30">
        <v>2023</v>
      </c>
      <c r="K30" t="s">
        <v>162</v>
      </c>
      <c r="L30" t="s">
        <v>181</v>
      </c>
      <c r="M30" t="s">
        <v>25</v>
      </c>
      <c r="N30" t="s">
        <v>27</v>
      </c>
      <c r="O30" t="s">
        <v>26</v>
      </c>
      <c r="P30">
        <v>22</v>
      </c>
      <c r="Q30" t="s">
        <v>28</v>
      </c>
      <c r="R30" s="175">
        <v>2201</v>
      </c>
      <c r="S30" t="s">
        <v>1984</v>
      </c>
      <c r="T30" s="175" t="s">
        <v>194</v>
      </c>
      <c r="U30" t="s">
        <v>195</v>
      </c>
      <c r="V30" t="s">
        <v>196</v>
      </c>
      <c r="W30" t="s">
        <v>83</v>
      </c>
      <c r="X30" s="175" t="s">
        <v>197</v>
      </c>
      <c r="Y30" t="s">
        <v>198</v>
      </c>
      <c r="Z30" t="s">
        <v>3045</v>
      </c>
      <c r="AA30" t="s">
        <v>36</v>
      </c>
      <c r="AB30">
        <v>136</v>
      </c>
      <c r="AC30" t="s">
        <v>2185</v>
      </c>
      <c r="AD30" t="s">
        <v>3034</v>
      </c>
      <c r="AE30" t="s">
        <v>3024</v>
      </c>
      <c r="AF30" t="s">
        <v>37</v>
      </c>
      <c r="AG30" t="s">
        <v>2250</v>
      </c>
      <c r="AH30" t="s">
        <v>2191</v>
      </c>
      <c r="AI30">
        <v>136</v>
      </c>
      <c r="AJ30">
        <v>355</v>
      </c>
      <c r="AK30">
        <v>355</v>
      </c>
      <c r="AL30">
        <v>354</v>
      </c>
      <c r="AM30" s="176">
        <v>3117117967</v>
      </c>
      <c r="AN30" s="176" t="s">
        <v>2554</v>
      </c>
      <c r="AO30" s="176" t="s">
        <v>2555</v>
      </c>
      <c r="AP30" s="176" t="s">
        <v>2556</v>
      </c>
      <c r="AQ30" s="176" t="s">
        <v>2557</v>
      </c>
      <c r="AR30" t="s">
        <v>26</v>
      </c>
      <c r="AS30" s="175">
        <v>7</v>
      </c>
    </row>
    <row r="31" spans="1:45" x14ac:dyDescent="0.25">
      <c r="A31">
        <v>2</v>
      </c>
      <c r="B31" t="s">
        <v>3255</v>
      </c>
      <c r="C31">
        <v>30</v>
      </c>
      <c r="D31" t="s">
        <v>19</v>
      </c>
      <c r="E31" t="s">
        <v>20</v>
      </c>
      <c r="F31" t="s">
        <v>2383</v>
      </c>
      <c r="G31" t="s">
        <v>179</v>
      </c>
      <c r="H31" t="s">
        <v>180</v>
      </c>
      <c r="I31" s="180">
        <v>0.90739999999999998</v>
      </c>
      <c r="J31">
        <v>2023</v>
      </c>
      <c r="K31" t="s">
        <v>162</v>
      </c>
      <c r="L31" t="s">
        <v>181</v>
      </c>
      <c r="M31" t="s">
        <v>25</v>
      </c>
      <c r="N31" t="s">
        <v>27</v>
      </c>
      <c r="O31" t="s">
        <v>26</v>
      </c>
      <c r="P31">
        <v>22</v>
      </c>
      <c r="Q31" t="s">
        <v>28</v>
      </c>
      <c r="R31" s="175" t="s">
        <v>29</v>
      </c>
      <c r="S31" t="s">
        <v>1984</v>
      </c>
      <c r="T31" s="175" t="s">
        <v>200</v>
      </c>
      <c r="U31" t="s">
        <v>201</v>
      </c>
      <c r="V31" t="s">
        <v>202</v>
      </c>
      <c r="W31" t="s">
        <v>203</v>
      </c>
      <c r="X31" s="175">
        <v>220104900</v>
      </c>
      <c r="Y31" t="s">
        <v>204</v>
      </c>
      <c r="Z31" t="s">
        <v>1994</v>
      </c>
      <c r="AA31" t="s">
        <v>36</v>
      </c>
      <c r="AB31">
        <v>9531</v>
      </c>
      <c r="AC31" t="s">
        <v>2185</v>
      </c>
      <c r="AD31" t="s">
        <v>2261</v>
      </c>
      <c r="AE31" t="s">
        <v>2187</v>
      </c>
      <c r="AF31" t="s">
        <v>37</v>
      </c>
      <c r="AG31" t="s">
        <v>2250</v>
      </c>
      <c r="AH31" t="s">
        <v>2191</v>
      </c>
      <c r="AI31">
        <v>1250</v>
      </c>
      <c r="AJ31">
        <v>1250</v>
      </c>
      <c r="AK31">
        <v>1250</v>
      </c>
      <c r="AL31">
        <v>1250</v>
      </c>
      <c r="AM31" s="176">
        <v>1277014736</v>
      </c>
      <c r="AN31" s="176">
        <v>1351975498</v>
      </c>
      <c r="AO31" s="176">
        <v>1404026555</v>
      </c>
      <c r="AP31" s="176">
        <v>1458081578</v>
      </c>
      <c r="AQ31" s="176">
        <v>5491098367</v>
      </c>
      <c r="AR31" t="s">
        <v>26</v>
      </c>
      <c r="AS31" s="175">
        <v>7</v>
      </c>
    </row>
    <row r="32" spans="1:45" x14ac:dyDescent="0.25">
      <c r="A32">
        <v>2</v>
      </c>
      <c r="B32" t="s">
        <v>3255</v>
      </c>
      <c r="C32">
        <v>31</v>
      </c>
      <c r="D32" t="s">
        <v>19</v>
      </c>
      <c r="E32" t="s">
        <v>20</v>
      </c>
      <c r="F32" t="s">
        <v>2383</v>
      </c>
      <c r="G32" t="s">
        <v>205</v>
      </c>
      <c r="H32" t="s">
        <v>206</v>
      </c>
      <c r="I32" s="180">
        <v>4.2200000000000001E-2</v>
      </c>
      <c r="J32">
        <v>2023</v>
      </c>
      <c r="K32" t="s">
        <v>207</v>
      </c>
      <c r="L32" t="s">
        <v>215</v>
      </c>
      <c r="M32" t="s">
        <v>25</v>
      </c>
      <c r="N32" t="s">
        <v>27</v>
      </c>
      <c r="O32" t="s">
        <v>26</v>
      </c>
      <c r="P32">
        <v>22</v>
      </c>
      <c r="Q32" t="s">
        <v>28</v>
      </c>
      <c r="R32" s="175">
        <v>2201</v>
      </c>
      <c r="S32" t="s">
        <v>1984</v>
      </c>
      <c r="T32" s="175">
        <v>2201017</v>
      </c>
      <c r="U32" t="s">
        <v>164</v>
      </c>
      <c r="V32" t="s">
        <v>165</v>
      </c>
      <c r="W32" t="s">
        <v>166</v>
      </c>
      <c r="X32" s="175">
        <v>220101700</v>
      </c>
      <c r="Y32" t="s">
        <v>171</v>
      </c>
      <c r="Z32" t="s">
        <v>3046</v>
      </c>
      <c r="AA32" t="s">
        <v>36</v>
      </c>
      <c r="AB32">
        <v>13459</v>
      </c>
      <c r="AC32" t="s">
        <v>2185</v>
      </c>
      <c r="AD32" t="s">
        <v>3041</v>
      </c>
      <c r="AE32" t="s">
        <v>3024</v>
      </c>
      <c r="AF32" t="s">
        <v>37</v>
      </c>
      <c r="AG32" t="s">
        <v>2250</v>
      </c>
      <c r="AH32" t="s">
        <v>2191</v>
      </c>
      <c r="AI32">
        <v>150</v>
      </c>
      <c r="AJ32">
        <v>150</v>
      </c>
      <c r="AK32">
        <v>150</v>
      </c>
      <c r="AL32">
        <v>150</v>
      </c>
      <c r="AM32" s="176">
        <v>3495840000</v>
      </c>
      <c r="AN32" s="176">
        <v>3701045808</v>
      </c>
      <c r="AO32" s="176">
        <v>3808536072</v>
      </c>
      <c r="AP32" s="176">
        <v>4091512210</v>
      </c>
      <c r="AQ32" s="176">
        <v>15096934090</v>
      </c>
      <c r="AR32" t="s">
        <v>26</v>
      </c>
      <c r="AS32" s="175">
        <v>7</v>
      </c>
    </row>
    <row r="33" spans="1:45" x14ac:dyDescent="0.25">
      <c r="A33">
        <v>2</v>
      </c>
      <c r="B33" t="s">
        <v>3255</v>
      </c>
      <c r="C33">
        <v>32</v>
      </c>
      <c r="D33" t="s">
        <v>19</v>
      </c>
      <c r="E33" t="s">
        <v>20</v>
      </c>
      <c r="F33" t="s">
        <v>2383</v>
      </c>
      <c r="G33" t="s">
        <v>205</v>
      </c>
      <c r="H33" t="s">
        <v>206</v>
      </c>
      <c r="I33" s="180">
        <v>4.2200000000000001E-2</v>
      </c>
      <c r="J33">
        <v>2023</v>
      </c>
      <c r="K33" t="s">
        <v>209</v>
      </c>
      <c r="L33" t="s">
        <v>215</v>
      </c>
      <c r="M33" t="s">
        <v>25</v>
      </c>
      <c r="N33" t="s">
        <v>27</v>
      </c>
      <c r="O33" t="s">
        <v>26</v>
      </c>
      <c r="P33">
        <v>22</v>
      </c>
      <c r="Q33" t="s">
        <v>28</v>
      </c>
      <c r="R33" s="175">
        <v>2201</v>
      </c>
      <c r="S33" t="s">
        <v>1984</v>
      </c>
      <c r="T33" s="175">
        <v>2201082</v>
      </c>
      <c r="U33" t="s">
        <v>210</v>
      </c>
      <c r="V33" t="s">
        <v>211</v>
      </c>
      <c r="W33" t="s">
        <v>83</v>
      </c>
      <c r="X33" s="175">
        <v>220108200</v>
      </c>
      <c r="Y33" t="s">
        <v>212</v>
      </c>
      <c r="Z33" t="s">
        <v>213</v>
      </c>
      <c r="AA33" t="s">
        <v>36</v>
      </c>
      <c r="AB33">
        <v>22</v>
      </c>
      <c r="AC33" t="s">
        <v>2192</v>
      </c>
      <c r="AD33" t="s">
        <v>3041</v>
      </c>
      <c r="AE33" t="s">
        <v>3047</v>
      </c>
      <c r="AF33" t="s">
        <v>37</v>
      </c>
      <c r="AG33" t="s">
        <v>2250</v>
      </c>
      <c r="AH33" t="s">
        <v>2191</v>
      </c>
      <c r="AI33">
        <v>22</v>
      </c>
      <c r="AJ33">
        <v>22</v>
      </c>
      <c r="AK33">
        <v>22</v>
      </c>
      <c r="AL33">
        <v>22</v>
      </c>
      <c r="AM33" s="176">
        <v>916000000</v>
      </c>
      <c r="AN33" s="176">
        <v>969769200</v>
      </c>
      <c r="AO33" s="176">
        <v>1007105314</v>
      </c>
      <c r="AP33" s="176">
        <v>1045878868</v>
      </c>
      <c r="AQ33" s="176">
        <v>3938753382</v>
      </c>
      <c r="AR33" t="s">
        <v>26</v>
      </c>
      <c r="AS33" s="175">
        <v>7</v>
      </c>
    </row>
    <row r="34" spans="1:45" x14ac:dyDescent="0.25">
      <c r="A34">
        <v>2</v>
      </c>
      <c r="B34" t="s">
        <v>3255</v>
      </c>
      <c r="C34">
        <v>33</v>
      </c>
      <c r="D34" t="s">
        <v>19</v>
      </c>
      <c r="E34" t="s">
        <v>20</v>
      </c>
      <c r="F34" t="s">
        <v>2383</v>
      </c>
      <c r="G34" t="s">
        <v>205</v>
      </c>
      <c r="H34" t="s">
        <v>206</v>
      </c>
      <c r="I34" s="180">
        <v>4.2200000000000001E-2</v>
      </c>
      <c r="J34">
        <v>2023</v>
      </c>
      <c r="K34" t="s">
        <v>214</v>
      </c>
      <c r="L34" t="s">
        <v>215</v>
      </c>
      <c r="M34" t="s">
        <v>25</v>
      </c>
      <c r="N34" t="s">
        <v>27</v>
      </c>
      <c r="O34" t="s">
        <v>26</v>
      </c>
      <c r="P34">
        <v>22</v>
      </c>
      <c r="Q34" t="s">
        <v>28</v>
      </c>
      <c r="R34" s="175">
        <v>2201</v>
      </c>
      <c r="S34" t="s">
        <v>1984</v>
      </c>
      <c r="T34" s="175">
        <v>2201068</v>
      </c>
      <c r="U34" t="s">
        <v>216</v>
      </c>
      <c r="V34" t="s">
        <v>217</v>
      </c>
      <c r="W34" t="s">
        <v>218</v>
      </c>
      <c r="X34" s="175">
        <v>220106800</v>
      </c>
      <c r="Y34" t="s">
        <v>219</v>
      </c>
      <c r="Z34" t="s">
        <v>3048</v>
      </c>
      <c r="AA34" t="s">
        <v>36</v>
      </c>
      <c r="AB34">
        <v>554</v>
      </c>
      <c r="AC34" t="s">
        <v>2185</v>
      </c>
      <c r="AD34" t="s">
        <v>3041</v>
      </c>
      <c r="AE34" t="s">
        <v>3024</v>
      </c>
      <c r="AF34" t="s">
        <v>37</v>
      </c>
      <c r="AG34" t="s">
        <v>2250</v>
      </c>
      <c r="AH34" t="s">
        <v>2191</v>
      </c>
      <c r="AI34">
        <v>200</v>
      </c>
      <c r="AJ34">
        <v>354</v>
      </c>
      <c r="AK34">
        <v>0</v>
      </c>
      <c r="AL34">
        <v>0</v>
      </c>
      <c r="AM34" s="176">
        <v>875000000</v>
      </c>
      <c r="AN34" s="176">
        <v>400000000</v>
      </c>
      <c r="AO34" s="176">
        <v>0</v>
      </c>
      <c r="AP34" s="176">
        <v>0</v>
      </c>
      <c r="AQ34" s="176">
        <v>1275000000</v>
      </c>
      <c r="AR34" t="s">
        <v>26</v>
      </c>
      <c r="AS34" s="175">
        <v>7</v>
      </c>
    </row>
    <row r="35" spans="1:45" x14ac:dyDescent="0.25">
      <c r="A35">
        <v>2</v>
      </c>
      <c r="B35" t="s">
        <v>3255</v>
      </c>
      <c r="C35">
        <v>34</v>
      </c>
      <c r="D35" t="s">
        <v>19</v>
      </c>
      <c r="E35" t="s">
        <v>20</v>
      </c>
      <c r="F35" t="s">
        <v>2383</v>
      </c>
      <c r="G35" t="s">
        <v>205</v>
      </c>
      <c r="H35" t="s">
        <v>206</v>
      </c>
      <c r="I35" s="180">
        <v>4.2200000000000001E-2</v>
      </c>
      <c r="J35">
        <v>2023</v>
      </c>
      <c r="K35" t="s">
        <v>214</v>
      </c>
      <c r="L35" t="s">
        <v>1982</v>
      </c>
      <c r="M35" t="s">
        <v>25</v>
      </c>
      <c r="N35" t="s">
        <v>27</v>
      </c>
      <c r="O35" t="s">
        <v>26</v>
      </c>
      <c r="P35">
        <v>22</v>
      </c>
      <c r="Q35" t="s">
        <v>28</v>
      </c>
      <c r="R35" s="175">
        <v>2201</v>
      </c>
      <c r="S35" t="s">
        <v>1984</v>
      </c>
      <c r="T35" s="175">
        <v>2201055</v>
      </c>
      <c r="U35" t="s">
        <v>220</v>
      </c>
      <c r="V35" t="s">
        <v>221</v>
      </c>
      <c r="W35" t="s">
        <v>222</v>
      </c>
      <c r="X35" s="175">
        <v>220105500</v>
      </c>
      <c r="Y35" t="s">
        <v>223</v>
      </c>
      <c r="Z35" t="s">
        <v>2476</v>
      </c>
      <c r="AA35" t="s">
        <v>36</v>
      </c>
      <c r="AB35">
        <v>20</v>
      </c>
      <c r="AC35" t="s">
        <v>2185</v>
      </c>
      <c r="AD35" t="s">
        <v>2264</v>
      </c>
      <c r="AE35" t="s">
        <v>3033</v>
      </c>
      <c r="AF35" t="s">
        <v>37</v>
      </c>
      <c r="AG35" t="s">
        <v>2250</v>
      </c>
      <c r="AH35" t="s">
        <v>2191</v>
      </c>
      <c r="AI35">
        <v>5</v>
      </c>
      <c r="AJ35">
        <v>5</v>
      </c>
      <c r="AK35">
        <v>5</v>
      </c>
      <c r="AL35">
        <v>5</v>
      </c>
      <c r="AM35" s="176">
        <v>9517703</v>
      </c>
      <c r="AN35" s="176">
        <v>10076392</v>
      </c>
      <c r="AO35" s="176">
        <v>10464333</v>
      </c>
      <c r="AP35" s="176">
        <v>10867210</v>
      </c>
      <c r="AQ35" s="176">
        <v>40925638</v>
      </c>
      <c r="AR35" t="s">
        <v>26</v>
      </c>
      <c r="AS35" s="175">
        <v>7</v>
      </c>
    </row>
    <row r="36" spans="1:45" x14ac:dyDescent="0.25">
      <c r="A36">
        <v>2</v>
      </c>
      <c r="B36" t="s">
        <v>3255</v>
      </c>
      <c r="C36">
        <v>35</v>
      </c>
      <c r="D36" t="s">
        <v>19</v>
      </c>
      <c r="E36" t="s">
        <v>20</v>
      </c>
      <c r="F36" t="s">
        <v>2383</v>
      </c>
      <c r="G36" t="s">
        <v>205</v>
      </c>
      <c r="H36" t="s">
        <v>206</v>
      </c>
      <c r="I36" s="180">
        <v>4.2200000000000001E-2</v>
      </c>
      <c r="J36">
        <v>2023</v>
      </c>
      <c r="K36" t="s">
        <v>214</v>
      </c>
      <c r="L36" t="s">
        <v>1982</v>
      </c>
      <c r="M36" t="s">
        <v>25</v>
      </c>
      <c r="N36" t="s">
        <v>27</v>
      </c>
      <c r="O36" t="s">
        <v>26</v>
      </c>
      <c r="P36">
        <v>22</v>
      </c>
      <c r="Q36" t="s">
        <v>28</v>
      </c>
      <c r="R36" s="175">
        <v>2201</v>
      </c>
      <c r="S36" t="s">
        <v>1984</v>
      </c>
      <c r="T36" s="175">
        <v>2201079</v>
      </c>
      <c r="U36" t="s">
        <v>225</v>
      </c>
      <c r="V36" t="s">
        <v>2377</v>
      </c>
      <c r="W36" t="s">
        <v>46</v>
      </c>
      <c r="X36" s="175">
        <v>220107900</v>
      </c>
      <c r="Y36" t="s">
        <v>226</v>
      </c>
      <c r="Z36" t="s">
        <v>227</v>
      </c>
      <c r="AA36" t="s">
        <v>36</v>
      </c>
      <c r="AB36">
        <v>169297</v>
      </c>
      <c r="AC36" t="s">
        <v>2192</v>
      </c>
      <c r="AD36" t="s">
        <v>3041</v>
      </c>
      <c r="AE36" t="s">
        <v>3024</v>
      </c>
      <c r="AF36" t="s">
        <v>37</v>
      </c>
      <c r="AG36" t="s">
        <v>2250</v>
      </c>
      <c r="AH36" t="s">
        <v>2191</v>
      </c>
      <c r="AI36">
        <v>162635</v>
      </c>
      <c r="AJ36">
        <v>162635</v>
      </c>
      <c r="AK36">
        <v>162635</v>
      </c>
      <c r="AL36">
        <v>162635</v>
      </c>
      <c r="AM36" s="176">
        <v>119297311742</v>
      </c>
      <c r="AN36" s="176" t="s">
        <v>2558</v>
      </c>
      <c r="AO36" s="176" t="s">
        <v>2559</v>
      </c>
      <c r="AP36" s="176" t="s">
        <v>2560</v>
      </c>
      <c r="AQ36" s="176" t="s">
        <v>2561</v>
      </c>
      <c r="AR36" t="s">
        <v>26</v>
      </c>
      <c r="AS36" s="175">
        <v>7</v>
      </c>
    </row>
    <row r="37" spans="1:45" x14ac:dyDescent="0.25">
      <c r="A37">
        <v>2</v>
      </c>
      <c r="B37" t="s">
        <v>3255</v>
      </c>
      <c r="C37">
        <v>36</v>
      </c>
      <c r="D37" t="s">
        <v>19</v>
      </c>
      <c r="E37" t="s">
        <v>20</v>
      </c>
      <c r="F37" t="s">
        <v>2383</v>
      </c>
      <c r="G37" t="s">
        <v>228</v>
      </c>
      <c r="H37" t="s">
        <v>229</v>
      </c>
      <c r="I37" s="180">
        <v>6.6199999999999995E-2</v>
      </c>
      <c r="J37">
        <v>2023</v>
      </c>
      <c r="K37" t="s">
        <v>230</v>
      </c>
      <c r="L37" t="s">
        <v>231</v>
      </c>
      <c r="M37" t="s">
        <v>25</v>
      </c>
      <c r="N37" t="s">
        <v>27</v>
      </c>
      <c r="O37" t="s">
        <v>26</v>
      </c>
      <c r="P37">
        <v>22</v>
      </c>
      <c r="Q37" t="s">
        <v>28</v>
      </c>
      <c r="R37" s="175">
        <v>2201</v>
      </c>
      <c r="S37" t="s">
        <v>1984</v>
      </c>
      <c r="T37" s="175">
        <v>2201089</v>
      </c>
      <c r="U37" t="s">
        <v>232</v>
      </c>
      <c r="V37" t="s">
        <v>233</v>
      </c>
      <c r="W37" t="s">
        <v>234</v>
      </c>
      <c r="X37" s="175">
        <v>220108900</v>
      </c>
      <c r="Y37" t="s">
        <v>235</v>
      </c>
      <c r="Z37" t="s">
        <v>236</v>
      </c>
      <c r="AA37" t="s">
        <v>36</v>
      </c>
      <c r="AB37">
        <v>500</v>
      </c>
      <c r="AC37" t="s">
        <v>2192</v>
      </c>
      <c r="AD37" t="s">
        <v>2243</v>
      </c>
      <c r="AE37" t="s">
        <v>3024</v>
      </c>
      <c r="AF37" t="s">
        <v>37</v>
      </c>
      <c r="AG37" t="s">
        <v>2250</v>
      </c>
      <c r="AH37" t="s">
        <v>2191</v>
      </c>
      <c r="AI37">
        <v>500</v>
      </c>
      <c r="AJ37">
        <v>500</v>
      </c>
      <c r="AK37">
        <v>500</v>
      </c>
      <c r="AL37">
        <v>500</v>
      </c>
      <c r="AM37" s="176">
        <v>1150000000</v>
      </c>
      <c r="AN37" s="176">
        <v>1550263938</v>
      </c>
      <c r="AO37" s="176">
        <v>1609949099</v>
      </c>
      <c r="AP37" s="176">
        <v>1671932139</v>
      </c>
      <c r="AQ37" s="176">
        <v>5982145176</v>
      </c>
      <c r="AR37" t="s">
        <v>26</v>
      </c>
      <c r="AS37" s="175">
        <v>7</v>
      </c>
    </row>
    <row r="38" spans="1:45" x14ac:dyDescent="0.25">
      <c r="A38">
        <v>2</v>
      </c>
      <c r="B38" t="s">
        <v>3254</v>
      </c>
      <c r="C38">
        <v>37</v>
      </c>
      <c r="D38" t="s">
        <v>19</v>
      </c>
      <c r="E38" t="s">
        <v>20</v>
      </c>
      <c r="F38" t="s">
        <v>2383</v>
      </c>
      <c r="G38" t="s">
        <v>237</v>
      </c>
      <c r="H38" t="s">
        <v>238</v>
      </c>
      <c r="I38" s="180">
        <v>5.8099999999999999E-2</v>
      </c>
      <c r="J38">
        <v>2020</v>
      </c>
      <c r="K38" t="s">
        <v>239</v>
      </c>
      <c r="L38" t="s">
        <v>240</v>
      </c>
      <c r="M38" t="s">
        <v>25</v>
      </c>
      <c r="N38" t="s">
        <v>27</v>
      </c>
      <c r="O38" t="s">
        <v>26</v>
      </c>
      <c r="P38">
        <v>22</v>
      </c>
      <c r="Q38" t="s">
        <v>28</v>
      </c>
      <c r="R38" s="175" t="s">
        <v>29</v>
      </c>
      <c r="S38" t="s">
        <v>1984</v>
      </c>
      <c r="T38" s="175" t="s">
        <v>241</v>
      </c>
      <c r="U38" t="s">
        <v>242</v>
      </c>
      <c r="V38" t="s">
        <v>2359</v>
      </c>
      <c r="W38" t="s">
        <v>203</v>
      </c>
      <c r="X38" s="175">
        <v>220103000</v>
      </c>
      <c r="Y38" t="s">
        <v>249</v>
      </c>
      <c r="Z38" t="s">
        <v>2477</v>
      </c>
      <c r="AA38" t="s">
        <v>36</v>
      </c>
      <c r="AB38">
        <v>600</v>
      </c>
      <c r="AC38" t="s">
        <v>2185</v>
      </c>
      <c r="AD38" t="s">
        <v>3049</v>
      </c>
      <c r="AE38" t="s">
        <v>3033</v>
      </c>
      <c r="AF38" t="s">
        <v>37</v>
      </c>
      <c r="AG38" t="s">
        <v>2250</v>
      </c>
      <c r="AH38" t="s">
        <v>2191</v>
      </c>
      <c r="AI38">
        <v>300</v>
      </c>
      <c r="AJ38">
        <v>100</v>
      </c>
      <c r="AK38">
        <v>100</v>
      </c>
      <c r="AL38">
        <v>100</v>
      </c>
      <c r="AM38" s="176">
        <v>3989509856</v>
      </c>
      <c r="AN38" s="176" t="s">
        <v>2562</v>
      </c>
      <c r="AO38" s="176">
        <v>4511122722</v>
      </c>
      <c r="AP38" s="176" t="s">
        <v>2563</v>
      </c>
      <c r="AQ38" s="176" t="s">
        <v>2564</v>
      </c>
      <c r="AR38" t="s">
        <v>26</v>
      </c>
      <c r="AS38" s="175">
        <v>7</v>
      </c>
    </row>
    <row r="39" spans="1:45" x14ac:dyDescent="0.25">
      <c r="A39">
        <v>2</v>
      </c>
      <c r="B39" t="s">
        <v>3255</v>
      </c>
      <c r="C39">
        <v>38</v>
      </c>
      <c r="D39" t="s">
        <v>19</v>
      </c>
      <c r="E39" t="s">
        <v>20</v>
      </c>
      <c r="F39" t="s">
        <v>2383</v>
      </c>
      <c r="G39" t="s">
        <v>245</v>
      </c>
      <c r="H39" t="s">
        <v>2025</v>
      </c>
      <c r="I39" s="180">
        <v>8.2000000000000003E-2</v>
      </c>
      <c r="J39">
        <v>2022</v>
      </c>
      <c r="K39" t="s">
        <v>246</v>
      </c>
      <c r="L39" t="s">
        <v>3050</v>
      </c>
      <c r="M39" t="s">
        <v>36</v>
      </c>
      <c r="N39" t="s">
        <v>27</v>
      </c>
      <c r="O39" t="s">
        <v>26</v>
      </c>
      <c r="P39">
        <v>22</v>
      </c>
      <c r="Q39" t="s">
        <v>28</v>
      </c>
      <c r="R39" s="175" t="s">
        <v>29</v>
      </c>
      <c r="S39" t="s">
        <v>1984</v>
      </c>
      <c r="T39" s="175" t="s">
        <v>247</v>
      </c>
      <c r="U39" t="s">
        <v>248</v>
      </c>
      <c r="V39" t="s">
        <v>243</v>
      </c>
      <c r="W39" t="s">
        <v>119</v>
      </c>
      <c r="X39" s="175">
        <v>220103200</v>
      </c>
      <c r="Y39" t="s">
        <v>244</v>
      </c>
      <c r="Z39" t="s">
        <v>3051</v>
      </c>
      <c r="AA39" t="s">
        <v>36</v>
      </c>
      <c r="AB39">
        <v>12800</v>
      </c>
      <c r="AC39" t="s">
        <v>2185</v>
      </c>
      <c r="AD39" t="s">
        <v>3049</v>
      </c>
      <c r="AE39" t="s">
        <v>3033</v>
      </c>
      <c r="AF39" t="s">
        <v>37</v>
      </c>
      <c r="AG39" t="s">
        <v>2250</v>
      </c>
      <c r="AH39" t="s">
        <v>2191</v>
      </c>
      <c r="AI39">
        <v>3200</v>
      </c>
      <c r="AJ39">
        <v>3200</v>
      </c>
      <c r="AK39">
        <v>3200</v>
      </c>
      <c r="AL39">
        <v>3200</v>
      </c>
      <c r="AM39" s="176" t="s">
        <v>2565</v>
      </c>
      <c r="AN39" s="176">
        <v>68059437630</v>
      </c>
      <c r="AO39" s="176">
        <v>73422450412</v>
      </c>
      <c r="AP39" s="176">
        <v>79427154544</v>
      </c>
      <c r="AQ39" s="176" t="s">
        <v>2566</v>
      </c>
      <c r="AR39" t="s">
        <v>26</v>
      </c>
      <c r="AS39" s="175">
        <v>7</v>
      </c>
    </row>
    <row r="40" spans="1:45" x14ac:dyDescent="0.25">
      <c r="A40">
        <v>2</v>
      </c>
      <c r="B40" t="s">
        <v>3255</v>
      </c>
      <c r="C40">
        <v>39</v>
      </c>
      <c r="D40" t="s">
        <v>19</v>
      </c>
      <c r="E40" t="s">
        <v>20</v>
      </c>
      <c r="F40" t="s">
        <v>2383</v>
      </c>
      <c r="G40" t="s">
        <v>250</v>
      </c>
      <c r="H40" t="s">
        <v>251</v>
      </c>
      <c r="I40" s="180">
        <v>0.2233</v>
      </c>
      <c r="J40">
        <v>2023</v>
      </c>
      <c r="K40" t="s">
        <v>2016</v>
      </c>
      <c r="L40" t="s">
        <v>2015</v>
      </c>
      <c r="M40" t="s">
        <v>25</v>
      </c>
      <c r="N40" t="s">
        <v>27</v>
      </c>
      <c r="O40" t="s">
        <v>26</v>
      </c>
      <c r="P40">
        <v>22</v>
      </c>
      <c r="Q40" t="s">
        <v>28</v>
      </c>
      <c r="R40" s="175">
        <v>2201</v>
      </c>
      <c r="S40" t="s">
        <v>1984</v>
      </c>
      <c r="T40" s="175">
        <v>2201017</v>
      </c>
      <c r="U40" t="s">
        <v>164</v>
      </c>
      <c r="V40" t="s">
        <v>165</v>
      </c>
      <c r="W40" t="s">
        <v>166</v>
      </c>
      <c r="X40" s="175">
        <v>220101700</v>
      </c>
      <c r="Y40" t="s">
        <v>171</v>
      </c>
      <c r="Z40" t="s">
        <v>2479</v>
      </c>
      <c r="AA40" t="s">
        <v>36</v>
      </c>
      <c r="AB40">
        <v>46899</v>
      </c>
      <c r="AC40" t="s">
        <v>2185</v>
      </c>
      <c r="AD40" t="s">
        <v>3049</v>
      </c>
      <c r="AE40" t="s">
        <v>3024</v>
      </c>
      <c r="AF40" t="s">
        <v>37</v>
      </c>
      <c r="AG40" t="s">
        <v>2250</v>
      </c>
      <c r="AH40" t="s">
        <v>2191</v>
      </c>
      <c r="AI40">
        <v>23450</v>
      </c>
      <c r="AJ40">
        <v>23449</v>
      </c>
      <c r="AK40">
        <v>0</v>
      </c>
      <c r="AL40">
        <v>0</v>
      </c>
      <c r="AM40" s="176">
        <v>175000000</v>
      </c>
      <c r="AN40" s="176">
        <v>400000000</v>
      </c>
      <c r="AO40" s="176">
        <v>0</v>
      </c>
      <c r="AP40" s="176">
        <v>0</v>
      </c>
      <c r="AQ40" s="176">
        <v>575000000</v>
      </c>
      <c r="AR40" t="s">
        <v>26</v>
      </c>
      <c r="AS40" s="175">
        <v>7</v>
      </c>
    </row>
    <row r="41" spans="1:45" x14ac:dyDescent="0.25">
      <c r="A41">
        <v>2</v>
      </c>
      <c r="B41" t="s">
        <v>3255</v>
      </c>
      <c r="C41">
        <v>40</v>
      </c>
      <c r="D41" t="s">
        <v>19</v>
      </c>
      <c r="E41" t="s">
        <v>20</v>
      </c>
      <c r="F41" t="s">
        <v>2383</v>
      </c>
      <c r="G41" t="s">
        <v>252</v>
      </c>
      <c r="H41" t="s">
        <v>253</v>
      </c>
      <c r="I41" s="181">
        <v>0.85</v>
      </c>
      <c r="J41">
        <v>2023</v>
      </c>
      <c r="K41" t="s">
        <v>3052</v>
      </c>
      <c r="L41" t="s">
        <v>255</v>
      </c>
      <c r="M41" t="s">
        <v>256</v>
      </c>
      <c r="N41" t="s">
        <v>27</v>
      </c>
      <c r="O41" t="s">
        <v>26</v>
      </c>
      <c r="P41">
        <v>33</v>
      </c>
      <c r="Q41" t="s">
        <v>257</v>
      </c>
      <c r="R41" s="175">
        <v>3301</v>
      </c>
      <c r="S41" t="s">
        <v>258</v>
      </c>
      <c r="T41" s="175">
        <v>3301126</v>
      </c>
      <c r="U41" t="s">
        <v>259</v>
      </c>
      <c r="V41" t="s">
        <v>260</v>
      </c>
      <c r="W41" t="s">
        <v>261</v>
      </c>
      <c r="X41" s="175">
        <v>330112600</v>
      </c>
      <c r="Y41" t="s">
        <v>262</v>
      </c>
      <c r="Z41" t="s">
        <v>2137</v>
      </c>
      <c r="AA41" t="s">
        <v>36</v>
      </c>
      <c r="AB41">
        <v>0</v>
      </c>
      <c r="AC41" t="s">
        <v>2185</v>
      </c>
      <c r="AD41" t="s">
        <v>3053</v>
      </c>
      <c r="AE41" t="s">
        <v>3054</v>
      </c>
      <c r="AF41" t="s">
        <v>263</v>
      </c>
      <c r="AG41" t="s">
        <v>2250</v>
      </c>
      <c r="AH41" t="s">
        <v>2191</v>
      </c>
      <c r="AI41">
        <v>2</v>
      </c>
      <c r="AJ41">
        <v>2</v>
      </c>
      <c r="AK41">
        <v>2</v>
      </c>
      <c r="AL41">
        <v>1</v>
      </c>
      <c r="AM41" s="176">
        <v>292908500</v>
      </c>
      <c r="AN41" s="176">
        <v>838329355</v>
      </c>
      <c r="AO41" s="176" t="s">
        <v>2567</v>
      </c>
      <c r="AP41" s="176" t="s">
        <v>2568</v>
      </c>
      <c r="AQ41" s="176" t="s">
        <v>2569</v>
      </c>
      <c r="AR41" t="s">
        <v>26</v>
      </c>
      <c r="AS41" s="175">
        <v>7</v>
      </c>
    </row>
    <row r="42" spans="1:45" x14ac:dyDescent="0.25">
      <c r="A42">
        <v>2</v>
      </c>
      <c r="B42" t="s">
        <v>3255</v>
      </c>
      <c r="C42">
        <v>41</v>
      </c>
      <c r="D42" t="s">
        <v>19</v>
      </c>
      <c r="E42" t="s">
        <v>20</v>
      </c>
      <c r="F42" t="s">
        <v>2383</v>
      </c>
      <c r="G42" t="s">
        <v>252</v>
      </c>
      <c r="H42" t="s">
        <v>253</v>
      </c>
      <c r="I42" s="181">
        <v>0.85</v>
      </c>
      <c r="J42">
        <v>2023</v>
      </c>
      <c r="K42" t="s">
        <v>3052</v>
      </c>
      <c r="L42" t="s">
        <v>255</v>
      </c>
      <c r="M42" t="s">
        <v>256</v>
      </c>
      <c r="N42" t="s">
        <v>27</v>
      </c>
      <c r="O42" t="s">
        <v>26</v>
      </c>
      <c r="P42">
        <v>33</v>
      </c>
      <c r="Q42" t="s">
        <v>257</v>
      </c>
      <c r="R42" s="175">
        <v>3301</v>
      </c>
      <c r="S42" t="s">
        <v>258</v>
      </c>
      <c r="T42" s="175">
        <v>3301074</v>
      </c>
      <c r="U42" t="s">
        <v>266</v>
      </c>
      <c r="V42" t="s">
        <v>267</v>
      </c>
      <c r="W42" t="s">
        <v>268</v>
      </c>
      <c r="X42" s="175" t="s">
        <v>269</v>
      </c>
      <c r="Y42" t="s">
        <v>270</v>
      </c>
      <c r="Z42" t="s">
        <v>271</v>
      </c>
      <c r="AA42" t="s">
        <v>36</v>
      </c>
      <c r="AB42">
        <v>43</v>
      </c>
      <c r="AC42" t="s">
        <v>2185</v>
      </c>
      <c r="AD42" t="s">
        <v>3053</v>
      </c>
      <c r="AE42" t="s">
        <v>3055</v>
      </c>
      <c r="AF42" t="s">
        <v>263</v>
      </c>
      <c r="AG42" t="s">
        <v>2250</v>
      </c>
      <c r="AH42" t="s">
        <v>2191</v>
      </c>
      <c r="AI42">
        <v>9</v>
      </c>
      <c r="AJ42">
        <v>15</v>
      </c>
      <c r="AK42">
        <v>15</v>
      </c>
      <c r="AL42">
        <v>10</v>
      </c>
      <c r="AM42" s="176">
        <v>11500000</v>
      </c>
      <c r="AN42" s="176">
        <v>22145000</v>
      </c>
      <c r="AO42" s="176">
        <v>22809350</v>
      </c>
      <c r="AP42" s="176">
        <v>14730000</v>
      </c>
      <c r="AQ42" s="176">
        <v>71184350</v>
      </c>
      <c r="AR42" t="s">
        <v>26</v>
      </c>
      <c r="AS42" s="175">
        <v>7</v>
      </c>
    </row>
    <row r="43" spans="1:45" x14ac:dyDescent="0.25">
      <c r="A43">
        <v>2</v>
      </c>
      <c r="B43" t="s">
        <v>3255</v>
      </c>
      <c r="C43">
        <v>42</v>
      </c>
      <c r="D43" t="s">
        <v>19</v>
      </c>
      <c r="E43" t="s">
        <v>20</v>
      </c>
      <c r="F43" t="s">
        <v>2383</v>
      </c>
      <c r="G43" t="s">
        <v>252</v>
      </c>
      <c r="H43" t="s">
        <v>253</v>
      </c>
      <c r="I43" s="181">
        <v>0.85</v>
      </c>
      <c r="J43">
        <v>2023</v>
      </c>
      <c r="K43" t="s">
        <v>3052</v>
      </c>
      <c r="L43" t="s">
        <v>255</v>
      </c>
      <c r="M43" t="s">
        <v>256</v>
      </c>
      <c r="N43" t="s">
        <v>27</v>
      </c>
      <c r="O43" t="s">
        <v>26</v>
      </c>
      <c r="P43">
        <v>33</v>
      </c>
      <c r="Q43" t="s">
        <v>257</v>
      </c>
      <c r="R43" s="175">
        <v>3301</v>
      </c>
      <c r="S43" t="s">
        <v>258</v>
      </c>
      <c r="T43" s="175">
        <v>3301065</v>
      </c>
      <c r="U43" t="s">
        <v>272</v>
      </c>
      <c r="V43" t="s">
        <v>273</v>
      </c>
      <c r="W43" t="s">
        <v>203</v>
      </c>
      <c r="X43" s="175" t="s">
        <v>274</v>
      </c>
      <c r="Y43" t="s">
        <v>275</v>
      </c>
      <c r="Z43" t="s">
        <v>276</v>
      </c>
      <c r="AA43" t="s">
        <v>36</v>
      </c>
      <c r="AB43">
        <v>40</v>
      </c>
      <c r="AC43" t="s">
        <v>2185</v>
      </c>
      <c r="AD43" t="s">
        <v>3056</v>
      </c>
      <c r="AE43" t="s">
        <v>3054</v>
      </c>
      <c r="AF43" t="s">
        <v>263</v>
      </c>
      <c r="AG43" t="s">
        <v>2250</v>
      </c>
      <c r="AH43" t="s">
        <v>2191</v>
      </c>
      <c r="AI43">
        <v>14</v>
      </c>
      <c r="AJ43">
        <v>8</v>
      </c>
      <c r="AK43">
        <v>8</v>
      </c>
      <c r="AL43">
        <v>10</v>
      </c>
      <c r="AM43" s="176">
        <v>180000000</v>
      </c>
      <c r="AN43" s="176" t="s">
        <v>2570</v>
      </c>
      <c r="AO43" s="176" t="s">
        <v>2571</v>
      </c>
      <c r="AP43" s="176" t="s">
        <v>2572</v>
      </c>
      <c r="AQ43" s="176" t="s">
        <v>2573</v>
      </c>
      <c r="AR43" t="s">
        <v>26</v>
      </c>
      <c r="AS43" s="175">
        <v>7</v>
      </c>
    </row>
    <row r="44" spans="1:45" x14ac:dyDescent="0.25">
      <c r="A44">
        <v>2</v>
      </c>
      <c r="B44" t="s">
        <v>3255</v>
      </c>
      <c r="C44">
        <v>43</v>
      </c>
      <c r="D44" t="s">
        <v>19</v>
      </c>
      <c r="E44" t="s">
        <v>20</v>
      </c>
      <c r="F44" t="s">
        <v>2383</v>
      </c>
      <c r="G44" t="s">
        <v>252</v>
      </c>
      <c r="H44" t="s">
        <v>253</v>
      </c>
      <c r="I44" s="181">
        <v>0.85</v>
      </c>
      <c r="J44">
        <v>2023</v>
      </c>
      <c r="K44" t="s">
        <v>3052</v>
      </c>
      <c r="L44" t="s">
        <v>255</v>
      </c>
      <c r="M44" t="s">
        <v>256</v>
      </c>
      <c r="N44" t="s">
        <v>27</v>
      </c>
      <c r="O44" t="s">
        <v>26</v>
      </c>
      <c r="P44">
        <v>33</v>
      </c>
      <c r="Q44" t="s">
        <v>257</v>
      </c>
      <c r="R44" s="175">
        <v>3301</v>
      </c>
      <c r="S44" t="s">
        <v>258</v>
      </c>
      <c r="T44" s="175" t="s">
        <v>277</v>
      </c>
      <c r="U44" t="s">
        <v>278</v>
      </c>
      <c r="V44" t="s">
        <v>279</v>
      </c>
      <c r="W44" t="s">
        <v>280</v>
      </c>
      <c r="X44" s="175" t="s">
        <v>281</v>
      </c>
      <c r="Y44" t="s">
        <v>282</v>
      </c>
      <c r="Z44" t="s">
        <v>283</v>
      </c>
      <c r="AA44" t="s">
        <v>36</v>
      </c>
      <c r="AB44">
        <v>9</v>
      </c>
      <c r="AC44" t="s">
        <v>2185</v>
      </c>
      <c r="AD44" t="s">
        <v>3056</v>
      </c>
      <c r="AE44" t="s">
        <v>3055</v>
      </c>
      <c r="AF44" t="s">
        <v>263</v>
      </c>
      <c r="AG44" t="s">
        <v>2250</v>
      </c>
      <c r="AH44" t="s">
        <v>2191</v>
      </c>
      <c r="AI44">
        <v>3</v>
      </c>
      <c r="AJ44">
        <v>2</v>
      </c>
      <c r="AK44">
        <v>2</v>
      </c>
      <c r="AL44">
        <v>2</v>
      </c>
      <c r="AM44" s="176">
        <v>145000000</v>
      </c>
      <c r="AN44" s="176">
        <v>81500000</v>
      </c>
      <c r="AO44" s="176">
        <v>71241438</v>
      </c>
      <c r="AP44" s="176">
        <v>70830000</v>
      </c>
      <c r="AQ44" s="176">
        <v>368571438</v>
      </c>
      <c r="AR44" t="s">
        <v>26</v>
      </c>
      <c r="AS44" s="175">
        <v>7</v>
      </c>
    </row>
    <row r="45" spans="1:45" x14ac:dyDescent="0.25">
      <c r="A45">
        <v>2</v>
      </c>
      <c r="B45" t="s">
        <v>3255</v>
      </c>
      <c r="C45">
        <v>44</v>
      </c>
      <c r="D45" t="s">
        <v>19</v>
      </c>
      <c r="E45" t="s">
        <v>20</v>
      </c>
      <c r="F45" t="s">
        <v>2383</v>
      </c>
      <c r="G45" t="s">
        <v>252</v>
      </c>
      <c r="H45" t="s">
        <v>253</v>
      </c>
      <c r="I45" s="181">
        <v>0.85</v>
      </c>
      <c r="J45">
        <v>2023</v>
      </c>
      <c r="K45" t="s">
        <v>3052</v>
      </c>
      <c r="L45" t="s">
        <v>255</v>
      </c>
      <c r="M45" t="s">
        <v>256</v>
      </c>
      <c r="N45" t="s">
        <v>27</v>
      </c>
      <c r="O45" t="s">
        <v>26</v>
      </c>
      <c r="P45">
        <v>33</v>
      </c>
      <c r="Q45" t="s">
        <v>257</v>
      </c>
      <c r="R45" s="175">
        <v>3301</v>
      </c>
      <c r="S45" t="s">
        <v>258</v>
      </c>
      <c r="T45" s="175" t="s">
        <v>284</v>
      </c>
      <c r="U45" t="s">
        <v>285</v>
      </c>
      <c r="V45" t="s">
        <v>286</v>
      </c>
      <c r="W45" t="s">
        <v>287</v>
      </c>
      <c r="X45" s="175" t="s">
        <v>288</v>
      </c>
      <c r="Y45" t="s">
        <v>289</v>
      </c>
      <c r="Z45" t="s">
        <v>290</v>
      </c>
      <c r="AA45" t="s">
        <v>36</v>
      </c>
      <c r="AB45">
        <v>32</v>
      </c>
      <c r="AC45" t="s">
        <v>2185</v>
      </c>
      <c r="AD45" t="s">
        <v>3056</v>
      </c>
      <c r="AE45" t="s">
        <v>3057</v>
      </c>
      <c r="AF45" t="s">
        <v>263</v>
      </c>
      <c r="AG45" t="s">
        <v>2250</v>
      </c>
      <c r="AH45" t="s">
        <v>2191</v>
      </c>
      <c r="AI45">
        <v>8</v>
      </c>
      <c r="AJ45">
        <v>8</v>
      </c>
      <c r="AK45">
        <v>8</v>
      </c>
      <c r="AL45">
        <v>8</v>
      </c>
      <c r="AM45" s="176">
        <v>1248166534</v>
      </c>
      <c r="AN45" s="176" t="s">
        <v>2574</v>
      </c>
      <c r="AO45" s="176" t="s">
        <v>2575</v>
      </c>
      <c r="AP45" s="176">
        <v>1423261786</v>
      </c>
      <c r="AQ45" s="176" t="s">
        <v>2576</v>
      </c>
      <c r="AR45" t="s">
        <v>26</v>
      </c>
      <c r="AS45" s="175">
        <v>7</v>
      </c>
    </row>
    <row r="46" spans="1:45" x14ac:dyDescent="0.25">
      <c r="A46">
        <v>2</v>
      </c>
      <c r="B46" t="s">
        <v>3255</v>
      </c>
      <c r="C46">
        <v>45</v>
      </c>
      <c r="D46" t="s">
        <v>19</v>
      </c>
      <c r="E46" t="s">
        <v>20</v>
      </c>
      <c r="F46" t="s">
        <v>2383</v>
      </c>
      <c r="G46" t="s">
        <v>292</v>
      </c>
      <c r="H46" t="s">
        <v>2360</v>
      </c>
      <c r="I46" s="181">
        <v>0.85</v>
      </c>
      <c r="J46">
        <v>2023</v>
      </c>
      <c r="K46" t="s">
        <v>3052</v>
      </c>
      <c r="L46" t="s">
        <v>2347</v>
      </c>
      <c r="M46" t="s">
        <v>256</v>
      </c>
      <c r="N46" t="s">
        <v>27</v>
      </c>
      <c r="O46" t="s">
        <v>26</v>
      </c>
      <c r="P46">
        <v>33</v>
      </c>
      <c r="Q46" t="s">
        <v>257</v>
      </c>
      <c r="R46" s="175">
        <v>3301</v>
      </c>
      <c r="S46" t="s">
        <v>258</v>
      </c>
      <c r="T46" s="175" t="s">
        <v>293</v>
      </c>
      <c r="U46" t="s">
        <v>294</v>
      </c>
      <c r="V46" t="s">
        <v>3058</v>
      </c>
      <c r="W46" t="s">
        <v>203</v>
      </c>
      <c r="X46" s="175" t="s">
        <v>296</v>
      </c>
      <c r="Y46" t="s">
        <v>297</v>
      </c>
      <c r="Z46" t="s">
        <v>2352</v>
      </c>
      <c r="AA46" t="s">
        <v>36</v>
      </c>
      <c r="AB46">
        <v>1800</v>
      </c>
      <c r="AC46" t="s">
        <v>2185</v>
      </c>
      <c r="AD46" t="s">
        <v>3056</v>
      </c>
      <c r="AE46" t="s">
        <v>3057</v>
      </c>
      <c r="AF46" t="s">
        <v>263</v>
      </c>
      <c r="AG46" t="s">
        <v>2250</v>
      </c>
      <c r="AH46" t="s">
        <v>2191</v>
      </c>
      <c r="AI46">
        <v>300</v>
      </c>
      <c r="AJ46">
        <v>600</v>
      </c>
      <c r="AK46">
        <v>600</v>
      </c>
      <c r="AL46">
        <v>300</v>
      </c>
      <c r="AM46" s="176">
        <v>80000000</v>
      </c>
      <c r="AN46" s="176" t="s">
        <v>2577</v>
      </c>
      <c r="AO46" s="176">
        <v>146228173</v>
      </c>
      <c r="AP46" s="176">
        <v>91343132</v>
      </c>
      <c r="AQ46" s="176" t="s">
        <v>2578</v>
      </c>
      <c r="AR46" t="s">
        <v>26</v>
      </c>
      <c r="AS46" s="175">
        <v>7</v>
      </c>
    </row>
    <row r="47" spans="1:45" x14ac:dyDescent="0.25">
      <c r="A47">
        <v>2</v>
      </c>
      <c r="B47" t="s">
        <v>3255</v>
      </c>
      <c r="C47">
        <v>46</v>
      </c>
      <c r="D47" t="s">
        <v>19</v>
      </c>
      <c r="E47" t="s">
        <v>20</v>
      </c>
      <c r="F47" t="s">
        <v>2383</v>
      </c>
      <c r="G47" t="s">
        <v>252</v>
      </c>
      <c r="H47" t="s">
        <v>253</v>
      </c>
      <c r="I47" s="181">
        <v>0.85</v>
      </c>
      <c r="J47">
        <v>2023</v>
      </c>
      <c r="K47" t="s">
        <v>3052</v>
      </c>
      <c r="L47" t="s">
        <v>255</v>
      </c>
      <c r="M47" t="s">
        <v>256</v>
      </c>
      <c r="N47" t="s">
        <v>27</v>
      </c>
      <c r="O47" t="s">
        <v>26</v>
      </c>
      <c r="P47">
        <v>33</v>
      </c>
      <c r="Q47" t="s">
        <v>257</v>
      </c>
      <c r="R47" s="175">
        <v>3301</v>
      </c>
      <c r="S47" t="s">
        <v>258</v>
      </c>
      <c r="T47" s="175" t="s">
        <v>298</v>
      </c>
      <c r="U47" t="s">
        <v>299</v>
      </c>
      <c r="V47" t="s">
        <v>300</v>
      </c>
      <c r="W47" t="s">
        <v>301</v>
      </c>
      <c r="X47" s="175">
        <v>330109900</v>
      </c>
      <c r="Y47" t="s">
        <v>302</v>
      </c>
      <c r="Z47" t="s">
        <v>303</v>
      </c>
      <c r="AA47" t="s">
        <v>36</v>
      </c>
      <c r="AB47">
        <v>1</v>
      </c>
      <c r="AC47" t="s">
        <v>2185</v>
      </c>
      <c r="AD47" t="s">
        <v>3056</v>
      </c>
      <c r="AF47" t="s">
        <v>263</v>
      </c>
      <c r="AG47" t="s">
        <v>2250</v>
      </c>
      <c r="AH47" t="s">
        <v>2191</v>
      </c>
      <c r="AI47">
        <v>1</v>
      </c>
      <c r="AJ47">
        <v>0</v>
      </c>
      <c r="AK47">
        <v>0</v>
      </c>
      <c r="AL47">
        <v>0</v>
      </c>
      <c r="AM47" s="176">
        <v>100000000</v>
      </c>
      <c r="AN47" s="176">
        <v>0</v>
      </c>
      <c r="AO47" s="176">
        <v>0</v>
      </c>
      <c r="AP47" s="176">
        <v>0</v>
      </c>
      <c r="AQ47" s="176">
        <v>100000000</v>
      </c>
      <c r="AR47" t="s">
        <v>26</v>
      </c>
      <c r="AS47" s="175">
        <v>7</v>
      </c>
    </row>
    <row r="48" spans="1:45" x14ac:dyDescent="0.25">
      <c r="A48">
        <v>2</v>
      </c>
      <c r="B48" t="s">
        <v>3255</v>
      </c>
      <c r="C48">
        <v>47</v>
      </c>
      <c r="D48" t="s">
        <v>19</v>
      </c>
      <c r="E48" t="s">
        <v>20</v>
      </c>
      <c r="F48" t="s">
        <v>2383</v>
      </c>
      <c r="G48" t="s">
        <v>252</v>
      </c>
      <c r="H48" t="s">
        <v>253</v>
      </c>
      <c r="I48" s="181">
        <v>0.85</v>
      </c>
      <c r="J48">
        <v>2023</v>
      </c>
      <c r="K48" t="s">
        <v>3052</v>
      </c>
      <c r="L48" t="s">
        <v>255</v>
      </c>
      <c r="M48" t="s">
        <v>256</v>
      </c>
      <c r="N48" t="s">
        <v>27</v>
      </c>
      <c r="O48" t="s">
        <v>26</v>
      </c>
      <c r="P48">
        <v>33</v>
      </c>
      <c r="Q48" t="s">
        <v>257</v>
      </c>
      <c r="R48" s="175" t="s">
        <v>2390</v>
      </c>
      <c r="S48" t="s">
        <v>2391</v>
      </c>
      <c r="T48" s="175" t="s">
        <v>2392</v>
      </c>
      <c r="U48" t="s">
        <v>768</v>
      </c>
      <c r="V48" t="s">
        <v>1913</v>
      </c>
      <c r="W48" t="s">
        <v>500</v>
      </c>
      <c r="X48" s="175" t="s">
        <v>2393</v>
      </c>
      <c r="Y48" t="s">
        <v>1915</v>
      </c>
      <c r="Z48" t="s">
        <v>2138</v>
      </c>
      <c r="AA48" t="s">
        <v>36</v>
      </c>
      <c r="AB48" t="s">
        <v>2271</v>
      </c>
      <c r="AC48" t="s">
        <v>2185</v>
      </c>
      <c r="AD48" t="s">
        <v>3056</v>
      </c>
      <c r="AE48" t="s">
        <v>3057</v>
      </c>
      <c r="AF48" t="s">
        <v>263</v>
      </c>
      <c r="AG48" t="s">
        <v>2250</v>
      </c>
      <c r="AH48" t="s">
        <v>2191</v>
      </c>
      <c r="AI48">
        <v>0</v>
      </c>
      <c r="AJ48" t="s">
        <v>3195</v>
      </c>
      <c r="AK48" t="s">
        <v>3195</v>
      </c>
      <c r="AL48" t="s">
        <v>3196</v>
      </c>
      <c r="AM48" s="176">
        <v>0</v>
      </c>
      <c r="AN48" s="176">
        <v>200000000</v>
      </c>
      <c r="AO48" s="176">
        <v>200000000</v>
      </c>
      <c r="AP48" s="176">
        <v>200000000</v>
      </c>
      <c r="AQ48" s="176">
        <v>600000000</v>
      </c>
      <c r="AR48" t="s">
        <v>26</v>
      </c>
      <c r="AS48" s="175">
        <v>7</v>
      </c>
    </row>
    <row r="49" spans="1:45" x14ac:dyDescent="0.25">
      <c r="A49">
        <v>2</v>
      </c>
      <c r="B49" t="s">
        <v>3255</v>
      </c>
      <c r="C49">
        <v>48</v>
      </c>
      <c r="D49" t="s">
        <v>19</v>
      </c>
      <c r="E49" t="s">
        <v>20</v>
      </c>
      <c r="F49" t="s">
        <v>2383</v>
      </c>
      <c r="G49" t="s">
        <v>304</v>
      </c>
      <c r="H49" t="s">
        <v>2348</v>
      </c>
      <c r="I49" s="180">
        <v>0.91669999999999996</v>
      </c>
      <c r="J49">
        <v>2023</v>
      </c>
      <c r="K49" t="s">
        <v>305</v>
      </c>
      <c r="L49" t="s">
        <v>306</v>
      </c>
      <c r="M49" t="s">
        <v>256</v>
      </c>
      <c r="N49" t="s">
        <v>27</v>
      </c>
      <c r="O49" t="s">
        <v>26</v>
      </c>
      <c r="P49">
        <v>33</v>
      </c>
      <c r="Q49" t="s">
        <v>257</v>
      </c>
      <c r="R49" s="175" t="s">
        <v>307</v>
      </c>
      <c r="S49" t="s">
        <v>308</v>
      </c>
      <c r="T49" s="175" t="s">
        <v>309</v>
      </c>
      <c r="U49" t="s">
        <v>310</v>
      </c>
      <c r="V49" t="s">
        <v>311</v>
      </c>
      <c r="W49" t="s">
        <v>312</v>
      </c>
      <c r="X49" s="175">
        <v>330204900</v>
      </c>
      <c r="Y49" t="s">
        <v>313</v>
      </c>
      <c r="Z49" t="s">
        <v>2154</v>
      </c>
      <c r="AA49" t="s">
        <v>36</v>
      </c>
      <c r="AB49">
        <v>6</v>
      </c>
      <c r="AC49" t="s">
        <v>2185</v>
      </c>
      <c r="AD49" t="s">
        <v>3059</v>
      </c>
      <c r="AE49" t="s">
        <v>2272</v>
      </c>
      <c r="AF49" t="s">
        <v>263</v>
      </c>
      <c r="AG49" t="s">
        <v>2250</v>
      </c>
      <c r="AH49" t="s">
        <v>2191</v>
      </c>
      <c r="AI49">
        <v>6</v>
      </c>
      <c r="AJ49">
        <v>3</v>
      </c>
      <c r="AK49">
        <v>3</v>
      </c>
      <c r="AL49">
        <v>3</v>
      </c>
      <c r="AM49" s="176">
        <v>320753824</v>
      </c>
      <c r="AN49" s="176" t="s">
        <v>2579</v>
      </c>
      <c r="AO49" s="176" t="s">
        <v>2580</v>
      </c>
      <c r="AP49" s="176" t="s">
        <v>2581</v>
      </c>
      <c r="AQ49" s="176" t="s">
        <v>2582</v>
      </c>
      <c r="AR49" t="s">
        <v>26</v>
      </c>
      <c r="AS49" s="175">
        <v>7</v>
      </c>
    </row>
    <row r="50" spans="1:45" x14ac:dyDescent="0.25">
      <c r="A50">
        <v>2</v>
      </c>
      <c r="B50" t="s">
        <v>3255</v>
      </c>
      <c r="C50">
        <v>49</v>
      </c>
      <c r="D50" t="s">
        <v>630</v>
      </c>
      <c r="E50" t="s">
        <v>314</v>
      </c>
      <c r="F50" t="s">
        <v>2385</v>
      </c>
      <c r="G50" t="s">
        <v>315</v>
      </c>
      <c r="H50" t="s">
        <v>316</v>
      </c>
      <c r="I50" s="182"/>
      <c r="J50">
        <v>2023</v>
      </c>
      <c r="K50" t="s">
        <v>317</v>
      </c>
      <c r="L50" t="s">
        <v>1014</v>
      </c>
      <c r="M50" t="s">
        <v>25</v>
      </c>
      <c r="O50" t="s">
        <v>318</v>
      </c>
      <c r="P50">
        <v>35</v>
      </c>
      <c r="Q50" t="s">
        <v>319</v>
      </c>
      <c r="R50" s="175">
        <v>3502</v>
      </c>
      <c r="S50" t="s">
        <v>320</v>
      </c>
      <c r="T50" s="175" t="s">
        <v>321</v>
      </c>
      <c r="U50" t="s">
        <v>322</v>
      </c>
      <c r="V50" t="s">
        <v>323</v>
      </c>
      <c r="W50" t="s">
        <v>324</v>
      </c>
      <c r="X50" s="175" t="s">
        <v>325</v>
      </c>
      <c r="Y50" t="s">
        <v>326</v>
      </c>
      <c r="Z50" t="s">
        <v>327</v>
      </c>
      <c r="AA50" t="s">
        <v>36</v>
      </c>
      <c r="AB50">
        <v>1</v>
      </c>
      <c r="AC50" t="s">
        <v>2185</v>
      </c>
      <c r="AD50" t="s">
        <v>3056</v>
      </c>
      <c r="AE50" t="s">
        <v>3055</v>
      </c>
      <c r="AF50" t="s">
        <v>263</v>
      </c>
      <c r="AG50" t="s">
        <v>2250</v>
      </c>
      <c r="AH50" t="s">
        <v>2191</v>
      </c>
      <c r="AI50">
        <v>1</v>
      </c>
      <c r="AJ50">
        <v>1</v>
      </c>
      <c r="AK50">
        <v>1</v>
      </c>
      <c r="AL50">
        <v>1</v>
      </c>
      <c r="AM50" s="176">
        <v>15000000</v>
      </c>
      <c r="AN50" s="176">
        <v>15450000</v>
      </c>
      <c r="AO50" s="176">
        <v>16350000</v>
      </c>
      <c r="AP50" s="176">
        <v>17713500</v>
      </c>
      <c r="AQ50" s="176">
        <v>64513500</v>
      </c>
      <c r="AR50" t="s">
        <v>26</v>
      </c>
      <c r="AS50" s="175">
        <v>7</v>
      </c>
    </row>
    <row r="51" spans="1:45" x14ac:dyDescent="0.25">
      <c r="A51">
        <v>2</v>
      </c>
      <c r="B51" t="s">
        <v>3255</v>
      </c>
      <c r="C51">
        <v>50</v>
      </c>
      <c r="D51" t="s">
        <v>630</v>
      </c>
      <c r="E51" t="s">
        <v>314</v>
      </c>
      <c r="F51" t="s">
        <v>2385</v>
      </c>
      <c r="G51" t="s">
        <v>315</v>
      </c>
      <c r="H51" t="s">
        <v>316</v>
      </c>
      <c r="I51" s="182"/>
      <c r="J51">
        <v>2023</v>
      </c>
      <c r="K51" t="s">
        <v>317</v>
      </c>
      <c r="L51" t="s">
        <v>1014</v>
      </c>
      <c r="M51" t="s">
        <v>25</v>
      </c>
      <c r="O51" t="s">
        <v>318</v>
      </c>
      <c r="P51">
        <v>35</v>
      </c>
      <c r="Q51" t="s">
        <v>319</v>
      </c>
      <c r="R51" s="175">
        <v>3502</v>
      </c>
      <c r="S51" t="s">
        <v>320</v>
      </c>
      <c r="T51" s="175">
        <v>3502019</v>
      </c>
      <c r="U51" t="s">
        <v>329</v>
      </c>
      <c r="V51" t="s">
        <v>330</v>
      </c>
      <c r="W51" t="s">
        <v>203</v>
      </c>
      <c r="X51" s="175">
        <v>350201900</v>
      </c>
      <c r="Y51" t="s">
        <v>331</v>
      </c>
      <c r="Z51" t="s">
        <v>332</v>
      </c>
      <c r="AA51" t="s">
        <v>36</v>
      </c>
      <c r="AB51">
        <v>320</v>
      </c>
      <c r="AC51" t="s">
        <v>2185</v>
      </c>
      <c r="AD51" t="s">
        <v>3059</v>
      </c>
      <c r="AE51" t="s">
        <v>3055</v>
      </c>
      <c r="AF51" t="s">
        <v>263</v>
      </c>
      <c r="AG51" t="s">
        <v>2250</v>
      </c>
      <c r="AH51" t="s">
        <v>2191</v>
      </c>
      <c r="AI51">
        <v>60</v>
      </c>
      <c r="AJ51">
        <v>100</v>
      </c>
      <c r="AK51">
        <v>90</v>
      </c>
      <c r="AL51">
        <v>70</v>
      </c>
      <c r="AM51" s="176">
        <v>42000000</v>
      </c>
      <c r="AN51" s="176">
        <v>64890000</v>
      </c>
      <c r="AO51" s="176">
        <v>68670000</v>
      </c>
      <c r="AP51" s="176">
        <v>57680000</v>
      </c>
      <c r="AQ51" s="176">
        <v>233240000</v>
      </c>
      <c r="AR51" t="s">
        <v>26</v>
      </c>
      <c r="AS51" s="175">
        <v>7</v>
      </c>
    </row>
    <row r="52" spans="1:45" x14ac:dyDescent="0.25">
      <c r="A52">
        <v>2</v>
      </c>
      <c r="B52" t="s">
        <v>3255</v>
      </c>
      <c r="C52">
        <v>51</v>
      </c>
      <c r="D52" t="s">
        <v>19</v>
      </c>
      <c r="E52" t="s">
        <v>20</v>
      </c>
      <c r="F52" t="s">
        <v>2385</v>
      </c>
      <c r="G52" t="s">
        <v>333</v>
      </c>
      <c r="H52" t="s">
        <v>334</v>
      </c>
      <c r="I52" s="181" t="s">
        <v>335</v>
      </c>
      <c r="J52">
        <v>2023</v>
      </c>
      <c r="K52" t="s">
        <v>336</v>
      </c>
      <c r="L52" t="s">
        <v>337</v>
      </c>
      <c r="M52" t="s">
        <v>25</v>
      </c>
      <c r="O52" t="s">
        <v>338</v>
      </c>
      <c r="P52">
        <v>19</v>
      </c>
      <c r="Q52" t="s">
        <v>339</v>
      </c>
      <c r="R52" s="175" t="s">
        <v>340</v>
      </c>
      <c r="S52" t="s">
        <v>341</v>
      </c>
      <c r="T52" s="175" t="s">
        <v>342</v>
      </c>
      <c r="U52" t="s">
        <v>343</v>
      </c>
      <c r="V52" t="s">
        <v>344</v>
      </c>
      <c r="W52" t="s">
        <v>203</v>
      </c>
      <c r="X52" s="175" t="s">
        <v>345</v>
      </c>
      <c r="Y52" t="s">
        <v>346</v>
      </c>
      <c r="Z52" t="s">
        <v>347</v>
      </c>
      <c r="AA52" t="s">
        <v>36</v>
      </c>
      <c r="AB52">
        <v>6100</v>
      </c>
      <c r="AC52" t="s">
        <v>2185</v>
      </c>
      <c r="AF52" t="s">
        <v>348</v>
      </c>
      <c r="AG52" t="s">
        <v>2188</v>
      </c>
      <c r="AH52" t="s">
        <v>2187</v>
      </c>
      <c r="AI52">
        <v>2275</v>
      </c>
      <c r="AJ52">
        <v>2275</v>
      </c>
      <c r="AK52">
        <v>2275</v>
      </c>
      <c r="AL52">
        <v>2275</v>
      </c>
      <c r="AM52" s="176">
        <v>260400000</v>
      </c>
      <c r="AN52" s="176">
        <v>275633400</v>
      </c>
      <c r="AO52" s="176" t="s">
        <v>2583</v>
      </c>
      <c r="AP52" s="176" t="s">
        <v>2584</v>
      </c>
      <c r="AQ52" s="176" t="s">
        <v>2585</v>
      </c>
      <c r="AR52" t="s">
        <v>338</v>
      </c>
      <c r="AS52" s="175">
        <v>12</v>
      </c>
    </row>
    <row r="53" spans="1:45" x14ac:dyDescent="0.25">
      <c r="A53">
        <v>2</v>
      </c>
      <c r="B53" t="s">
        <v>3255</v>
      </c>
      <c r="C53">
        <v>52</v>
      </c>
      <c r="D53" t="s">
        <v>19</v>
      </c>
      <c r="E53" t="s">
        <v>20</v>
      </c>
      <c r="F53" t="s">
        <v>2385</v>
      </c>
      <c r="G53" t="s">
        <v>349</v>
      </c>
      <c r="H53" t="s">
        <v>350</v>
      </c>
      <c r="I53" s="183" t="s">
        <v>3060</v>
      </c>
      <c r="J53">
        <v>2023</v>
      </c>
      <c r="K53" t="s">
        <v>336</v>
      </c>
      <c r="L53" t="s">
        <v>3061</v>
      </c>
      <c r="M53" t="s">
        <v>25</v>
      </c>
      <c r="N53" t="s">
        <v>27</v>
      </c>
      <c r="O53" t="s">
        <v>338</v>
      </c>
      <c r="P53">
        <v>19</v>
      </c>
      <c r="Q53" t="s">
        <v>339</v>
      </c>
      <c r="R53" s="175" t="s">
        <v>353</v>
      </c>
      <c r="S53" t="s">
        <v>354</v>
      </c>
      <c r="T53" s="175" t="s">
        <v>355</v>
      </c>
      <c r="U53" t="s">
        <v>356</v>
      </c>
      <c r="V53" t="s">
        <v>357</v>
      </c>
      <c r="W53" t="s">
        <v>358</v>
      </c>
      <c r="X53" s="175" t="s">
        <v>359</v>
      </c>
      <c r="Y53" t="s">
        <v>360</v>
      </c>
      <c r="Z53" t="s">
        <v>361</v>
      </c>
      <c r="AA53" t="s">
        <v>36</v>
      </c>
      <c r="AB53">
        <v>16</v>
      </c>
      <c r="AC53" t="s">
        <v>2192</v>
      </c>
      <c r="AD53" t="s">
        <v>3062</v>
      </c>
      <c r="AE53" t="s">
        <v>2224</v>
      </c>
      <c r="AF53" t="s">
        <v>348</v>
      </c>
      <c r="AG53" t="s">
        <v>2188</v>
      </c>
      <c r="AH53" t="s">
        <v>2187</v>
      </c>
      <c r="AI53">
        <v>16</v>
      </c>
      <c r="AJ53">
        <v>16</v>
      </c>
      <c r="AK53">
        <v>16</v>
      </c>
      <c r="AL53">
        <v>16</v>
      </c>
      <c r="AM53" s="176">
        <v>813206282</v>
      </c>
      <c r="AN53" s="176" t="s">
        <v>2586</v>
      </c>
      <c r="AO53" s="176" t="s">
        <v>2587</v>
      </c>
      <c r="AP53" s="176" t="s">
        <v>2588</v>
      </c>
      <c r="AQ53" s="176">
        <v>3549555319</v>
      </c>
      <c r="AR53" t="s">
        <v>338</v>
      </c>
      <c r="AS53" s="175">
        <v>12</v>
      </c>
    </row>
    <row r="54" spans="1:45" x14ac:dyDescent="0.25">
      <c r="A54">
        <v>2</v>
      </c>
      <c r="B54" t="s">
        <v>3255</v>
      </c>
      <c r="C54">
        <v>53</v>
      </c>
      <c r="D54" t="s">
        <v>19</v>
      </c>
      <c r="E54" t="s">
        <v>20</v>
      </c>
      <c r="F54" t="s">
        <v>2385</v>
      </c>
      <c r="G54" t="s">
        <v>362</v>
      </c>
      <c r="H54" t="s">
        <v>363</v>
      </c>
      <c r="I54" s="183">
        <v>54.6</v>
      </c>
      <c r="J54">
        <v>2022</v>
      </c>
      <c r="K54" t="s">
        <v>336</v>
      </c>
      <c r="L54" t="s">
        <v>3063</v>
      </c>
      <c r="M54" t="s">
        <v>365</v>
      </c>
      <c r="N54" t="s">
        <v>27</v>
      </c>
      <c r="O54" t="s">
        <v>338</v>
      </c>
      <c r="P54">
        <v>19</v>
      </c>
      <c r="Q54" t="s">
        <v>339</v>
      </c>
      <c r="R54" s="175" t="s">
        <v>353</v>
      </c>
      <c r="S54" t="s">
        <v>354</v>
      </c>
      <c r="T54" s="175" t="s">
        <v>366</v>
      </c>
      <c r="U54" t="s">
        <v>367</v>
      </c>
      <c r="V54" t="s">
        <v>368</v>
      </c>
      <c r="W54" t="s">
        <v>369</v>
      </c>
      <c r="X54" s="175">
        <v>190505403</v>
      </c>
      <c r="Y54" t="s">
        <v>2017</v>
      </c>
      <c r="Z54" t="s">
        <v>370</v>
      </c>
      <c r="AA54" t="s">
        <v>36</v>
      </c>
      <c r="AB54">
        <v>1</v>
      </c>
      <c r="AC54" t="s">
        <v>2185</v>
      </c>
      <c r="AD54" t="s">
        <v>3062</v>
      </c>
      <c r="AE54" t="s">
        <v>3064</v>
      </c>
      <c r="AF54" t="s">
        <v>348</v>
      </c>
      <c r="AG54" t="s">
        <v>2188</v>
      </c>
      <c r="AH54" t="s">
        <v>2187</v>
      </c>
      <c r="AI54" t="s">
        <v>3197</v>
      </c>
      <c r="AJ54" t="s">
        <v>3197</v>
      </c>
      <c r="AK54" t="s">
        <v>3197</v>
      </c>
      <c r="AL54" t="s">
        <v>3197</v>
      </c>
      <c r="AM54" s="176">
        <v>1379840409</v>
      </c>
      <c r="AN54" s="176" t="s">
        <v>2589</v>
      </c>
      <c r="AO54" s="176" t="s">
        <v>2590</v>
      </c>
      <c r="AP54" s="176" t="s">
        <v>2591</v>
      </c>
      <c r="AQ54" s="176" t="s">
        <v>2592</v>
      </c>
      <c r="AR54" t="s">
        <v>338</v>
      </c>
      <c r="AS54" s="175">
        <v>12</v>
      </c>
    </row>
    <row r="55" spans="1:45" x14ac:dyDescent="0.25">
      <c r="A55">
        <v>2</v>
      </c>
      <c r="B55" t="s">
        <v>3255</v>
      </c>
      <c r="C55">
        <v>54</v>
      </c>
      <c r="D55" t="s">
        <v>19</v>
      </c>
      <c r="E55" t="s">
        <v>20</v>
      </c>
      <c r="F55" t="s">
        <v>2385</v>
      </c>
      <c r="G55" t="s">
        <v>371</v>
      </c>
      <c r="H55" t="s">
        <v>372</v>
      </c>
      <c r="I55" s="184">
        <v>13.65</v>
      </c>
      <c r="J55">
        <v>2021</v>
      </c>
      <c r="K55" t="s">
        <v>373</v>
      </c>
      <c r="L55" t="s">
        <v>374</v>
      </c>
      <c r="M55" t="s">
        <v>365</v>
      </c>
      <c r="N55" t="s">
        <v>27</v>
      </c>
      <c r="O55" t="s">
        <v>338</v>
      </c>
      <c r="P55">
        <v>19</v>
      </c>
      <c r="Q55" t="s">
        <v>339</v>
      </c>
      <c r="R55" s="175" t="s">
        <v>353</v>
      </c>
      <c r="S55" t="s">
        <v>354</v>
      </c>
      <c r="T55" s="175" t="s">
        <v>366</v>
      </c>
      <c r="U55" t="s">
        <v>367</v>
      </c>
      <c r="V55" t="s">
        <v>368</v>
      </c>
      <c r="W55" t="s">
        <v>369</v>
      </c>
      <c r="X55" s="175" t="s">
        <v>375</v>
      </c>
      <c r="Y55" t="s">
        <v>376</v>
      </c>
      <c r="Z55" t="s">
        <v>2018</v>
      </c>
      <c r="AA55" t="s">
        <v>36</v>
      </c>
      <c r="AB55">
        <v>42</v>
      </c>
      <c r="AC55" t="s">
        <v>2185</v>
      </c>
      <c r="AD55" t="s">
        <v>3062</v>
      </c>
      <c r="AE55" t="s">
        <v>2224</v>
      </c>
      <c r="AF55" t="s">
        <v>348</v>
      </c>
      <c r="AG55" t="s">
        <v>2188</v>
      </c>
      <c r="AH55" t="s">
        <v>2187</v>
      </c>
      <c r="AI55">
        <v>6</v>
      </c>
      <c r="AJ55">
        <v>12</v>
      </c>
      <c r="AK55">
        <v>12</v>
      </c>
      <c r="AL55">
        <v>12</v>
      </c>
      <c r="AM55" s="176">
        <v>216825635</v>
      </c>
      <c r="AN55" s="176" t="s">
        <v>2593</v>
      </c>
      <c r="AO55" s="176" t="s">
        <v>2594</v>
      </c>
      <c r="AP55" s="176" t="s">
        <v>2595</v>
      </c>
      <c r="AQ55" s="176" t="s">
        <v>2596</v>
      </c>
      <c r="AR55" t="s">
        <v>338</v>
      </c>
      <c r="AS55" s="175">
        <v>12</v>
      </c>
    </row>
    <row r="56" spans="1:45" x14ac:dyDescent="0.25">
      <c r="A56">
        <v>2</v>
      </c>
      <c r="B56" t="s">
        <v>3255</v>
      </c>
      <c r="C56">
        <v>55</v>
      </c>
      <c r="D56" t="s">
        <v>19</v>
      </c>
      <c r="E56" t="s">
        <v>20</v>
      </c>
      <c r="F56" t="s">
        <v>2385</v>
      </c>
      <c r="G56" t="s">
        <v>371</v>
      </c>
      <c r="H56" t="s">
        <v>372</v>
      </c>
      <c r="I56" s="184">
        <v>13.65</v>
      </c>
      <c r="J56">
        <v>2021</v>
      </c>
      <c r="K56" t="s">
        <v>373</v>
      </c>
      <c r="L56" t="s">
        <v>374</v>
      </c>
      <c r="M56" t="s">
        <v>365</v>
      </c>
      <c r="N56" t="s">
        <v>27</v>
      </c>
      <c r="O56" t="s">
        <v>338</v>
      </c>
      <c r="P56">
        <v>19</v>
      </c>
      <c r="Q56" t="s">
        <v>339</v>
      </c>
      <c r="R56" s="175" t="s">
        <v>353</v>
      </c>
      <c r="S56" t="s">
        <v>354</v>
      </c>
      <c r="T56" s="175" t="s">
        <v>377</v>
      </c>
      <c r="U56" t="s">
        <v>232</v>
      </c>
      <c r="V56" t="s">
        <v>378</v>
      </c>
      <c r="W56" t="s">
        <v>234</v>
      </c>
      <c r="X56" s="175" t="s">
        <v>379</v>
      </c>
      <c r="Y56" t="s">
        <v>380</v>
      </c>
      <c r="Z56" t="s">
        <v>381</v>
      </c>
      <c r="AA56" t="s">
        <v>36</v>
      </c>
      <c r="AB56">
        <v>42</v>
      </c>
      <c r="AC56" t="s">
        <v>2185</v>
      </c>
      <c r="AD56" t="s">
        <v>3062</v>
      </c>
      <c r="AE56" t="s">
        <v>3065</v>
      </c>
      <c r="AF56" t="s">
        <v>348</v>
      </c>
      <c r="AG56" t="s">
        <v>2188</v>
      </c>
      <c r="AH56" t="s">
        <v>2187</v>
      </c>
      <c r="AI56">
        <v>6</v>
      </c>
      <c r="AJ56">
        <v>12</v>
      </c>
      <c r="AK56">
        <v>12</v>
      </c>
      <c r="AL56">
        <v>12</v>
      </c>
      <c r="AM56" s="176">
        <v>191878173</v>
      </c>
      <c r="AN56" s="176" t="s">
        <v>2597</v>
      </c>
      <c r="AO56" s="176" t="s">
        <v>2598</v>
      </c>
      <c r="AP56" s="176" t="s">
        <v>2599</v>
      </c>
      <c r="AQ56" s="176" t="s">
        <v>2600</v>
      </c>
      <c r="AR56" t="s">
        <v>338</v>
      </c>
      <c r="AS56" s="175">
        <v>12</v>
      </c>
    </row>
    <row r="57" spans="1:45" x14ac:dyDescent="0.25">
      <c r="A57">
        <v>2</v>
      </c>
      <c r="B57" t="s">
        <v>3255</v>
      </c>
      <c r="C57">
        <v>56</v>
      </c>
      <c r="D57" t="s">
        <v>19</v>
      </c>
      <c r="E57" t="s">
        <v>20</v>
      </c>
      <c r="F57" t="s">
        <v>2385</v>
      </c>
      <c r="G57" t="s">
        <v>382</v>
      </c>
      <c r="H57" t="s">
        <v>2493</v>
      </c>
      <c r="I57" s="184">
        <v>0</v>
      </c>
      <c r="J57">
        <v>2023</v>
      </c>
      <c r="K57" t="s">
        <v>383</v>
      </c>
      <c r="L57" t="s">
        <v>384</v>
      </c>
      <c r="M57" t="s">
        <v>25</v>
      </c>
      <c r="N57" t="s">
        <v>27</v>
      </c>
      <c r="O57" t="s">
        <v>338</v>
      </c>
      <c r="P57">
        <v>19</v>
      </c>
      <c r="Q57" t="s">
        <v>339</v>
      </c>
      <c r="R57" s="175" t="s">
        <v>353</v>
      </c>
      <c r="S57" t="s">
        <v>354</v>
      </c>
      <c r="T57" s="175" t="s">
        <v>366</v>
      </c>
      <c r="U57" t="s">
        <v>367</v>
      </c>
      <c r="V57" t="s">
        <v>368</v>
      </c>
      <c r="W57" t="s">
        <v>369</v>
      </c>
      <c r="X57" s="175" t="s">
        <v>375</v>
      </c>
      <c r="Y57" t="s">
        <v>376</v>
      </c>
      <c r="Z57" t="s">
        <v>2019</v>
      </c>
      <c r="AA57" t="s">
        <v>36</v>
      </c>
      <c r="AB57">
        <v>1</v>
      </c>
      <c r="AC57" t="s">
        <v>2185</v>
      </c>
      <c r="AD57" t="s">
        <v>3062</v>
      </c>
      <c r="AE57" t="s">
        <v>2224</v>
      </c>
      <c r="AF57" t="s">
        <v>348</v>
      </c>
      <c r="AG57" t="s">
        <v>2188</v>
      </c>
      <c r="AH57" t="s">
        <v>2187</v>
      </c>
      <c r="AI57" t="s">
        <v>3197</v>
      </c>
      <c r="AJ57" t="s">
        <v>3197</v>
      </c>
      <c r="AK57" t="s">
        <v>3197</v>
      </c>
      <c r="AL57" t="s">
        <v>3197</v>
      </c>
      <c r="AM57" s="176">
        <v>1042650200</v>
      </c>
      <c r="AN57" s="176" t="s">
        <v>2601</v>
      </c>
      <c r="AO57" s="176" t="s">
        <v>2602</v>
      </c>
      <c r="AP57" s="176" t="s">
        <v>2603</v>
      </c>
      <c r="AQ57" s="176" t="s">
        <v>2604</v>
      </c>
      <c r="AR57" t="s">
        <v>338</v>
      </c>
      <c r="AS57" s="175">
        <v>12</v>
      </c>
    </row>
    <row r="58" spans="1:45" x14ac:dyDescent="0.25">
      <c r="A58">
        <v>2</v>
      </c>
      <c r="B58" t="s">
        <v>3255</v>
      </c>
      <c r="C58">
        <v>57</v>
      </c>
      <c r="D58" t="s">
        <v>19</v>
      </c>
      <c r="E58" t="s">
        <v>20</v>
      </c>
      <c r="F58" t="s">
        <v>2385</v>
      </c>
      <c r="G58" t="s">
        <v>386</v>
      </c>
      <c r="H58" t="s">
        <v>387</v>
      </c>
      <c r="I58" s="184">
        <v>6.4</v>
      </c>
      <c r="J58">
        <v>2021</v>
      </c>
      <c r="K58" t="s">
        <v>388</v>
      </c>
      <c r="L58" t="s">
        <v>389</v>
      </c>
      <c r="M58" t="s">
        <v>365</v>
      </c>
      <c r="N58" t="s">
        <v>27</v>
      </c>
      <c r="O58" t="s">
        <v>338</v>
      </c>
      <c r="P58">
        <v>19</v>
      </c>
      <c r="Q58" t="s">
        <v>339</v>
      </c>
      <c r="R58" s="175" t="s">
        <v>353</v>
      </c>
      <c r="S58" t="s">
        <v>354</v>
      </c>
      <c r="T58" s="175" t="s">
        <v>366</v>
      </c>
      <c r="U58" t="s">
        <v>367</v>
      </c>
      <c r="V58" t="s">
        <v>368</v>
      </c>
      <c r="W58" t="s">
        <v>369</v>
      </c>
      <c r="X58" s="175" t="s">
        <v>385</v>
      </c>
      <c r="Y58" t="s">
        <v>390</v>
      </c>
      <c r="Z58" t="s">
        <v>2162</v>
      </c>
      <c r="AA58" t="s">
        <v>36</v>
      </c>
      <c r="AB58">
        <v>1</v>
      </c>
      <c r="AC58" t="s">
        <v>2185</v>
      </c>
      <c r="AD58" t="s">
        <v>3062</v>
      </c>
      <c r="AE58" t="s">
        <v>3066</v>
      </c>
      <c r="AF58" t="s">
        <v>348</v>
      </c>
      <c r="AG58" t="s">
        <v>2188</v>
      </c>
      <c r="AH58" t="s">
        <v>2187</v>
      </c>
      <c r="AI58" t="s">
        <v>3197</v>
      </c>
      <c r="AJ58" t="s">
        <v>3197</v>
      </c>
      <c r="AK58" t="s">
        <v>3197</v>
      </c>
      <c r="AL58" t="s">
        <v>3197</v>
      </c>
      <c r="AM58" s="176">
        <v>1094480840</v>
      </c>
      <c r="AN58" s="176" t="s">
        <v>2605</v>
      </c>
      <c r="AO58" s="176" t="s">
        <v>2606</v>
      </c>
      <c r="AP58" s="176" t="s">
        <v>2607</v>
      </c>
      <c r="AQ58" s="176" t="s">
        <v>2608</v>
      </c>
      <c r="AR58" t="s">
        <v>338</v>
      </c>
      <c r="AS58" s="175">
        <v>12</v>
      </c>
    </row>
    <row r="59" spans="1:45" x14ac:dyDescent="0.25">
      <c r="A59">
        <v>2</v>
      </c>
      <c r="B59" t="s">
        <v>3255</v>
      </c>
      <c r="C59">
        <v>58</v>
      </c>
      <c r="D59" t="s">
        <v>19</v>
      </c>
      <c r="E59" t="s">
        <v>20</v>
      </c>
      <c r="F59" t="s">
        <v>2385</v>
      </c>
      <c r="G59" t="s">
        <v>386</v>
      </c>
      <c r="H59" t="s">
        <v>387</v>
      </c>
      <c r="I59" s="184">
        <v>6.4</v>
      </c>
      <c r="J59">
        <v>2021</v>
      </c>
      <c r="K59" t="s">
        <v>388</v>
      </c>
      <c r="L59" t="s">
        <v>389</v>
      </c>
      <c r="M59" t="s">
        <v>365</v>
      </c>
      <c r="N59" t="s">
        <v>27</v>
      </c>
      <c r="O59" t="s">
        <v>338</v>
      </c>
      <c r="P59">
        <v>19</v>
      </c>
      <c r="Q59" t="s">
        <v>339</v>
      </c>
      <c r="R59" s="175" t="s">
        <v>353</v>
      </c>
      <c r="S59" t="s">
        <v>354</v>
      </c>
      <c r="T59" s="175" t="s">
        <v>366</v>
      </c>
      <c r="U59" t="s">
        <v>367</v>
      </c>
      <c r="V59" t="s">
        <v>368</v>
      </c>
      <c r="W59" t="s">
        <v>369</v>
      </c>
      <c r="X59" s="175" t="s">
        <v>385</v>
      </c>
      <c r="Y59" t="s">
        <v>390</v>
      </c>
      <c r="Z59" t="s">
        <v>391</v>
      </c>
      <c r="AA59" t="s">
        <v>36</v>
      </c>
      <c r="AB59">
        <v>1</v>
      </c>
      <c r="AC59" t="s">
        <v>2185</v>
      </c>
      <c r="AD59" t="s">
        <v>3062</v>
      </c>
      <c r="AE59" t="s">
        <v>3066</v>
      </c>
      <c r="AF59" t="s">
        <v>348</v>
      </c>
      <c r="AG59" t="s">
        <v>2188</v>
      </c>
      <c r="AH59" t="s">
        <v>2187</v>
      </c>
      <c r="AI59" t="s">
        <v>3197</v>
      </c>
      <c r="AJ59" t="s">
        <v>3197</v>
      </c>
      <c r="AK59" t="s">
        <v>3197</v>
      </c>
      <c r="AL59" t="s">
        <v>3197</v>
      </c>
      <c r="AM59" s="176">
        <v>82000000</v>
      </c>
      <c r="AN59" s="176">
        <v>86797000</v>
      </c>
      <c r="AO59" s="176" t="s">
        <v>2609</v>
      </c>
      <c r="AP59" s="176" t="s">
        <v>2610</v>
      </c>
      <c r="AQ59" s="176" t="s">
        <v>2611</v>
      </c>
      <c r="AR59" t="s">
        <v>338</v>
      </c>
      <c r="AS59" s="175">
        <v>12</v>
      </c>
    </row>
    <row r="60" spans="1:45" x14ac:dyDescent="0.25">
      <c r="A60">
        <v>2</v>
      </c>
      <c r="B60" t="s">
        <v>3255</v>
      </c>
      <c r="C60">
        <v>59</v>
      </c>
      <c r="D60" t="s">
        <v>19</v>
      </c>
      <c r="E60" t="s">
        <v>20</v>
      </c>
      <c r="F60" t="s">
        <v>2385</v>
      </c>
      <c r="G60" t="s">
        <v>392</v>
      </c>
      <c r="H60" t="s">
        <v>393</v>
      </c>
      <c r="I60" s="183">
        <v>654</v>
      </c>
      <c r="J60">
        <v>2022</v>
      </c>
      <c r="K60" t="s">
        <v>3067</v>
      </c>
      <c r="L60" t="s">
        <v>395</v>
      </c>
      <c r="M60" t="s">
        <v>365</v>
      </c>
      <c r="N60" t="s">
        <v>27</v>
      </c>
      <c r="O60" t="s">
        <v>338</v>
      </c>
      <c r="P60">
        <v>19</v>
      </c>
      <c r="Q60" t="s">
        <v>339</v>
      </c>
      <c r="R60" s="175" t="s">
        <v>353</v>
      </c>
      <c r="S60" t="s">
        <v>354</v>
      </c>
      <c r="T60" s="175" t="s">
        <v>366</v>
      </c>
      <c r="U60" t="s">
        <v>367</v>
      </c>
      <c r="V60" t="s">
        <v>368</v>
      </c>
      <c r="W60" t="s">
        <v>369</v>
      </c>
      <c r="X60" s="175" t="s">
        <v>396</v>
      </c>
      <c r="Y60" t="s">
        <v>397</v>
      </c>
      <c r="Z60" t="s">
        <v>2027</v>
      </c>
      <c r="AA60" t="s">
        <v>36</v>
      </c>
      <c r="AB60">
        <v>1</v>
      </c>
      <c r="AC60" t="s">
        <v>2185</v>
      </c>
      <c r="AD60" t="s">
        <v>3062</v>
      </c>
      <c r="AE60" t="s">
        <v>3068</v>
      </c>
      <c r="AF60" t="s">
        <v>348</v>
      </c>
      <c r="AG60" t="s">
        <v>2188</v>
      </c>
      <c r="AH60" t="s">
        <v>2187</v>
      </c>
      <c r="AI60" t="s">
        <v>3197</v>
      </c>
      <c r="AJ60" t="s">
        <v>3197</v>
      </c>
      <c r="AK60" t="s">
        <v>3197</v>
      </c>
      <c r="AL60" t="s">
        <v>3197</v>
      </c>
      <c r="AM60" s="176">
        <v>1008048935</v>
      </c>
      <c r="AN60" s="176" t="s">
        <v>2612</v>
      </c>
      <c r="AO60" s="176" t="s">
        <v>2613</v>
      </c>
      <c r="AP60" s="176" t="s">
        <v>2614</v>
      </c>
      <c r="AQ60" s="176" t="s">
        <v>2615</v>
      </c>
      <c r="AR60" t="s">
        <v>338</v>
      </c>
      <c r="AS60" s="175">
        <v>12</v>
      </c>
    </row>
    <row r="61" spans="1:45" x14ac:dyDescent="0.25">
      <c r="A61">
        <v>2</v>
      </c>
      <c r="B61" t="s">
        <v>3255</v>
      </c>
      <c r="C61">
        <v>60</v>
      </c>
      <c r="D61" t="s">
        <v>19</v>
      </c>
      <c r="E61" t="s">
        <v>20</v>
      </c>
      <c r="F61" t="s">
        <v>2385</v>
      </c>
      <c r="G61" t="s">
        <v>392</v>
      </c>
      <c r="H61" t="s">
        <v>393</v>
      </c>
      <c r="I61" s="183">
        <v>654</v>
      </c>
      <c r="J61">
        <v>2022</v>
      </c>
      <c r="K61" t="s">
        <v>3067</v>
      </c>
      <c r="L61" t="s">
        <v>395</v>
      </c>
      <c r="M61" t="s">
        <v>36</v>
      </c>
      <c r="N61" t="s">
        <v>27</v>
      </c>
      <c r="O61" t="s">
        <v>338</v>
      </c>
      <c r="P61">
        <v>19</v>
      </c>
      <c r="Q61" t="s">
        <v>339</v>
      </c>
      <c r="R61" s="175">
        <v>1905</v>
      </c>
      <c r="S61" t="s">
        <v>354</v>
      </c>
      <c r="T61" s="175" t="s">
        <v>366</v>
      </c>
      <c r="U61" t="s">
        <v>367</v>
      </c>
      <c r="V61" t="s">
        <v>368</v>
      </c>
      <c r="W61" t="s">
        <v>369</v>
      </c>
      <c r="X61" s="175" t="s">
        <v>375</v>
      </c>
      <c r="Y61" t="s">
        <v>376</v>
      </c>
      <c r="Z61" t="s">
        <v>2020</v>
      </c>
      <c r="AA61" t="s">
        <v>36</v>
      </c>
      <c r="AB61">
        <v>1</v>
      </c>
      <c r="AC61" t="s">
        <v>2185</v>
      </c>
      <c r="AD61" t="s">
        <v>3062</v>
      </c>
      <c r="AE61" t="s">
        <v>3069</v>
      </c>
      <c r="AF61" t="s">
        <v>348</v>
      </c>
      <c r="AG61" t="s">
        <v>2188</v>
      </c>
      <c r="AH61" t="s">
        <v>2187</v>
      </c>
      <c r="AI61" t="s">
        <v>3197</v>
      </c>
      <c r="AJ61" t="s">
        <v>3197</v>
      </c>
      <c r="AK61" t="s">
        <v>3197</v>
      </c>
      <c r="AL61" t="s">
        <v>3197</v>
      </c>
      <c r="AM61" s="176">
        <v>193760240</v>
      </c>
      <c r="AN61" s="176" t="s">
        <v>2616</v>
      </c>
      <c r="AO61" s="176" t="s">
        <v>2617</v>
      </c>
      <c r="AP61" s="176" t="s">
        <v>2618</v>
      </c>
      <c r="AQ61" s="176" t="s">
        <v>2619</v>
      </c>
      <c r="AR61" t="s">
        <v>338</v>
      </c>
      <c r="AS61" s="175">
        <v>12</v>
      </c>
    </row>
    <row r="62" spans="1:45" x14ac:dyDescent="0.25">
      <c r="A62">
        <v>2</v>
      </c>
      <c r="B62" t="s">
        <v>3255</v>
      </c>
      <c r="C62">
        <v>61</v>
      </c>
      <c r="D62" t="s">
        <v>19</v>
      </c>
      <c r="E62" t="s">
        <v>20</v>
      </c>
      <c r="F62" t="s">
        <v>2385</v>
      </c>
      <c r="G62" t="s">
        <v>392</v>
      </c>
      <c r="H62" t="s">
        <v>393</v>
      </c>
      <c r="I62" s="183">
        <v>654</v>
      </c>
      <c r="J62">
        <v>2022</v>
      </c>
      <c r="K62" t="s">
        <v>3067</v>
      </c>
      <c r="L62" t="s">
        <v>395</v>
      </c>
      <c r="M62" t="s">
        <v>36</v>
      </c>
      <c r="N62" t="s">
        <v>27</v>
      </c>
      <c r="O62" t="s">
        <v>338</v>
      </c>
      <c r="P62">
        <v>19</v>
      </c>
      <c r="Q62" t="s">
        <v>339</v>
      </c>
      <c r="R62" s="175">
        <v>1905</v>
      </c>
      <c r="S62" t="s">
        <v>354</v>
      </c>
      <c r="T62" s="175" t="s">
        <v>366</v>
      </c>
      <c r="U62" t="s">
        <v>367</v>
      </c>
      <c r="V62" t="s">
        <v>368</v>
      </c>
      <c r="W62" t="s">
        <v>369</v>
      </c>
      <c r="X62" s="175" t="s">
        <v>375</v>
      </c>
      <c r="Y62" t="s">
        <v>376</v>
      </c>
      <c r="Z62" t="s">
        <v>2353</v>
      </c>
      <c r="AA62" t="s">
        <v>36</v>
      </c>
      <c r="AB62">
        <v>1</v>
      </c>
      <c r="AC62" t="s">
        <v>2185</v>
      </c>
      <c r="AD62" t="s">
        <v>3062</v>
      </c>
      <c r="AE62" t="s">
        <v>3070</v>
      </c>
      <c r="AF62" t="s">
        <v>348</v>
      </c>
      <c r="AG62" t="s">
        <v>2188</v>
      </c>
      <c r="AH62" t="s">
        <v>2187</v>
      </c>
      <c r="AI62" t="s">
        <v>3197</v>
      </c>
      <c r="AJ62" t="s">
        <v>3197</v>
      </c>
      <c r="AK62" t="s">
        <v>3197</v>
      </c>
      <c r="AL62" t="s">
        <v>3197</v>
      </c>
      <c r="AM62" s="176">
        <v>424040000</v>
      </c>
      <c r="AN62" s="176">
        <v>448846340</v>
      </c>
      <c r="AO62" s="176" t="s">
        <v>2620</v>
      </c>
      <c r="AP62" s="176" t="s">
        <v>2621</v>
      </c>
      <c r="AQ62" s="176" t="s">
        <v>2622</v>
      </c>
      <c r="AR62" t="s">
        <v>338</v>
      </c>
      <c r="AS62" s="175">
        <v>12</v>
      </c>
    </row>
    <row r="63" spans="1:45" x14ac:dyDescent="0.25">
      <c r="A63">
        <v>2</v>
      </c>
      <c r="B63" t="s">
        <v>3255</v>
      </c>
      <c r="C63">
        <v>62</v>
      </c>
      <c r="D63" t="s">
        <v>19</v>
      </c>
      <c r="E63" t="s">
        <v>20</v>
      </c>
      <c r="F63" t="s">
        <v>2385</v>
      </c>
      <c r="G63" t="s">
        <v>392</v>
      </c>
      <c r="H63" t="s">
        <v>393</v>
      </c>
      <c r="I63" s="183">
        <v>654</v>
      </c>
      <c r="J63">
        <v>2022</v>
      </c>
      <c r="K63" t="s">
        <v>3067</v>
      </c>
      <c r="L63" t="s">
        <v>395</v>
      </c>
      <c r="M63" t="s">
        <v>36</v>
      </c>
      <c r="N63" t="s">
        <v>27</v>
      </c>
      <c r="O63" t="s">
        <v>338</v>
      </c>
      <c r="P63">
        <v>19</v>
      </c>
      <c r="Q63" t="s">
        <v>339</v>
      </c>
      <c r="R63" s="175">
        <v>1905</v>
      </c>
      <c r="S63" t="s">
        <v>354</v>
      </c>
      <c r="T63" s="175" t="s">
        <v>366</v>
      </c>
      <c r="U63" t="s">
        <v>367</v>
      </c>
      <c r="V63" t="s">
        <v>368</v>
      </c>
      <c r="W63" t="s">
        <v>369</v>
      </c>
      <c r="X63" s="175" t="s">
        <v>398</v>
      </c>
      <c r="Y63" t="s">
        <v>399</v>
      </c>
      <c r="Z63" t="s">
        <v>2354</v>
      </c>
      <c r="AA63" t="s">
        <v>36</v>
      </c>
      <c r="AB63">
        <v>1</v>
      </c>
      <c r="AC63" t="s">
        <v>2185</v>
      </c>
      <c r="AD63" t="s">
        <v>3062</v>
      </c>
      <c r="AE63" t="s">
        <v>3071</v>
      </c>
      <c r="AF63" t="s">
        <v>348</v>
      </c>
      <c r="AG63" t="s">
        <v>2188</v>
      </c>
      <c r="AH63" t="s">
        <v>2187</v>
      </c>
      <c r="AI63" t="s">
        <v>3197</v>
      </c>
      <c r="AJ63" t="s">
        <v>3197</v>
      </c>
      <c r="AK63" t="s">
        <v>3197</v>
      </c>
      <c r="AL63" t="s">
        <v>3197</v>
      </c>
      <c r="AM63" s="176">
        <v>356710000</v>
      </c>
      <c r="AN63" s="176">
        <v>377577535</v>
      </c>
      <c r="AO63" s="176" t="s">
        <v>2623</v>
      </c>
      <c r="AP63" s="176" t="s">
        <v>2624</v>
      </c>
      <c r="AQ63" s="176" t="s">
        <v>2625</v>
      </c>
      <c r="AR63" t="s">
        <v>338</v>
      </c>
      <c r="AS63" s="175">
        <v>12</v>
      </c>
    </row>
    <row r="64" spans="1:45" x14ac:dyDescent="0.25">
      <c r="A64">
        <v>2</v>
      </c>
      <c r="B64" t="s">
        <v>3255</v>
      </c>
      <c r="C64">
        <v>63</v>
      </c>
      <c r="D64" t="s">
        <v>19</v>
      </c>
      <c r="E64" t="s">
        <v>20</v>
      </c>
      <c r="F64" t="s">
        <v>2385</v>
      </c>
      <c r="G64" t="s">
        <v>400</v>
      </c>
      <c r="H64" t="s">
        <v>401</v>
      </c>
      <c r="I64" s="181">
        <v>0.42</v>
      </c>
      <c r="J64">
        <v>2023</v>
      </c>
      <c r="K64" t="s">
        <v>402</v>
      </c>
      <c r="L64" t="s">
        <v>403</v>
      </c>
      <c r="M64" t="s">
        <v>36</v>
      </c>
      <c r="N64" t="s">
        <v>27</v>
      </c>
      <c r="O64" t="s">
        <v>338</v>
      </c>
      <c r="P64">
        <v>19</v>
      </c>
      <c r="Q64" t="s">
        <v>339</v>
      </c>
      <c r="R64" s="175" t="s">
        <v>404</v>
      </c>
      <c r="S64" t="s">
        <v>405</v>
      </c>
      <c r="T64" s="175" t="s">
        <v>2397</v>
      </c>
      <c r="U64" t="s">
        <v>2398</v>
      </c>
      <c r="V64" t="s">
        <v>2399</v>
      </c>
      <c r="W64" t="s">
        <v>2400</v>
      </c>
      <c r="X64" s="175" t="s">
        <v>2401</v>
      </c>
      <c r="Y64" t="s">
        <v>2402</v>
      </c>
      <c r="Z64" t="s">
        <v>406</v>
      </c>
      <c r="AA64" t="s">
        <v>36</v>
      </c>
      <c r="AB64">
        <v>41</v>
      </c>
      <c r="AC64" t="s">
        <v>2192</v>
      </c>
      <c r="AD64" t="s">
        <v>2230</v>
      </c>
      <c r="AE64" t="s">
        <v>2187</v>
      </c>
      <c r="AF64" t="s">
        <v>348</v>
      </c>
      <c r="AG64" t="s">
        <v>2188</v>
      </c>
      <c r="AH64" t="s">
        <v>2187</v>
      </c>
      <c r="AI64">
        <v>41</v>
      </c>
      <c r="AJ64">
        <v>41</v>
      </c>
      <c r="AK64">
        <v>41</v>
      </c>
      <c r="AL64">
        <v>41</v>
      </c>
      <c r="AM64" s="176">
        <v>210760000</v>
      </c>
      <c r="AN64" s="176">
        <v>222984080</v>
      </c>
      <c r="AO64" s="176" t="s">
        <v>2626</v>
      </c>
      <c r="AP64" s="176" t="s">
        <v>2627</v>
      </c>
      <c r="AQ64" s="176" t="s">
        <v>2628</v>
      </c>
      <c r="AR64" t="s">
        <v>338</v>
      </c>
      <c r="AS64" s="175">
        <v>12</v>
      </c>
    </row>
    <row r="65" spans="1:45" x14ac:dyDescent="0.25">
      <c r="A65">
        <v>2</v>
      </c>
      <c r="B65" t="s">
        <v>3255</v>
      </c>
      <c r="C65">
        <v>64</v>
      </c>
      <c r="D65" t="s">
        <v>19</v>
      </c>
      <c r="E65" t="s">
        <v>20</v>
      </c>
      <c r="F65" t="s">
        <v>2385</v>
      </c>
      <c r="G65" t="s">
        <v>400</v>
      </c>
      <c r="H65" t="s">
        <v>401</v>
      </c>
      <c r="I65" s="181">
        <v>0.42</v>
      </c>
      <c r="J65">
        <v>2023</v>
      </c>
      <c r="K65" t="s">
        <v>402</v>
      </c>
      <c r="L65" t="s">
        <v>403</v>
      </c>
      <c r="M65" t="s">
        <v>36</v>
      </c>
      <c r="N65" t="s">
        <v>27</v>
      </c>
      <c r="O65" t="s">
        <v>338</v>
      </c>
      <c r="P65">
        <v>19</v>
      </c>
      <c r="Q65" t="s">
        <v>339</v>
      </c>
      <c r="R65" s="175" t="s">
        <v>404</v>
      </c>
      <c r="S65" t="s">
        <v>405</v>
      </c>
      <c r="T65" s="175">
        <v>1903047</v>
      </c>
      <c r="U65" t="s">
        <v>2117</v>
      </c>
      <c r="V65" t="s">
        <v>2362</v>
      </c>
      <c r="W65" t="s">
        <v>2118</v>
      </c>
      <c r="X65" s="175">
        <v>190304700</v>
      </c>
      <c r="Y65" t="s">
        <v>2119</v>
      </c>
      <c r="Z65" t="s">
        <v>2120</v>
      </c>
      <c r="AA65" t="s">
        <v>36</v>
      </c>
      <c r="AB65">
        <v>0</v>
      </c>
      <c r="AC65" t="s">
        <v>2185</v>
      </c>
      <c r="AD65" t="s">
        <v>2230</v>
      </c>
      <c r="AE65" t="s">
        <v>2187</v>
      </c>
      <c r="AF65" t="s">
        <v>348</v>
      </c>
      <c r="AG65" t="s">
        <v>2188</v>
      </c>
      <c r="AH65" t="s">
        <v>2187</v>
      </c>
      <c r="AI65" t="s">
        <v>3198</v>
      </c>
      <c r="AJ65" t="s">
        <v>3197</v>
      </c>
      <c r="AK65" t="s">
        <v>3197</v>
      </c>
      <c r="AL65" t="s">
        <v>3199</v>
      </c>
      <c r="AM65" s="176">
        <v>400000000</v>
      </c>
      <c r="AN65" s="176">
        <v>1700000000</v>
      </c>
      <c r="AO65" s="176">
        <v>1700000000</v>
      </c>
      <c r="AP65" s="176">
        <v>1700000000</v>
      </c>
      <c r="AQ65" s="176">
        <v>5500000000</v>
      </c>
      <c r="AR65" t="s">
        <v>338</v>
      </c>
      <c r="AS65" s="175">
        <v>12</v>
      </c>
    </row>
    <row r="66" spans="1:45" x14ac:dyDescent="0.25">
      <c r="A66">
        <v>2</v>
      </c>
      <c r="B66" t="s">
        <v>3255</v>
      </c>
      <c r="C66">
        <v>65</v>
      </c>
      <c r="D66" t="s">
        <v>19</v>
      </c>
      <c r="E66" t="s">
        <v>20</v>
      </c>
      <c r="F66" t="s">
        <v>2385</v>
      </c>
      <c r="G66" t="s">
        <v>400</v>
      </c>
      <c r="H66" t="s">
        <v>401</v>
      </c>
      <c r="I66" s="183">
        <v>0</v>
      </c>
      <c r="J66">
        <v>2023</v>
      </c>
      <c r="K66" t="s">
        <v>402</v>
      </c>
      <c r="L66" t="s">
        <v>403</v>
      </c>
      <c r="M66" t="s">
        <v>36</v>
      </c>
      <c r="N66" t="s">
        <v>27</v>
      </c>
      <c r="O66" t="s">
        <v>338</v>
      </c>
      <c r="P66">
        <v>19</v>
      </c>
      <c r="Q66" t="s">
        <v>339</v>
      </c>
      <c r="R66" s="175" t="s">
        <v>404</v>
      </c>
      <c r="S66" t="s">
        <v>405</v>
      </c>
      <c r="T66" s="175" t="s">
        <v>2397</v>
      </c>
      <c r="U66" t="s">
        <v>2398</v>
      </c>
      <c r="V66" t="s">
        <v>2399</v>
      </c>
      <c r="W66" t="s">
        <v>2400</v>
      </c>
      <c r="X66" s="175" t="s">
        <v>2401</v>
      </c>
      <c r="Y66" t="s">
        <v>2402</v>
      </c>
      <c r="Z66" t="s">
        <v>2021</v>
      </c>
      <c r="AA66" t="s">
        <v>36</v>
      </c>
      <c r="AB66">
        <v>41</v>
      </c>
      <c r="AC66" t="s">
        <v>2185</v>
      </c>
      <c r="AD66" t="s">
        <v>2230</v>
      </c>
      <c r="AE66" t="s">
        <v>2187</v>
      </c>
      <c r="AF66" t="s">
        <v>348</v>
      </c>
      <c r="AG66" t="s">
        <v>2188</v>
      </c>
      <c r="AH66" t="s">
        <v>2187</v>
      </c>
      <c r="AI66">
        <v>8</v>
      </c>
      <c r="AJ66">
        <v>12</v>
      </c>
      <c r="AK66">
        <v>12</v>
      </c>
      <c r="AL66">
        <v>9</v>
      </c>
      <c r="AM66" s="176">
        <v>179640000</v>
      </c>
      <c r="AN66" s="176">
        <v>190059120</v>
      </c>
      <c r="AO66" s="176" t="s">
        <v>2629</v>
      </c>
      <c r="AP66" s="176" t="s">
        <v>2630</v>
      </c>
      <c r="AQ66" s="176" t="s">
        <v>2631</v>
      </c>
      <c r="AR66" t="s">
        <v>338</v>
      </c>
      <c r="AS66" s="175">
        <v>12</v>
      </c>
    </row>
    <row r="67" spans="1:45" x14ac:dyDescent="0.25">
      <c r="A67">
        <v>2</v>
      </c>
      <c r="B67" t="s">
        <v>3255</v>
      </c>
      <c r="C67">
        <v>66</v>
      </c>
      <c r="D67" t="s">
        <v>19</v>
      </c>
      <c r="E67" t="s">
        <v>20</v>
      </c>
      <c r="F67" t="s">
        <v>2385</v>
      </c>
      <c r="G67" t="s">
        <v>400</v>
      </c>
      <c r="H67" t="s">
        <v>401</v>
      </c>
      <c r="I67" s="183">
        <v>0</v>
      </c>
      <c r="J67">
        <v>2023</v>
      </c>
      <c r="K67" t="s">
        <v>402</v>
      </c>
      <c r="L67" t="s">
        <v>403</v>
      </c>
      <c r="M67" t="s">
        <v>36</v>
      </c>
      <c r="N67" t="s">
        <v>27</v>
      </c>
      <c r="O67" t="s">
        <v>338</v>
      </c>
      <c r="P67">
        <v>19</v>
      </c>
      <c r="Q67" t="s">
        <v>339</v>
      </c>
      <c r="R67" s="175" t="s">
        <v>404</v>
      </c>
      <c r="S67" t="s">
        <v>405</v>
      </c>
      <c r="T67" s="175" t="s">
        <v>2397</v>
      </c>
      <c r="U67" t="s">
        <v>2398</v>
      </c>
      <c r="V67" t="s">
        <v>2399</v>
      </c>
      <c r="W67" t="s">
        <v>2400</v>
      </c>
      <c r="X67" s="175" t="s">
        <v>2401</v>
      </c>
      <c r="Y67" t="s">
        <v>2402</v>
      </c>
      <c r="Z67" t="s">
        <v>409</v>
      </c>
      <c r="AA67" t="s">
        <v>36</v>
      </c>
      <c r="AB67">
        <v>41</v>
      </c>
      <c r="AC67" t="s">
        <v>2192</v>
      </c>
      <c r="AD67" t="s">
        <v>2230</v>
      </c>
      <c r="AE67" t="s">
        <v>2187</v>
      </c>
      <c r="AF67" t="s">
        <v>348</v>
      </c>
      <c r="AG67" t="s">
        <v>2188</v>
      </c>
      <c r="AH67" t="s">
        <v>2187</v>
      </c>
      <c r="AI67">
        <v>41</v>
      </c>
      <c r="AJ67">
        <v>41</v>
      </c>
      <c r="AK67">
        <v>41</v>
      </c>
      <c r="AL67">
        <v>41</v>
      </c>
      <c r="AM67" s="176">
        <v>45800000</v>
      </c>
      <c r="AN67" s="176">
        <v>48456400</v>
      </c>
      <c r="AO67" s="176" t="s">
        <v>2632</v>
      </c>
      <c r="AP67" s="176" t="s">
        <v>2633</v>
      </c>
      <c r="AQ67" s="176" t="s">
        <v>2634</v>
      </c>
      <c r="AR67" t="s">
        <v>338</v>
      </c>
      <c r="AS67" s="175">
        <v>12</v>
      </c>
    </row>
    <row r="68" spans="1:45" x14ac:dyDescent="0.25">
      <c r="A68">
        <v>2</v>
      </c>
      <c r="B68" t="s">
        <v>3255</v>
      </c>
      <c r="C68">
        <v>67</v>
      </c>
      <c r="D68" t="s">
        <v>19</v>
      </c>
      <c r="E68" t="s">
        <v>20</v>
      </c>
      <c r="F68" t="s">
        <v>2385</v>
      </c>
      <c r="G68" t="s">
        <v>410</v>
      </c>
      <c r="H68" t="s">
        <v>411</v>
      </c>
      <c r="I68" s="183">
        <v>7.15</v>
      </c>
      <c r="J68">
        <v>2022</v>
      </c>
      <c r="K68" t="s">
        <v>412</v>
      </c>
      <c r="L68" t="s">
        <v>413</v>
      </c>
      <c r="M68" t="s">
        <v>365</v>
      </c>
      <c r="N68" t="s">
        <v>27</v>
      </c>
      <c r="O68" t="s">
        <v>338</v>
      </c>
      <c r="P68" t="s">
        <v>526</v>
      </c>
      <c r="Q68" t="s">
        <v>339</v>
      </c>
      <c r="R68" s="175" t="s">
        <v>353</v>
      </c>
      <c r="S68" t="s">
        <v>2486</v>
      </c>
      <c r="T68" s="175" t="s">
        <v>2487</v>
      </c>
      <c r="U68" t="s">
        <v>2488</v>
      </c>
      <c r="V68" t="s">
        <v>2489</v>
      </c>
      <c r="W68" t="s">
        <v>358</v>
      </c>
      <c r="X68" s="175" t="s">
        <v>2490</v>
      </c>
      <c r="Y68" t="s">
        <v>2491</v>
      </c>
      <c r="Z68" t="s">
        <v>2022</v>
      </c>
      <c r="AA68" t="s">
        <v>36</v>
      </c>
      <c r="AB68">
        <v>1</v>
      </c>
      <c r="AC68" t="s">
        <v>2185</v>
      </c>
      <c r="AD68" t="s">
        <v>3062</v>
      </c>
      <c r="AE68" t="s">
        <v>3072</v>
      </c>
      <c r="AF68" t="s">
        <v>348</v>
      </c>
      <c r="AG68" t="s">
        <v>2188</v>
      </c>
      <c r="AH68" t="s">
        <v>2187</v>
      </c>
      <c r="AI68" t="s">
        <v>3197</v>
      </c>
      <c r="AJ68" t="s">
        <v>3197</v>
      </c>
      <c r="AK68" t="s">
        <v>3197</v>
      </c>
      <c r="AL68" t="s">
        <v>3197</v>
      </c>
      <c r="AM68" s="176">
        <v>243760240</v>
      </c>
      <c r="AN68" s="176" t="s">
        <v>2635</v>
      </c>
      <c r="AO68" s="176" t="s">
        <v>2636</v>
      </c>
      <c r="AP68" s="176" t="s">
        <v>2637</v>
      </c>
      <c r="AQ68" s="176" t="s">
        <v>2638</v>
      </c>
      <c r="AR68" t="s">
        <v>338</v>
      </c>
      <c r="AS68" s="175">
        <v>12</v>
      </c>
    </row>
    <row r="69" spans="1:45" x14ac:dyDescent="0.25">
      <c r="A69">
        <v>2</v>
      </c>
      <c r="B69" t="s">
        <v>3255</v>
      </c>
      <c r="C69">
        <v>68</v>
      </c>
      <c r="D69" t="s">
        <v>19</v>
      </c>
      <c r="E69" t="s">
        <v>20</v>
      </c>
      <c r="F69" t="s">
        <v>2385</v>
      </c>
      <c r="G69" t="s">
        <v>414</v>
      </c>
      <c r="H69" t="s">
        <v>415</v>
      </c>
      <c r="I69" s="184">
        <v>28.1</v>
      </c>
      <c r="J69">
        <v>2023</v>
      </c>
      <c r="K69" t="s">
        <v>3073</v>
      </c>
      <c r="L69" t="s">
        <v>417</v>
      </c>
      <c r="M69" t="s">
        <v>365</v>
      </c>
      <c r="N69" t="s">
        <v>27</v>
      </c>
      <c r="O69" t="s">
        <v>338</v>
      </c>
      <c r="P69">
        <v>19</v>
      </c>
      <c r="Q69" t="s">
        <v>339</v>
      </c>
      <c r="R69" s="175" t="s">
        <v>340</v>
      </c>
      <c r="S69" t="s">
        <v>341</v>
      </c>
      <c r="T69" s="175" t="s">
        <v>418</v>
      </c>
      <c r="U69" t="s">
        <v>419</v>
      </c>
      <c r="V69" t="s">
        <v>420</v>
      </c>
      <c r="W69" t="s">
        <v>421</v>
      </c>
      <c r="X69" s="175" t="s">
        <v>422</v>
      </c>
      <c r="Y69" t="s">
        <v>423</v>
      </c>
      <c r="Z69" t="s">
        <v>424</v>
      </c>
      <c r="AA69" t="s">
        <v>36</v>
      </c>
      <c r="AB69">
        <v>42</v>
      </c>
      <c r="AC69" t="s">
        <v>2192</v>
      </c>
      <c r="AF69" t="s">
        <v>348</v>
      </c>
      <c r="AG69" t="s">
        <v>2188</v>
      </c>
      <c r="AH69" t="s">
        <v>2187</v>
      </c>
      <c r="AI69">
        <v>42</v>
      </c>
      <c r="AJ69">
        <v>42</v>
      </c>
      <c r="AK69">
        <v>42</v>
      </c>
      <c r="AL69">
        <v>42</v>
      </c>
      <c r="AM69" s="176">
        <v>116000000</v>
      </c>
      <c r="AN69" s="176">
        <v>122507600</v>
      </c>
      <c r="AO69" s="176">
        <v>129380276</v>
      </c>
      <c r="AP69" s="176">
        <v>136638509</v>
      </c>
      <c r="AQ69" s="176">
        <v>504526385</v>
      </c>
      <c r="AR69" t="s">
        <v>338</v>
      </c>
      <c r="AS69" s="175">
        <v>12</v>
      </c>
    </row>
    <row r="70" spans="1:45" x14ac:dyDescent="0.25">
      <c r="A70">
        <v>2</v>
      </c>
      <c r="B70" t="s">
        <v>3255</v>
      </c>
      <c r="C70">
        <v>69</v>
      </c>
      <c r="D70" t="s">
        <v>19</v>
      </c>
      <c r="E70" t="s">
        <v>20</v>
      </c>
      <c r="F70" t="s">
        <v>2385</v>
      </c>
      <c r="G70" t="s">
        <v>414</v>
      </c>
      <c r="H70" t="s">
        <v>415</v>
      </c>
      <c r="I70" s="184">
        <v>28.1</v>
      </c>
      <c r="J70">
        <v>2023</v>
      </c>
      <c r="K70" t="s">
        <v>3073</v>
      </c>
      <c r="L70" t="s">
        <v>417</v>
      </c>
      <c r="M70" t="s">
        <v>365</v>
      </c>
      <c r="N70" t="s">
        <v>27</v>
      </c>
      <c r="O70" t="s">
        <v>338</v>
      </c>
      <c r="P70">
        <v>19</v>
      </c>
      <c r="Q70" t="s">
        <v>339</v>
      </c>
      <c r="R70" s="175">
        <v>1905</v>
      </c>
      <c r="S70" t="s">
        <v>354</v>
      </c>
      <c r="T70" s="175" t="s">
        <v>425</v>
      </c>
      <c r="U70" t="s">
        <v>426</v>
      </c>
      <c r="V70" t="s">
        <v>427</v>
      </c>
      <c r="W70" t="s">
        <v>428</v>
      </c>
      <c r="X70" s="175" t="s">
        <v>429</v>
      </c>
      <c r="Y70" t="s">
        <v>426</v>
      </c>
      <c r="Z70" t="s">
        <v>430</v>
      </c>
      <c r="AA70" t="s">
        <v>36</v>
      </c>
      <c r="AB70">
        <v>0</v>
      </c>
      <c r="AC70" t="s">
        <v>2185</v>
      </c>
      <c r="AF70" t="s">
        <v>348</v>
      </c>
      <c r="AG70" t="s">
        <v>2188</v>
      </c>
      <c r="AH70" t="s">
        <v>2187</v>
      </c>
      <c r="AI70">
        <v>0</v>
      </c>
      <c r="AJ70">
        <v>0</v>
      </c>
      <c r="AK70" t="s">
        <v>3194</v>
      </c>
      <c r="AL70" t="s">
        <v>3194</v>
      </c>
      <c r="AM70" s="176">
        <v>0</v>
      </c>
      <c r="AN70" s="176">
        <v>0</v>
      </c>
      <c r="AO70" s="176">
        <v>1500000000</v>
      </c>
      <c r="AP70" s="176">
        <v>1500000000</v>
      </c>
      <c r="AQ70" s="176">
        <v>3000000000</v>
      </c>
      <c r="AR70" t="s">
        <v>338</v>
      </c>
      <c r="AS70" s="175">
        <v>12</v>
      </c>
    </row>
    <row r="71" spans="1:45" x14ac:dyDescent="0.25">
      <c r="A71">
        <v>2</v>
      </c>
      <c r="B71" t="s">
        <v>3255</v>
      </c>
      <c r="C71">
        <v>70</v>
      </c>
      <c r="D71" t="s">
        <v>19</v>
      </c>
      <c r="E71" t="s">
        <v>20</v>
      </c>
      <c r="F71" t="s">
        <v>2385</v>
      </c>
      <c r="G71" t="s">
        <v>414</v>
      </c>
      <c r="H71" t="s">
        <v>415</v>
      </c>
      <c r="I71" s="184">
        <v>28.1</v>
      </c>
      <c r="J71">
        <v>2023</v>
      </c>
      <c r="K71" t="s">
        <v>3073</v>
      </c>
      <c r="L71" t="s">
        <v>417</v>
      </c>
      <c r="M71" t="s">
        <v>365</v>
      </c>
      <c r="N71" t="s">
        <v>27</v>
      </c>
      <c r="O71" t="s">
        <v>338</v>
      </c>
      <c r="P71">
        <v>19</v>
      </c>
      <c r="Q71" t="s">
        <v>339</v>
      </c>
      <c r="R71" s="175">
        <v>1905</v>
      </c>
      <c r="S71" t="s">
        <v>354</v>
      </c>
      <c r="T71" s="175" t="s">
        <v>431</v>
      </c>
      <c r="U71" t="s">
        <v>432</v>
      </c>
      <c r="V71" t="s">
        <v>433</v>
      </c>
      <c r="W71" t="s">
        <v>203</v>
      </c>
      <c r="X71" s="175" t="s">
        <v>434</v>
      </c>
      <c r="Y71" t="s">
        <v>435</v>
      </c>
      <c r="Z71" t="s">
        <v>436</v>
      </c>
      <c r="AA71" t="s">
        <v>36</v>
      </c>
      <c r="AB71">
        <v>336</v>
      </c>
      <c r="AC71" t="s">
        <v>2192</v>
      </c>
      <c r="AF71" t="s">
        <v>348</v>
      </c>
      <c r="AG71" t="s">
        <v>2188</v>
      </c>
      <c r="AH71" t="s">
        <v>2187</v>
      </c>
      <c r="AI71">
        <v>336</v>
      </c>
      <c r="AJ71">
        <v>336</v>
      </c>
      <c r="AK71">
        <v>336</v>
      </c>
      <c r="AL71">
        <v>336</v>
      </c>
      <c r="AM71" s="176">
        <v>116000000</v>
      </c>
      <c r="AN71" s="176">
        <v>122507600</v>
      </c>
      <c r="AO71" s="176">
        <v>129380276</v>
      </c>
      <c r="AP71" s="176">
        <v>136638509</v>
      </c>
      <c r="AQ71" s="176">
        <v>504526385</v>
      </c>
      <c r="AR71" t="s">
        <v>338</v>
      </c>
      <c r="AS71" s="175">
        <v>12</v>
      </c>
    </row>
    <row r="72" spans="1:45" x14ac:dyDescent="0.25">
      <c r="A72">
        <v>2</v>
      </c>
      <c r="B72" t="s">
        <v>3255</v>
      </c>
      <c r="C72">
        <v>71</v>
      </c>
      <c r="D72" t="s">
        <v>19</v>
      </c>
      <c r="E72" t="s">
        <v>20</v>
      </c>
      <c r="F72" t="s">
        <v>2385</v>
      </c>
      <c r="G72" t="s">
        <v>437</v>
      </c>
      <c r="H72" t="s">
        <v>438</v>
      </c>
      <c r="I72" s="185">
        <v>0.7</v>
      </c>
      <c r="J72">
        <v>2022</v>
      </c>
      <c r="K72" t="s">
        <v>439</v>
      </c>
      <c r="L72" t="s">
        <v>440</v>
      </c>
      <c r="M72" t="s">
        <v>365</v>
      </c>
      <c r="N72" t="s">
        <v>27</v>
      </c>
      <c r="O72" t="s">
        <v>338</v>
      </c>
      <c r="P72">
        <v>19</v>
      </c>
      <c r="Q72" t="s">
        <v>339</v>
      </c>
      <c r="R72" s="175" t="s">
        <v>353</v>
      </c>
      <c r="S72" t="s">
        <v>354</v>
      </c>
      <c r="T72" s="175" t="s">
        <v>441</v>
      </c>
      <c r="U72" t="s">
        <v>442</v>
      </c>
      <c r="V72" t="s">
        <v>443</v>
      </c>
      <c r="W72" t="s">
        <v>358</v>
      </c>
      <c r="X72" s="175" t="s">
        <v>444</v>
      </c>
      <c r="Y72" t="s">
        <v>445</v>
      </c>
      <c r="Z72" t="s">
        <v>3074</v>
      </c>
      <c r="AA72" t="s">
        <v>36</v>
      </c>
      <c r="AB72">
        <v>1</v>
      </c>
      <c r="AC72" t="s">
        <v>2185</v>
      </c>
      <c r="AD72" t="s">
        <v>3062</v>
      </c>
      <c r="AE72" t="s">
        <v>3075</v>
      </c>
      <c r="AF72" t="s">
        <v>348</v>
      </c>
      <c r="AG72" t="s">
        <v>2188</v>
      </c>
      <c r="AH72" t="s">
        <v>2187</v>
      </c>
      <c r="AI72" t="s">
        <v>3197</v>
      </c>
      <c r="AJ72" t="s">
        <v>3197</v>
      </c>
      <c r="AK72" t="s">
        <v>3197</v>
      </c>
      <c r="AL72" t="s">
        <v>3197</v>
      </c>
      <c r="AM72" s="176">
        <v>932766429</v>
      </c>
      <c r="AN72" s="176" t="s">
        <v>2639</v>
      </c>
      <c r="AO72" s="176" t="s">
        <v>2640</v>
      </c>
      <c r="AP72" s="176" t="s">
        <v>2641</v>
      </c>
      <c r="AQ72" s="176" t="s">
        <v>2642</v>
      </c>
      <c r="AR72" t="s">
        <v>338</v>
      </c>
      <c r="AS72" s="175">
        <v>12</v>
      </c>
    </row>
    <row r="73" spans="1:45" x14ac:dyDescent="0.25">
      <c r="A73">
        <v>2</v>
      </c>
      <c r="B73" t="s">
        <v>3255</v>
      </c>
      <c r="C73">
        <v>72</v>
      </c>
      <c r="D73" t="s">
        <v>19</v>
      </c>
      <c r="E73" t="s">
        <v>20</v>
      </c>
      <c r="F73" t="s">
        <v>2385</v>
      </c>
      <c r="G73" t="s">
        <v>446</v>
      </c>
      <c r="H73" t="s">
        <v>447</v>
      </c>
      <c r="I73" s="186">
        <v>0.08</v>
      </c>
      <c r="J73">
        <v>2022</v>
      </c>
      <c r="K73" t="s">
        <v>3076</v>
      </c>
      <c r="L73" t="s">
        <v>449</v>
      </c>
      <c r="M73" t="s">
        <v>365</v>
      </c>
      <c r="N73" t="s">
        <v>27</v>
      </c>
      <c r="O73" t="s">
        <v>338</v>
      </c>
      <c r="P73">
        <v>19</v>
      </c>
      <c r="Q73" t="s">
        <v>339</v>
      </c>
      <c r="R73" s="175" t="s">
        <v>353</v>
      </c>
      <c r="S73" t="s">
        <v>354</v>
      </c>
      <c r="T73" s="175" t="s">
        <v>441</v>
      </c>
      <c r="U73" t="s">
        <v>442</v>
      </c>
      <c r="V73" t="s">
        <v>443</v>
      </c>
      <c r="W73" t="s">
        <v>358</v>
      </c>
      <c r="X73" s="175" t="s">
        <v>444</v>
      </c>
      <c r="Y73" t="s">
        <v>445</v>
      </c>
      <c r="Z73" t="s">
        <v>2024</v>
      </c>
      <c r="AA73" t="s">
        <v>36</v>
      </c>
      <c r="AB73">
        <v>1</v>
      </c>
      <c r="AC73" t="s">
        <v>2185</v>
      </c>
      <c r="AD73" t="s">
        <v>3062</v>
      </c>
      <c r="AE73" t="s">
        <v>3077</v>
      </c>
      <c r="AF73" t="s">
        <v>348</v>
      </c>
      <c r="AG73" t="s">
        <v>2188</v>
      </c>
      <c r="AH73" t="s">
        <v>2187</v>
      </c>
      <c r="AI73" t="s">
        <v>3197</v>
      </c>
      <c r="AJ73" t="s">
        <v>3197</v>
      </c>
      <c r="AK73" t="s">
        <v>3197</v>
      </c>
      <c r="AL73" t="s">
        <v>3197</v>
      </c>
      <c r="AM73" s="176">
        <v>141100842</v>
      </c>
      <c r="AN73" s="176" t="s">
        <v>2643</v>
      </c>
      <c r="AO73" s="176" t="s">
        <v>2644</v>
      </c>
      <c r="AP73" s="176" t="s">
        <v>2645</v>
      </c>
      <c r="AQ73" s="176" t="s">
        <v>2646</v>
      </c>
      <c r="AR73" t="s">
        <v>338</v>
      </c>
      <c r="AS73" s="175">
        <v>12</v>
      </c>
    </row>
    <row r="74" spans="1:45" x14ac:dyDescent="0.25">
      <c r="A74">
        <v>2</v>
      </c>
      <c r="B74" t="s">
        <v>3255</v>
      </c>
      <c r="C74">
        <v>73</v>
      </c>
      <c r="D74" t="s">
        <v>19</v>
      </c>
      <c r="E74" t="s">
        <v>20</v>
      </c>
      <c r="F74" t="s">
        <v>2385</v>
      </c>
      <c r="G74" t="s">
        <v>453</v>
      </c>
      <c r="H74" t="s">
        <v>450</v>
      </c>
      <c r="I74" s="187">
        <v>194.48</v>
      </c>
      <c r="J74">
        <v>2023</v>
      </c>
      <c r="K74" t="s">
        <v>451</v>
      </c>
      <c r="L74" t="s">
        <v>452</v>
      </c>
      <c r="M74" t="s">
        <v>365</v>
      </c>
      <c r="N74" t="s">
        <v>27</v>
      </c>
      <c r="O74" t="s">
        <v>338</v>
      </c>
      <c r="P74">
        <v>19</v>
      </c>
      <c r="Q74" t="s">
        <v>339</v>
      </c>
      <c r="R74" s="175">
        <v>1905</v>
      </c>
      <c r="S74" t="s">
        <v>354</v>
      </c>
      <c r="T74" s="175" t="s">
        <v>407</v>
      </c>
      <c r="U74" t="s">
        <v>408</v>
      </c>
      <c r="V74" t="s">
        <v>455</v>
      </c>
      <c r="W74" t="s">
        <v>358</v>
      </c>
      <c r="X74" s="175" t="s">
        <v>463</v>
      </c>
      <c r="Y74" t="s">
        <v>2107</v>
      </c>
      <c r="Z74" t="s">
        <v>2028</v>
      </c>
      <c r="AA74" t="s">
        <v>36</v>
      </c>
      <c r="AB74">
        <v>1</v>
      </c>
      <c r="AC74" t="s">
        <v>2192</v>
      </c>
      <c r="AD74" t="s">
        <v>2230</v>
      </c>
      <c r="AE74" t="s">
        <v>2187</v>
      </c>
      <c r="AF74" t="s">
        <v>348</v>
      </c>
      <c r="AG74" t="s">
        <v>2188</v>
      </c>
      <c r="AH74" t="s">
        <v>2187</v>
      </c>
      <c r="AI74">
        <v>1</v>
      </c>
      <c r="AJ74">
        <v>1</v>
      </c>
      <c r="AK74">
        <v>1</v>
      </c>
      <c r="AL74">
        <v>1</v>
      </c>
      <c r="AM74" s="176">
        <v>78000000</v>
      </c>
      <c r="AN74" s="176">
        <v>82524000</v>
      </c>
      <c r="AO74" s="176">
        <v>85701174</v>
      </c>
      <c r="AP74" s="176" t="s">
        <v>2647</v>
      </c>
      <c r="AQ74" s="176" t="s">
        <v>2648</v>
      </c>
      <c r="AR74" t="s">
        <v>338</v>
      </c>
      <c r="AS74" s="175">
        <v>12</v>
      </c>
    </row>
    <row r="75" spans="1:45" x14ac:dyDescent="0.25">
      <c r="A75">
        <v>2</v>
      </c>
      <c r="B75" t="s">
        <v>3255</v>
      </c>
      <c r="C75">
        <v>74</v>
      </c>
      <c r="D75" t="s">
        <v>19</v>
      </c>
      <c r="E75" t="s">
        <v>20</v>
      </c>
      <c r="F75" t="s">
        <v>2385</v>
      </c>
      <c r="G75" t="s">
        <v>453</v>
      </c>
      <c r="H75" t="s">
        <v>450</v>
      </c>
      <c r="I75" s="187">
        <v>194.48</v>
      </c>
      <c r="J75">
        <v>2023</v>
      </c>
      <c r="K75" t="s">
        <v>451</v>
      </c>
      <c r="L75" t="s">
        <v>452</v>
      </c>
      <c r="M75" t="s">
        <v>365</v>
      </c>
      <c r="N75" t="s">
        <v>27</v>
      </c>
      <c r="O75" t="s">
        <v>338</v>
      </c>
      <c r="P75">
        <v>19</v>
      </c>
      <c r="Q75" t="s">
        <v>339</v>
      </c>
      <c r="R75" s="175" t="s">
        <v>404</v>
      </c>
      <c r="S75" t="s">
        <v>405</v>
      </c>
      <c r="T75" s="175" t="s">
        <v>2397</v>
      </c>
      <c r="U75" t="s">
        <v>2398</v>
      </c>
      <c r="V75" t="s">
        <v>2399</v>
      </c>
      <c r="W75" t="s">
        <v>2400</v>
      </c>
      <c r="X75" s="175" t="s">
        <v>2401</v>
      </c>
      <c r="Y75" t="s">
        <v>2402</v>
      </c>
      <c r="Z75" t="s">
        <v>3078</v>
      </c>
      <c r="AA75" t="s">
        <v>36</v>
      </c>
      <c r="AB75">
        <v>34</v>
      </c>
      <c r="AC75" t="s">
        <v>2192</v>
      </c>
      <c r="AD75" t="s">
        <v>2230</v>
      </c>
      <c r="AE75" t="s">
        <v>2187</v>
      </c>
      <c r="AF75" t="s">
        <v>348</v>
      </c>
      <c r="AG75" t="s">
        <v>2188</v>
      </c>
      <c r="AH75" t="s">
        <v>2187</v>
      </c>
      <c r="AI75">
        <v>34</v>
      </c>
      <c r="AJ75">
        <v>34</v>
      </c>
      <c r="AK75">
        <v>34</v>
      </c>
      <c r="AL75">
        <v>34</v>
      </c>
      <c r="AM75" s="176">
        <v>1268787954</v>
      </c>
      <c r="AN75" s="176">
        <v>1340637312</v>
      </c>
      <c r="AO75" s="176" t="s">
        <v>2649</v>
      </c>
      <c r="AP75" s="176" t="s">
        <v>2650</v>
      </c>
      <c r="AQ75" s="176" t="s">
        <v>2651</v>
      </c>
      <c r="AR75" t="s">
        <v>338</v>
      </c>
      <c r="AS75" s="175">
        <v>12</v>
      </c>
    </row>
    <row r="76" spans="1:45" x14ac:dyDescent="0.25">
      <c r="A76">
        <v>2</v>
      </c>
      <c r="B76" t="s">
        <v>3255</v>
      </c>
      <c r="C76">
        <v>75</v>
      </c>
      <c r="D76" t="s">
        <v>19</v>
      </c>
      <c r="E76" t="s">
        <v>20</v>
      </c>
      <c r="F76" t="s">
        <v>2385</v>
      </c>
      <c r="G76" t="s">
        <v>453</v>
      </c>
      <c r="H76" t="s">
        <v>450</v>
      </c>
      <c r="I76" s="187">
        <v>194.48</v>
      </c>
      <c r="J76">
        <v>2023</v>
      </c>
      <c r="K76" t="s">
        <v>454</v>
      </c>
      <c r="L76" t="s">
        <v>452</v>
      </c>
      <c r="M76" t="s">
        <v>365</v>
      </c>
      <c r="N76" t="s">
        <v>27</v>
      </c>
      <c r="O76" t="s">
        <v>338</v>
      </c>
      <c r="P76">
        <v>19</v>
      </c>
      <c r="Q76" t="s">
        <v>339</v>
      </c>
      <c r="R76" s="175">
        <v>1905</v>
      </c>
      <c r="S76" t="s">
        <v>354</v>
      </c>
      <c r="T76" s="175">
        <v>1905043</v>
      </c>
      <c r="U76" t="s">
        <v>408</v>
      </c>
      <c r="V76" t="s">
        <v>455</v>
      </c>
      <c r="W76" t="s">
        <v>358</v>
      </c>
      <c r="X76" s="175">
        <v>190504300</v>
      </c>
      <c r="Y76" t="s">
        <v>456</v>
      </c>
      <c r="Z76" t="s">
        <v>2030</v>
      </c>
      <c r="AA76" t="s">
        <v>36</v>
      </c>
      <c r="AB76">
        <v>24</v>
      </c>
      <c r="AC76" t="s">
        <v>2192</v>
      </c>
      <c r="AD76" t="s">
        <v>2230</v>
      </c>
      <c r="AE76" t="s">
        <v>2187</v>
      </c>
      <c r="AF76" t="s">
        <v>348</v>
      </c>
      <c r="AG76" t="s">
        <v>2188</v>
      </c>
      <c r="AH76" t="s">
        <v>2187</v>
      </c>
      <c r="AI76">
        <v>24</v>
      </c>
      <c r="AJ76">
        <v>24</v>
      </c>
      <c r="AK76">
        <v>24</v>
      </c>
      <c r="AL76">
        <v>24</v>
      </c>
      <c r="AM76" s="176">
        <v>250400000</v>
      </c>
      <c r="AN76" s="176">
        <v>264923200</v>
      </c>
      <c r="AO76" s="176" t="s">
        <v>2652</v>
      </c>
      <c r="AP76" s="176" t="s">
        <v>2653</v>
      </c>
      <c r="AQ76" s="176" t="s">
        <v>2654</v>
      </c>
      <c r="AR76" t="s">
        <v>338</v>
      </c>
      <c r="AS76" s="175">
        <v>12</v>
      </c>
    </row>
    <row r="77" spans="1:45" x14ac:dyDescent="0.25">
      <c r="A77">
        <v>2</v>
      </c>
      <c r="B77" t="s">
        <v>3255</v>
      </c>
      <c r="C77">
        <v>76</v>
      </c>
      <c r="D77" t="s">
        <v>19</v>
      </c>
      <c r="E77" t="s">
        <v>20</v>
      </c>
      <c r="F77" t="s">
        <v>2385</v>
      </c>
      <c r="G77" t="s">
        <v>457</v>
      </c>
      <c r="H77" t="s">
        <v>458</v>
      </c>
      <c r="I77" s="183">
        <v>240</v>
      </c>
      <c r="J77">
        <v>2023</v>
      </c>
      <c r="K77" t="s">
        <v>454</v>
      </c>
      <c r="L77" t="s">
        <v>459</v>
      </c>
      <c r="M77" t="s">
        <v>365</v>
      </c>
      <c r="N77" t="s">
        <v>27</v>
      </c>
      <c r="O77" t="s">
        <v>338</v>
      </c>
      <c r="P77">
        <v>19</v>
      </c>
      <c r="Q77" t="s">
        <v>339</v>
      </c>
      <c r="R77" s="175">
        <v>1905</v>
      </c>
      <c r="S77" t="s">
        <v>354</v>
      </c>
      <c r="T77" s="175" t="s">
        <v>366</v>
      </c>
      <c r="U77" t="s">
        <v>367</v>
      </c>
      <c r="V77" t="s">
        <v>368</v>
      </c>
      <c r="W77" t="s">
        <v>369</v>
      </c>
      <c r="X77" s="175" t="s">
        <v>460</v>
      </c>
      <c r="Y77" t="s">
        <v>461</v>
      </c>
      <c r="Z77" t="s">
        <v>2031</v>
      </c>
      <c r="AA77" t="s">
        <v>36</v>
      </c>
      <c r="AB77">
        <v>1</v>
      </c>
      <c r="AC77" t="s">
        <v>2192</v>
      </c>
      <c r="AD77" t="s">
        <v>2230</v>
      </c>
      <c r="AE77" t="s">
        <v>2187</v>
      </c>
      <c r="AF77" t="s">
        <v>348</v>
      </c>
      <c r="AG77" t="s">
        <v>2188</v>
      </c>
      <c r="AH77" t="s">
        <v>2187</v>
      </c>
      <c r="AI77">
        <v>1</v>
      </c>
      <c r="AJ77">
        <v>1</v>
      </c>
      <c r="AK77">
        <v>1</v>
      </c>
      <c r="AL77">
        <v>1</v>
      </c>
      <c r="AM77" s="176">
        <v>32500000</v>
      </c>
      <c r="AN77" s="176">
        <v>34385000</v>
      </c>
      <c r="AO77" s="176" t="s">
        <v>2655</v>
      </c>
      <c r="AP77" s="176" t="s">
        <v>2656</v>
      </c>
      <c r="AQ77" s="176" t="s">
        <v>2657</v>
      </c>
      <c r="AR77" t="s">
        <v>338</v>
      </c>
      <c r="AS77" s="175">
        <v>12</v>
      </c>
    </row>
    <row r="78" spans="1:45" x14ac:dyDescent="0.25">
      <c r="A78">
        <v>2</v>
      </c>
      <c r="B78" t="s">
        <v>3255</v>
      </c>
      <c r="C78">
        <v>77</v>
      </c>
      <c r="D78" t="s">
        <v>19</v>
      </c>
      <c r="E78" t="s">
        <v>20</v>
      </c>
      <c r="F78" t="s">
        <v>2385</v>
      </c>
      <c r="G78" t="s">
        <v>457</v>
      </c>
      <c r="H78" t="s">
        <v>458</v>
      </c>
      <c r="I78" s="183">
        <v>240</v>
      </c>
      <c r="J78">
        <v>2023</v>
      </c>
      <c r="K78" t="s">
        <v>454</v>
      </c>
      <c r="L78" t="s">
        <v>459</v>
      </c>
      <c r="M78" t="s">
        <v>365</v>
      </c>
      <c r="N78" t="s">
        <v>27</v>
      </c>
      <c r="O78" t="s">
        <v>338</v>
      </c>
      <c r="P78">
        <v>19</v>
      </c>
      <c r="Q78" t="s">
        <v>339</v>
      </c>
      <c r="R78" s="175">
        <v>1905</v>
      </c>
      <c r="S78" t="s">
        <v>354</v>
      </c>
      <c r="T78" s="175" t="s">
        <v>407</v>
      </c>
      <c r="U78" t="s">
        <v>462</v>
      </c>
      <c r="V78" t="s">
        <v>455</v>
      </c>
      <c r="W78" t="s">
        <v>358</v>
      </c>
      <c r="X78" s="175" t="s">
        <v>463</v>
      </c>
      <c r="Y78" t="s">
        <v>464</v>
      </c>
      <c r="Z78" t="s">
        <v>1986</v>
      </c>
      <c r="AA78" t="s">
        <v>36</v>
      </c>
      <c r="AB78">
        <v>31000</v>
      </c>
      <c r="AC78" t="s">
        <v>2185</v>
      </c>
      <c r="AD78" t="s">
        <v>2230</v>
      </c>
      <c r="AE78" t="s">
        <v>2187</v>
      </c>
      <c r="AF78" t="s">
        <v>348</v>
      </c>
      <c r="AG78" t="s">
        <v>2188</v>
      </c>
      <c r="AH78" t="s">
        <v>2187</v>
      </c>
      <c r="AI78">
        <v>1000</v>
      </c>
      <c r="AJ78">
        <v>5000</v>
      </c>
      <c r="AK78">
        <v>5000</v>
      </c>
      <c r="AL78">
        <v>4000</v>
      </c>
      <c r="AM78" s="176">
        <v>51200000</v>
      </c>
      <c r="AN78" s="176">
        <v>54169600</v>
      </c>
      <c r="AO78" s="176" t="s">
        <v>2658</v>
      </c>
      <c r="AP78" s="176" t="s">
        <v>2659</v>
      </c>
      <c r="AQ78" s="176" t="s">
        <v>2660</v>
      </c>
      <c r="AR78" t="s">
        <v>338</v>
      </c>
      <c r="AS78" s="175">
        <v>12</v>
      </c>
    </row>
    <row r="79" spans="1:45" x14ac:dyDescent="0.25">
      <c r="A79">
        <v>2</v>
      </c>
      <c r="B79" t="s">
        <v>3255</v>
      </c>
      <c r="C79">
        <v>78</v>
      </c>
      <c r="D79" t="s">
        <v>328</v>
      </c>
      <c r="E79" t="s">
        <v>465</v>
      </c>
      <c r="F79" t="s">
        <v>2384</v>
      </c>
      <c r="G79" t="s">
        <v>466</v>
      </c>
      <c r="H79" t="s">
        <v>467</v>
      </c>
      <c r="I79" s="183">
        <v>80</v>
      </c>
      <c r="J79">
        <v>2022</v>
      </c>
      <c r="K79" t="s">
        <v>468</v>
      </c>
      <c r="L79" t="s">
        <v>469</v>
      </c>
      <c r="M79" t="s">
        <v>36</v>
      </c>
      <c r="O79" t="s">
        <v>470</v>
      </c>
      <c r="P79">
        <v>19</v>
      </c>
      <c r="Q79" t="s">
        <v>339</v>
      </c>
      <c r="R79" s="175" t="s">
        <v>353</v>
      </c>
      <c r="S79" t="s">
        <v>354</v>
      </c>
      <c r="T79" s="175" t="s">
        <v>471</v>
      </c>
      <c r="U79" t="s">
        <v>472</v>
      </c>
      <c r="V79" t="s">
        <v>473</v>
      </c>
      <c r="W79" t="s">
        <v>474</v>
      </c>
      <c r="X79" s="175">
        <v>190504600</v>
      </c>
      <c r="Y79" t="s">
        <v>2032</v>
      </c>
      <c r="Z79" t="s">
        <v>2033</v>
      </c>
      <c r="AA79" t="s">
        <v>36</v>
      </c>
      <c r="AB79">
        <v>0</v>
      </c>
      <c r="AC79" t="s">
        <v>2185</v>
      </c>
      <c r="AG79" t="s">
        <v>2188</v>
      </c>
      <c r="AH79" t="s">
        <v>2187</v>
      </c>
      <c r="AI79">
        <v>0</v>
      </c>
      <c r="AJ79" t="s">
        <v>3194</v>
      </c>
      <c r="AK79">
        <v>0</v>
      </c>
      <c r="AL79" t="s">
        <v>3194</v>
      </c>
      <c r="AM79" s="176">
        <v>0</v>
      </c>
      <c r="AN79" s="176">
        <v>15000000000</v>
      </c>
      <c r="AO79" s="176">
        <v>0</v>
      </c>
      <c r="AP79" s="176">
        <v>15000000000</v>
      </c>
      <c r="AQ79" s="176">
        <v>30000000000</v>
      </c>
      <c r="AR79" t="s">
        <v>338</v>
      </c>
      <c r="AS79" s="175">
        <v>12</v>
      </c>
    </row>
    <row r="80" spans="1:45" x14ac:dyDescent="0.25">
      <c r="A80">
        <v>2</v>
      </c>
      <c r="B80" t="s">
        <v>3255</v>
      </c>
      <c r="C80">
        <v>79</v>
      </c>
      <c r="D80" t="s">
        <v>328</v>
      </c>
      <c r="E80" t="s">
        <v>465</v>
      </c>
      <c r="F80" t="s">
        <v>2384</v>
      </c>
      <c r="G80" t="s">
        <v>466</v>
      </c>
      <c r="H80" t="s">
        <v>467</v>
      </c>
      <c r="I80" s="183">
        <v>80</v>
      </c>
      <c r="J80">
        <v>2022</v>
      </c>
      <c r="K80" t="s">
        <v>468</v>
      </c>
      <c r="L80" t="s">
        <v>469</v>
      </c>
      <c r="M80" t="s">
        <v>36</v>
      </c>
      <c r="O80" t="s">
        <v>470</v>
      </c>
      <c r="P80">
        <v>19</v>
      </c>
      <c r="Q80" t="s">
        <v>339</v>
      </c>
      <c r="R80" s="175" t="s">
        <v>353</v>
      </c>
      <c r="S80" t="s">
        <v>354</v>
      </c>
      <c r="T80" s="175" t="s">
        <v>471</v>
      </c>
      <c r="U80" t="s">
        <v>472</v>
      </c>
      <c r="V80" t="s">
        <v>473</v>
      </c>
      <c r="W80" t="s">
        <v>474</v>
      </c>
      <c r="X80" s="175">
        <v>190504601</v>
      </c>
      <c r="Y80" t="s">
        <v>475</v>
      </c>
      <c r="Z80" t="s">
        <v>476</v>
      </c>
      <c r="AA80" t="s">
        <v>36</v>
      </c>
      <c r="AB80">
        <v>1</v>
      </c>
      <c r="AC80" t="s">
        <v>2185</v>
      </c>
      <c r="AF80" t="s">
        <v>348</v>
      </c>
      <c r="AG80" t="s">
        <v>2188</v>
      </c>
      <c r="AH80" t="s">
        <v>2187</v>
      </c>
      <c r="AI80">
        <v>0</v>
      </c>
      <c r="AJ80">
        <v>0</v>
      </c>
      <c r="AK80">
        <v>0</v>
      </c>
      <c r="AL80">
        <v>1</v>
      </c>
      <c r="AM80" s="176">
        <v>0</v>
      </c>
      <c r="AN80" s="176">
        <v>0</v>
      </c>
      <c r="AO80" s="176">
        <v>0</v>
      </c>
      <c r="AP80" s="176">
        <v>10000000</v>
      </c>
      <c r="AQ80" s="176">
        <v>10000000</v>
      </c>
      <c r="AR80" t="s">
        <v>338</v>
      </c>
      <c r="AS80" s="175">
        <v>12</v>
      </c>
    </row>
    <row r="81" spans="1:45" x14ac:dyDescent="0.25">
      <c r="A81">
        <v>2</v>
      </c>
      <c r="B81" t="s">
        <v>3255</v>
      </c>
      <c r="C81">
        <v>80</v>
      </c>
      <c r="D81" t="s">
        <v>328</v>
      </c>
      <c r="E81" t="s">
        <v>465</v>
      </c>
      <c r="F81" t="s">
        <v>2384</v>
      </c>
      <c r="G81" t="s">
        <v>466</v>
      </c>
      <c r="H81" t="s">
        <v>467</v>
      </c>
      <c r="I81" s="183">
        <v>80</v>
      </c>
      <c r="J81">
        <v>2022</v>
      </c>
      <c r="K81" t="s">
        <v>468</v>
      </c>
      <c r="L81" t="s">
        <v>469</v>
      </c>
      <c r="M81" t="s">
        <v>36</v>
      </c>
      <c r="O81" t="s">
        <v>470</v>
      </c>
      <c r="P81">
        <v>19</v>
      </c>
      <c r="Q81" t="s">
        <v>339</v>
      </c>
      <c r="R81" s="175" t="s">
        <v>353</v>
      </c>
      <c r="S81" t="s">
        <v>354</v>
      </c>
      <c r="T81" s="175" t="s">
        <v>477</v>
      </c>
      <c r="U81" t="s">
        <v>478</v>
      </c>
      <c r="V81" t="s">
        <v>479</v>
      </c>
      <c r="W81" t="s">
        <v>474</v>
      </c>
      <c r="X81" s="175" t="s">
        <v>480</v>
      </c>
      <c r="Y81" t="s">
        <v>481</v>
      </c>
      <c r="Z81" t="s">
        <v>482</v>
      </c>
      <c r="AA81" t="s">
        <v>36</v>
      </c>
      <c r="AB81">
        <v>0</v>
      </c>
      <c r="AC81" t="s">
        <v>2185</v>
      </c>
      <c r="AF81" t="s">
        <v>348</v>
      </c>
      <c r="AG81" t="s">
        <v>2188</v>
      </c>
      <c r="AH81" t="s">
        <v>2187</v>
      </c>
      <c r="AI81">
        <v>1</v>
      </c>
      <c r="AJ81">
        <v>0</v>
      </c>
      <c r="AK81">
        <v>0</v>
      </c>
      <c r="AL81">
        <v>0</v>
      </c>
      <c r="AM81" s="176">
        <v>1000000000</v>
      </c>
      <c r="AN81" s="176">
        <v>0</v>
      </c>
      <c r="AO81" s="176">
        <v>0</v>
      </c>
      <c r="AP81" s="176">
        <v>0</v>
      </c>
      <c r="AQ81" s="176">
        <v>1000000000</v>
      </c>
      <c r="AR81" t="s">
        <v>338</v>
      </c>
      <c r="AS81" s="175">
        <v>12</v>
      </c>
    </row>
    <row r="82" spans="1:45" x14ac:dyDescent="0.25">
      <c r="A82">
        <v>2</v>
      </c>
      <c r="B82" t="s">
        <v>3255</v>
      </c>
      <c r="C82">
        <v>81</v>
      </c>
      <c r="D82" t="s">
        <v>328</v>
      </c>
      <c r="E82" t="s">
        <v>465</v>
      </c>
      <c r="F82" t="s">
        <v>2384</v>
      </c>
      <c r="G82" t="s">
        <v>466</v>
      </c>
      <c r="H82" t="s">
        <v>467</v>
      </c>
      <c r="I82" s="183">
        <v>80</v>
      </c>
      <c r="J82">
        <v>2022</v>
      </c>
      <c r="K82" t="s">
        <v>468</v>
      </c>
      <c r="L82" t="s">
        <v>469</v>
      </c>
      <c r="M82" t="s">
        <v>36</v>
      </c>
      <c r="O82" t="s">
        <v>470</v>
      </c>
      <c r="P82">
        <v>19</v>
      </c>
      <c r="Q82" t="s">
        <v>339</v>
      </c>
      <c r="R82" s="175" t="s">
        <v>404</v>
      </c>
      <c r="S82" t="s">
        <v>405</v>
      </c>
      <c r="T82" s="175" t="s">
        <v>483</v>
      </c>
      <c r="U82" t="s">
        <v>484</v>
      </c>
      <c r="V82" t="s">
        <v>485</v>
      </c>
      <c r="W82" t="s">
        <v>486</v>
      </c>
      <c r="X82" s="175" t="s">
        <v>487</v>
      </c>
      <c r="Y82" t="s">
        <v>488</v>
      </c>
      <c r="Z82" t="s">
        <v>489</v>
      </c>
      <c r="AA82" t="s">
        <v>36</v>
      </c>
      <c r="AB82">
        <v>438</v>
      </c>
      <c r="AC82" t="s">
        <v>2185</v>
      </c>
      <c r="AF82" t="s">
        <v>348</v>
      </c>
      <c r="AG82" t="s">
        <v>2188</v>
      </c>
      <c r="AH82" t="s">
        <v>2187</v>
      </c>
      <c r="AI82">
        <v>100</v>
      </c>
      <c r="AJ82">
        <v>600</v>
      </c>
      <c r="AK82">
        <v>600</v>
      </c>
      <c r="AL82">
        <v>300</v>
      </c>
      <c r="AM82" s="176">
        <v>675000000</v>
      </c>
      <c r="AN82" s="176">
        <v>675000000</v>
      </c>
      <c r="AO82" s="176">
        <v>675000000</v>
      </c>
      <c r="AP82" s="176">
        <v>675000000</v>
      </c>
      <c r="AQ82" s="176">
        <v>2700000000</v>
      </c>
      <c r="AR82" t="s">
        <v>338</v>
      </c>
      <c r="AS82" s="175">
        <v>12</v>
      </c>
    </row>
    <row r="83" spans="1:45" x14ac:dyDescent="0.25">
      <c r="A83">
        <v>2</v>
      </c>
      <c r="B83" t="s">
        <v>3254</v>
      </c>
      <c r="C83" s="193">
        <v>82</v>
      </c>
      <c r="D83" t="s">
        <v>328</v>
      </c>
      <c r="E83" t="s">
        <v>465</v>
      </c>
      <c r="F83" t="s">
        <v>2384</v>
      </c>
      <c r="G83" t="s">
        <v>466</v>
      </c>
      <c r="H83" t="s">
        <v>467</v>
      </c>
      <c r="I83" s="183">
        <v>80</v>
      </c>
      <c r="J83">
        <v>2022</v>
      </c>
      <c r="K83" t="s">
        <v>468</v>
      </c>
      <c r="L83" t="s">
        <v>469</v>
      </c>
      <c r="M83" t="s">
        <v>36</v>
      </c>
      <c r="O83" t="s">
        <v>470</v>
      </c>
      <c r="P83">
        <v>19</v>
      </c>
      <c r="Q83" t="s">
        <v>339</v>
      </c>
      <c r="R83" s="175" t="s">
        <v>404</v>
      </c>
      <c r="S83" t="s">
        <v>405</v>
      </c>
      <c r="T83" s="175" t="s">
        <v>490</v>
      </c>
      <c r="U83" t="s">
        <v>491</v>
      </c>
      <c r="V83" t="s">
        <v>492</v>
      </c>
      <c r="W83" t="s">
        <v>234</v>
      </c>
      <c r="X83" s="175" t="s">
        <v>493</v>
      </c>
      <c r="Y83" t="s">
        <v>494</v>
      </c>
      <c r="Z83" t="s">
        <v>495</v>
      </c>
      <c r="AA83" t="s">
        <v>36</v>
      </c>
      <c r="AB83">
        <v>612</v>
      </c>
      <c r="AC83" t="s">
        <v>2185</v>
      </c>
      <c r="AF83" t="s">
        <v>348</v>
      </c>
      <c r="AG83" t="s">
        <v>2188</v>
      </c>
      <c r="AH83" t="s">
        <v>2187</v>
      </c>
      <c r="AI83">
        <v>60</v>
      </c>
      <c r="AJ83">
        <v>80</v>
      </c>
      <c r="AK83">
        <v>80</v>
      </c>
      <c r="AL83">
        <v>80</v>
      </c>
      <c r="AM83" s="176">
        <v>600000000</v>
      </c>
      <c r="AN83" s="176">
        <v>600000000</v>
      </c>
      <c r="AO83" s="176">
        <v>600000000</v>
      </c>
      <c r="AP83" s="176">
        <v>600000000</v>
      </c>
      <c r="AQ83" s="176">
        <v>2400000000</v>
      </c>
      <c r="AR83" t="s">
        <v>338</v>
      </c>
      <c r="AS83" s="175">
        <v>12</v>
      </c>
    </row>
    <row r="84" spans="1:45" x14ac:dyDescent="0.25">
      <c r="A84">
        <v>2</v>
      </c>
      <c r="B84" t="s">
        <v>3255</v>
      </c>
      <c r="C84">
        <v>83</v>
      </c>
      <c r="D84" t="s">
        <v>328</v>
      </c>
      <c r="E84" t="s">
        <v>465</v>
      </c>
      <c r="F84" t="s">
        <v>2384</v>
      </c>
      <c r="G84" t="s">
        <v>466</v>
      </c>
      <c r="H84" t="s">
        <v>467</v>
      </c>
      <c r="I84" s="183">
        <v>80</v>
      </c>
      <c r="J84">
        <v>2022</v>
      </c>
      <c r="K84" t="s">
        <v>468</v>
      </c>
      <c r="L84" t="s">
        <v>469</v>
      </c>
      <c r="M84" t="s">
        <v>36</v>
      </c>
      <c r="O84" t="s">
        <v>470</v>
      </c>
      <c r="P84">
        <v>19</v>
      </c>
      <c r="Q84" t="s">
        <v>339</v>
      </c>
      <c r="R84" s="175" t="s">
        <v>353</v>
      </c>
      <c r="S84" t="s">
        <v>354</v>
      </c>
      <c r="T84" s="175" t="s">
        <v>377</v>
      </c>
      <c r="U84" t="s">
        <v>232</v>
      </c>
      <c r="V84" t="s">
        <v>378</v>
      </c>
      <c r="W84" t="s">
        <v>234</v>
      </c>
      <c r="X84" s="175" t="s">
        <v>379</v>
      </c>
      <c r="Y84" t="s">
        <v>380</v>
      </c>
      <c r="Z84" t="s">
        <v>496</v>
      </c>
      <c r="AA84" t="s">
        <v>36</v>
      </c>
      <c r="AB84">
        <v>441</v>
      </c>
      <c r="AC84" t="s">
        <v>2185</v>
      </c>
      <c r="AF84" t="s">
        <v>348</v>
      </c>
      <c r="AG84" t="s">
        <v>2188</v>
      </c>
      <c r="AH84" t="s">
        <v>2187</v>
      </c>
      <c r="AI84">
        <v>400</v>
      </c>
      <c r="AJ84">
        <v>400</v>
      </c>
      <c r="AK84">
        <v>400</v>
      </c>
      <c r="AL84">
        <v>400</v>
      </c>
      <c r="AM84" s="176">
        <v>750000000</v>
      </c>
      <c r="AN84" s="176">
        <v>750000000</v>
      </c>
      <c r="AO84" s="176">
        <v>750000000</v>
      </c>
      <c r="AP84" s="176">
        <v>750000000</v>
      </c>
      <c r="AQ84" s="176">
        <v>3000000000</v>
      </c>
      <c r="AR84" t="s">
        <v>338</v>
      </c>
      <c r="AS84" s="175">
        <v>12</v>
      </c>
    </row>
    <row r="85" spans="1:45" x14ac:dyDescent="0.25">
      <c r="A85">
        <v>2</v>
      </c>
      <c r="B85" t="s">
        <v>3255</v>
      </c>
      <c r="C85">
        <v>84</v>
      </c>
      <c r="D85" t="s">
        <v>328</v>
      </c>
      <c r="E85" t="s">
        <v>465</v>
      </c>
      <c r="F85" t="s">
        <v>2384</v>
      </c>
      <c r="G85" t="s">
        <v>466</v>
      </c>
      <c r="H85" t="s">
        <v>467</v>
      </c>
      <c r="I85" s="183">
        <v>80</v>
      </c>
      <c r="J85">
        <v>2022</v>
      </c>
      <c r="K85" t="s">
        <v>468</v>
      </c>
      <c r="L85" t="s">
        <v>469</v>
      </c>
      <c r="M85" t="s">
        <v>36</v>
      </c>
      <c r="O85" t="s">
        <v>470</v>
      </c>
      <c r="P85">
        <v>19</v>
      </c>
      <c r="Q85" t="s">
        <v>339</v>
      </c>
      <c r="R85" s="175" t="s">
        <v>404</v>
      </c>
      <c r="S85" t="s">
        <v>405</v>
      </c>
      <c r="T85" s="175" t="s">
        <v>497</v>
      </c>
      <c r="U85" t="s">
        <v>498</v>
      </c>
      <c r="V85" t="s">
        <v>499</v>
      </c>
      <c r="W85" t="s">
        <v>500</v>
      </c>
      <c r="X85" s="175" t="s">
        <v>501</v>
      </c>
      <c r="Y85" t="s">
        <v>502</v>
      </c>
      <c r="Z85" t="s">
        <v>503</v>
      </c>
      <c r="AA85" t="s">
        <v>36</v>
      </c>
      <c r="AB85">
        <v>48</v>
      </c>
      <c r="AC85" t="s">
        <v>2192</v>
      </c>
      <c r="AF85" t="s">
        <v>348</v>
      </c>
      <c r="AG85" t="s">
        <v>2188</v>
      </c>
      <c r="AH85" t="s">
        <v>2187</v>
      </c>
      <c r="AI85">
        <v>48</v>
      </c>
      <c r="AJ85">
        <v>48</v>
      </c>
      <c r="AK85">
        <v>48</v>
      </c>
      <c r="AL85">
        <v>48</v>
      </c>
      <c r="AM85" s="176">
        <v>150000000</v>
      </c>
      <c r="AN85" s="176">
        <v>150000000</v>
      </c>
      <c r="AO85" s="176">
        <v>150000000</v>
      </c>
      <c r="AP85" s="176">
        <v>150000000</v>
      </c>
      <c r="AQ85" s="176">
        <v>600000000</v>
      </c>
      <c r="AR85" t="s">
        <v>338</v>
      </c>
      <c r="AS85" s="175">
        <v>12</v>
      </c>
    </row>
    <row r="86" spans="1:45" x14ac:dyDescent="0.25">
      <c r="A86">
        <v>2</v>
      </c>
      <c r="B86" t="s">
        <v>3254</v>
      </c>
      <c r="C86" s="193">
        <v>85</v>
      </c>
      <c r="D86" t="s">
        <v>328</v>
      </c>
      <c r="E86" t="s">
        <v>465</v>
      </c>
      <c r="F86" t="s">
        <v>2384</v>
      </c>
      <c r="G86" t="s">
        <v>466</v>
      </c>
      <c r="H86" t="s">
        <v>467</v>
      </c>
      <c r="I86" s="183">
        <v>80</v>
      </c>
      <c r="J86">
        <v>2022</v>
      </c>
      <c r="K86" t="s">
        <v>468</v>
      </c>
      <c r="L86" t="s">
        <v>469</v>
      </c>
      <c r="M86" t="s">
        <v>36</v>
      </c>
      <c r="O86" t="s">
        <v>470</v>
      </c>
      <c r="P86">
        <v>19</v>
      </c>
      <c r="Q86" t="s">
        <v>339</v>
      </c>
      <c r="R86" s="175" t="s">
        <v>353</v>
      </c>
      <c r="S86" t="s">
        <v>354</v>
      </c>
      <c r="T86" s="175" t="s">
        <v>504</v>
      </c>
      <c r="U86" t="s">
        <v>498</v>
      </c>
      <c r="V86" t="s">
        <v>499</v>
      </c>
      <c r="W86" t="s">
        <v>500</v>
      </c>
      <c r="X86" s="175" t="s">
        <v>505</v>
      </c>
      <c r="Y86" t="s">
        <v>502</v>
      </c>
      <c r="Z86" t="s">
        <v>506</v>
      </c>
      <c r="AA86" t="s">
        <v>36</v>
      </c>
      <c r="AB86">
        <v>0</v>
      </c>
      <c r="AC86" t="s">
        <v>2185</v>
      </c>
      <c r="AF86" t="s">
        <v>348</v>
      </c>
      <c r="AG86" t="s">
        <v>2188</v>
      </c>
      <c r="AH86" t="s">
        <v>2187</v>
      </c>
      <c r="AI86">
        <v>2</v>
      </c>
      <c r="AJ86">
        <v>2</v>
      </c>
      <c r="AK86">
        <v>2</v>
      </c>
      <c r="AL86">
        <v>1</v>
      </c>
      <c r="AM86" s="176">
        <v>45000000</v>
      </c>
      <c r="AN86" s="176">
        <v>45000000</v>
      </c>
      <c r="AO86" s="176">
        <v>45000000</v>
      </c>
      <c r="AP86" s="176">
        <v>45000000</v>
      </c>
      <c r="AQ86" s="176">
        <v>180000000</v>
      </c>
      <c r="AR86" t="s">
        <v>338</v>
      </c>
      <c r="AS86" s="175">
        <v>12</v>
      </c>
    </row>
    <row r="87" spans="1:45" x14ac:dyDescent="0.25">
      <c r="A87">
        <v>2</v>
      </c>
      <c r="B87" t="s">
        <v>3255</v>
      </c>
      <c r="C87">
        <v>86</v>
      </c>
      <c r="D87" t="s">
        <v>328</v>
      </c>
      <c r="E87" t="s">
        <v>465</v>
      </c>
      <c r="F87" t="s">
        <v>2384</v>
      </c>
      <c r="G87" t="s">
        <v>466</v>
      </c>
      <c r="H87" t="s">
        <v>467</v>
      </c>
      <c r="I87" s="183">
        <v>80</v>
      </c>
      <c r="J87">
        <v>2022</v>
      </c>
      <c r="K87" t="s">
        <v>468</v>
      </c>
      <c r="L87" t="s">
        <v>469</v>
      </c>
      <c r="M87" t="s">
        <v>36</v>
      </c>
      <c r="O87" t="s">
        <v>470</v>
      </c>
      <c r="P87">
        <v>19</v>
      </c>
      <c r="Q87" t="s">
        <v>339</v>
      </c>
      <c r="R87" s="175">
        <v>1905</v>
      </c>
      <c r="S87" t="s">
        <v>354</v>
      </c>
      <c r="T87" s="175" t="s">
        <v>504</v>
      </c>
      <c r="U87" t="s">
        <v>498</v>
      </c>
      <c r="V87" t="s">
        <v>499</v>
      </c>
      <c r="W87" t="s">
        <v>500</v>
      </c>
      <c r="X87" s="175" t="s">
        <v>505</v>
      </c>
      <c r="Y87" t="s">
        <v>502</v>
      </c>
      <c r="Z87" t="s">
        <v>507</v>
      </c>
      <c r="AA87" t="s">
        <v>36</v>
      </c>
      <c r="AB87">
        <v>0</v>
      </c>
      <c r="AC87" t="s">
        <v>2185</v>
      </c>
      <c r="AF87" t="s">
        <v>348</v>
      </c>
      <c r="AG87" t="s">
        <v>2188</v>
      </c>
      <c r="AH87" t="s">
        <v>2187</v>
      </c>
      <c r="AI87">
        <v>2</v>
      </c>
      <c r="AJ87">
        <v>2</v>
      </c>
      <c r="AK87">
        <v>2</v>
      </c>
      <c r="AL87">
        <v>1</v>
      </c>
      <c r="AM87" s="176">
        <v>45000000</v>
      </c>
      <c r="AN87" s="176">
        <v>45000000</v>
      </c>
      <c r="AO87" s="176">
        <v>45000000</v>
      </c>
      <c r="AP87" s="176">
        <v>45000000</v>
      </c>
      <c r="AQ87" s="176">
        <v>180000000</v>
      </c>
      <c r="AR87" t="s">
        <v>338</v>
      </c>
      <c r="AS87" s="175">
        <v>12</v>
      </c>
    </row>
    <row r="88" spans="1:45" x14ac:dyDescent="0.25">
      <c r="A88">
        <v>2</v>
      </c>
      <c r="B88" t="s">
        <v>3254</v>
      </c>
      <c r="C88" s="193">
        <v>87</v>
      </c>
      <c r="D88" t="s">
        <v>328</v>
      </c>
      <c r="E88" t="s">
        <v>465</v>
      </c>
      <c r="F88" t="s">
        <v>2384</v>
      </c>
      <c r="G88" t="s">
        <v>466</v>
      </c>
      <c r="H88" t="s">
        <v>467</v>
      </c>
      <c r="I88" s="183">
        <v>80</v>
      </c>
      <c r="J88">
        <v>2022</v>
      </c>
      <c r="K88" t="s">
        <v>468</v>
      </c>
      <c r="L88" t="s">
        <v>469</v>
      </c>
      <c r="M88" t="s">
        <v>36</v>
      </c>
      <c r="O88" t="s">
        <v>470</v>
      </c>
      <c r="P88">
        <v>19</v>
      </c>
      <c r="Q88" t="s">
        <v>339</v>
      </c>
      <c r="R88" s="175">
        <v>1905</v>
      </c>
      <c r="S88" t="s">
        <v>354</v>
      </c>
      <c r="T88" s="175" t="s">
        <v>504</v>
      </c>
      <c r="U88" t="s">
        <v>498</v>
      </c>
      <c r="V88" t="s">
        <v>499</v>
      </c>
      <c r="W88" t="s">
        <v>500</v>
      </c>
      <c r="X88" s="175" t="s">
        <v>505</v>
      </c>
      <c r="Y88" t="s">
        <v>502</v>
      </c>
      <c r="Z88" t="s">
        <v>508</v>
      </c>
      <c r="AA88" t="s">
        <v>36</v>
      </c>
      <c r="AB88">
        <v>7</v>
      </c>
      <c r="AC88" t="s">
        <v>2185</v>
      </c>
      <c r="AF88" t="s">
        <v>348</v>
      </c>
      <c r="AG88" t="s">
        <v>2188</v>
      </c>
      <c r="AH88" t="s">
        <v>2187</v>
      </c>
      <c r="AI88">
        <v>2</v>
      </c>
      <c r="AJ88">
        <v>2</v>
      </c>
      <c r="AK88">
        <v>2</v>
      </c>
      <c r="AL88">
        <v>1</v>
      </c>
      <c r="AM88" s="176">
        <v>120000000</v>
      </c>
      <c r="AN88" s="176">
        <v>120000000</v>
      </c>
      <c r="AO88" s="176">
        <v>120000000</v>
      </c>
      <c r="AP88" s="176">
        <v>120000000</v>
      </c>
      <c r="AQ88" s="176">
        <v>480000000</v>
      </c>
      <c r="AR88" t="s">
        <v>338</v>
      </c>
      <c r="AS88" s="175">
        <v>12</v>
      </c>
    </row>
    <row r="89" spans="1:45" x14ac:dyDescent="0.25">
      <c r="A89">
        <v>2</v>
      </c>
      <c r="B89" t="s">
        <v>3255</v>
      </c>
      <c r="C89">
        <v>88</v>
      </c>
      <c r="D89" t="s">
        <v>328</v>
      </c>
      <c r="E89" t="s">
        <v>465</v>
      </c>
      <c r="F89" t="s">
        <v>2384</v>
      </c>
      <c r="G89" t="s">
        <v>466</v>
      </c>
      <c r="H89" t="s">
        <v>467</v>
      </c>
      <c r="I89" s="183">
        <v>80</v>
      </c>
      <c r="J89">
        <v>2022</v>
      </c>
      <c r="K89" t="s">
        <v>468</v>
      </c>
      <c r="L89" t="s">
        <v>469</v>
      </c>
      <c r="M89" t="s">
        <v>36</v>
      </c>
      <c r="O89" t="s">
        <v>470</v>
      </c>
      <c r="P89">
        <v>19</v>
      </c>
      <c r="Q89" t="s">
        <v>339</v>
      </c>
      <c r="R89" s="175">
        <v>1905</v>
      </c>
      <c r="S89" t="s">
        <v>354</v>
      </c>
      <c r="T89" s="175" t="s">
        <v>504</v>
      </c>
      <c r="U89" t="s">
        <v>498</v>
      </c>
      <c r="V89" t="s">
        <v>499</v>
      </c>
      <c r="W89" t="s">
        <v>500</v>
      </c>
      <c r="X89" s="175" t="s">
        <v>505</v>
      </c>
      <c r="Y89" t="s">
        <v>502</v>
      </c>
      <c r="Z89" t="s">
        <v>509</v>
      </c>
      <c r="AA89" t="s">
        <v>36</v>
      </c>
      <c r="AB89">
        <v>7</v>
      </c>
      <c r="AC89" t="s">
        <v>2185</v>
      </c>
      <c r="AF89" t="s">
        <v>348</v>
      </c>
      <c r="AG89" t="s">
        <v>2188</v>
      </c>
      <c r="AH89" t="s">
        <v>2187</v>
      </c>
      <c r="AI89">
        <v>2</v>
      </c>
      <c r="AJ89">
        <v>2</v>
      </c>
      <c r="AK89">
        <v>2</v>
      </c>
      <c r="AL89">
        <v>1</v>
      </c>
      <c r="AM89" s="176">
        <v>120000000</v>
      </c>
      <c r="AN89" s="176">
        <v>120000000</v>
      </c>
      <c r="AO89" s="176">
        <v>120000000</v>
      </c>
      <c r="AP89" s="176">
        <v>120000000</v>
      </c>
      <c r="AQ89" s="176">
        <v>480000000</v>
      </c>
      <c r="AR89" t="s">
        <v>338</v>
      </c>
      <c r="AS89" s="175">
        <v>12</v>
      </c>
    </row>
    <row r="90" spans="1:45" x14ac:dyDescent="0.25">
      <c r="A90">
        <v>2</v>
      </c>
      <c r="B90" t="s">
        <v>3255</v>
      </c>
      <c r="C90">
        <v>89</v>
      </c>
      <c r="D90" t="s">
        <v>328</v>
      </c>
      <c r="E90" t="s">
        <v>465</v>
      </c>
      <c r="F90" t="s">
        <v>2384</v>
      </c>
      <c r="G90" t="s">
        <v>466</v>
      </c>
      <c r="H90" t="s">
        <v>467</v>
      </c>
      <c r="I90" s="183">
        <v>80</v>
      </c>
      <c r="J90">
        <v>2022</v>
      </c>
      <c r="K90" t="s">
        <v>468</v>
      </c>
      <c r="L90" t="s">
        <v>469</v>
      </c>
      <c r="M90" t="s">
        <v>36</v>
      </c>
      <c r="O90" t="s">
        <v>470</v>
      </c>
      <c r="P90">
        <v>19</v>
      </c>
      <c r="Q90" t="s">
        <v>339</v>
      </c>
      <c r="R90" s="175" t="s">
        <v>340</v>
      </c>
      <c r="S90" t="s">
        <v>341</v>
      </c>
      <c r="T90" s="175" t="s">
        <v>418</v>
      </c>
      <c r="U90" t="s">
        <v>419</v>
      </c>
      <c r="V90" t="s">
        <v>420</v>
      </c>
      <c r="W90" t="s">
        <v>421</v>
      </c>
      <c r="X90" s="175" t="s">
        <v>422</v>
      </c>
      <c r="Y90" t="s">
        <v>423</v>
      </c>
      <c r="Z90" t="s">
        <v>510</v>
      </c>
      <c r="AA90" t="s">
        <v>36</v>
      </c>
      <c r="AB90">
        <v>30</v>
      </c>
      <c r="AC90" t="s">
        <v>2234</v>
      </c>
      <c r="AF90" t="s">
        <v>348</v>
      </c>
      <c r="AG90" t="s">
        <v>2188</v>
      </c>
      <c r="AH90" t="s">
        <v>2187</v>
      </c>
      <c r="AI90">
        <v>10</v>
      </c>
      <c r="AJ90">
        <v>10</v>
      </c>
      <c r="AK90">
        <v>11</v>
      </c>
      <c r="AL90">
        <v>11</v>
      </c>
      <c r="AM90" s="176">
        <v>715600000</v>
      </c>
      <c r="AN90" s="176">
        <v>755745160</v>
      </c>
      <c r="AO90" s="176">
        <v>798142463</v>
      </c>
      <c r="AP90" s="176">
        <v>842918255</v>
      </c>
      <c r="AQ90" s="176">
        <v>3112405878</v>
      </c>
      <c r="AR90" t="s">
        <v>338</v>
      </c>
      <c r="AS90" s="175">
        <v>12</v>
      </c>
    </row>
    <row r="91" spans="1:45" x14ac:dyDescent="0.25">
      <c r="A91">
        <v>2</v>
      </c>
      <c r="B91" t="s">
        <v>3254</v>
      </c>
      <c r="C91" s="193">
        <v>90</v>
      </c>
      <c r="D91" t="s">
        <v>328</v>
      </c>
      <c r="E91" t="s">
        <v>465</v>
      </c>
      <c r="F91" t="s">
        <v>2384</v>
      </c>
      <c r="G91" t="s">
        <v>466</v>
      </c>
      <c r="H91" t="s">
        <v>467</v>
      </c>
      <c r="I91" s="183">
        <v>80</v>
      </c>
      <c r="J91">
        <v>2022</v>
      </c>
      <c r="K91" t="s">
        <v>468</v>
      </c>
      <c r="L91" t="s">
        <v>469</v>
      </c>
      <c r="M91" t="s">
        <v>36</v>
      </c>
      <c r="O91" t="s">
        <v>470</v>
      </c>
      <c r="P91">
        <v>19</v>
      </c>
      <c r="Q91" t="s">
        <v>339</v>
      </c>
      <c r="R91" s="175" t="s">
        <v>404</v>
      </c>
      <c r="S91" t="s">
        <v>405</v>
      </c>
      <c r="T91" s="175" t="s">
        <v>511</v>
      </c>
      <c r="U91" t="s">
        <v>512</v>
      </c>
      <c r="V91" t="s">
        <v>513</v>
      </c>
      <c r="W91" t="s">
        <v>514</v>
      </c>
      <c r="X91" s="175" t="s">
        <v>515</v>
      </c>
      <c r="Y91" t="s">
        <v>516</v>
      </c>
      <c r="Z91" t="s">
        <v>517</v>
      </c>
      <c r="AA91" t="s">
        <v>36</v>
      </c>
      <c r="AB91">
        <v>25</v>
      </c>
      <c r="AC91" t="s">
        <v>2185</v>
      </c>
      <c r="AF91" t="s">
        <v>348</v>
      </c>
      <c r="AG91" t="s">
        <v>2188</v>
      </c>
      <c r="AH91" t="s">
        <v>2187</v>
      </c>
      <c r="AI91">
        <v>10</v>
      </c>
      <c r="AJ91">
        <v>10</v>
      </c>
      <c r="AK91">
        <v>11</v>
      </c>
      <c r="AL91">
        <v>11</v>
      </c>
      <c r="AM91" s="176">
        <v>715600000</v>
      </c>
      <c r="AN91" s="176">
        <v>755745160</v>
      </c>
      <c r="AO91" s="176">
        <v>798142463</v>
      </c>
      <c r="AP91" s="176">
        <v>842918255</v>
      </c>
      <c r="AQ91" s="176">
        <v>3112405878</v>
      </c>
      <c r="AR91" t="s">
        <v>338</v>
      </c>
      <c r="AS91" s="175">
        <v>12</v>
      </c>
    </row>
    <row r="92" spans="1:45" x14ac:dyDescent="0.25">
      <c r="A92">
        <v>2</v>
      </c>
      <c r="B92" t="s">
        <v>3255</v>
      </c>
      <c r="C92">
        <v>91</v>
      </c>
      <c r="D92" t="s">
        <v>328</v>
      </c>
      <c r="E92" t="s">
        <v>465</v>
      </c>
      <c r="F92" t="s">
        <v>2384</v>
      </c>
      <c r="G92" t="s">
        <v>466</v>
      </c>
      <c r="H92" t="s">
        <v>467</v>
      </c>
      <c r="I92" s="183">
        <v>80</v>
      </c>
      <c r="J92">
        <v>2022</v>
      </c>
      <c r="K92" t="s">
        <v>468</v>
      </c>
      <c r="L92" t="s">
        <v>469</v>
      </c>
      <c r="M92" t="s">
        <v>36</v>
      </c>
      <c r="O92" t="s">
        <v>470</v>
      </c>
      <c r="P92">
        <v>19</v>
      </c>
      <c r="Q92" t="s">
        <v>339</v>
      </c>
      <c r="R92" s="175" t="s">
        <v>340</v>
      </c>
      <c r="S92" t="s">
        <v>341</v>
      </c>
      <c r="T92" s="175" t="s">
        <v>418</v>
      </c>
      <c r="U92" t="s">
        <v>419</v>
      </c>
      <c r="V92" t="s">
        <v>420</v>
      </c>
      <c r="W92" t="s">
        <v>421</v>
      </c>
      <c r="X92" s="175" t="s">
        <v>422</v>
      </c>
      <c r="Y92" t="s">
        <v>423</v>
      </c>
      <c r="Z92" t="s">
        <v>3079</v>
      </c>
      <c r="AA92" t="s">
        <v>36</v>
      </c>
      <c r="AB92">
        <v>19</v>
      </c>
      <c r="AC92" t="s">
        <v>2192</v>
      </c>
      <c r="AF92" t="s">
        <v>348</v>
      </c>
      <c r="AG92" t="s">
        <v>2188</v>
      </c>
      <c r="AH92" t="s">
        <v>2187</v>
      </c>
      <c r="AI92">
        <v>19</v>
      </c>
      <c r="AJ92">
        <v>19</v>
      </c>
      <c r="AK92">
        <v>19</v>
      </c>
      <c r="AL92">
        <v>19</v>
      </c>
      <c r="AM92" s="176">
        <v>715600000</v>
      </c>
      <c r="AN92" s="176">
        <v>755745160</v>
      </c>
      <c r="AO92" s="176">
        <v>798142463</v>
      </c>
      <c r="AP92" s="176">
        <v>842918255</v>
      </c>
      <c r="AQ92" s="176">
        <v>3112405878</v>
      </c>
      <c r="AR92" t="s">
        <v>338</v>
      </c>
      <c r="AS92" s="175">
        <v>12</v>
      </c>
    </row>
    <row r="93" spans="1:45" x14ac:dyDescent="0.25">
      <c r="A93">
        <v>2</v>
      </c>
      <c r="B93" t="s">
        <v>3255</v>
      </c>
      <c r="C93">
        <v>92</v>
      </c>
      <c r="D93" t="s">
        <v>328</v>
      </c>
      <c r="E93" t="s">
        <v>465</v>
      </c>
      <c r="F93" t="s">
        <v>2384</v>
      </c>
      <c r="G93" t="s">
        <v>466</v>
      </c>
      <c r="H93" t="s">
        <v>467</v>
      </c>
      <c r="I93" s="183">
        <v>80</v>
      </c>
      <c r="J93">
        <v>2022</v>
      </c>
      <c r="K93" t="s">
        <v>468</v>
      </c>
      <c r="L93" t="s">
        <v>469</v>
      </c>
      <c r="M93" t="s">
        <v>36</v>
      </c>
      <c r="O93" t="s">
        <v>470</v>
      </c>
      <c r="P93">
        <v>19</v>
      </c>
      <c r="Q93" t="s">
        <v>339</v>
      </c>
      <c r="R93" s="175" t="s">
        <v>340</v>
      </c>
      <c r="S93" t="s">
        <v>341</v>
      </c>
      <c r="T93" s="175" t="s">
        <v>519</v>
      </c>
      <c r="U93" t="s">
        <v>520</v>
      </c>
      <c r="V93" t="s">
        <v>521</v>
      </c>
      <c r="W93" t="s">
        <v>203</v>
      </c>
      <c r="X93" s="175" t="s">
        <v>522</v>
      </c>
      <c r="Y93" t="s">
        <v>523</v>
      </c>
      <c r="Z93" t="s">
        <v>524</v>
      </c>
      <c r="AA93" t="s">
        <v>25</v>
      </c>
      <c r="AB93">
        <v>100</v>
      </c>
      <c r="AC93" t="s">
        <v>2192</v>
      </c>
      <c r="AG93" t="s">
        <v>2188</v>
      </c>
      <c r="AH93" t="s">
        <v>2187</v>
      </c>
      <c r="AI93">
        <v>1</v>
      </c>
      <c r="AJ93">
        <v>1</v>
      </c>
      <c r="AK93">
        <v>1</v>
      </c>
      <c r="AL93">
        <v>1</v>
      </c>
      <c r="AM93" s="176">
        <v>976000000</v>
      </c>
      <c r="AN93" s="176">
        <v>1030753600</v>
      </c>
      <c r="AO93" s="176">
        <v>1088578877</v>
      </c>
      <c r="AP93" s="176">
        <v>1149648152</v>
      </c>
      <c r="AQ93" s="176">
        <v>4244980629</v>
      </c>
      <c r="AR93" t="s">
        <v>338</v>
      </c>
      <c r="AS93" s="175">
        <v>12</v>
      </c>
    </row>
    <row r="94" spans="1:45" x14ac:dyDescent="0.25">
      <c r="A94">
        <v>2</v>
      </c>
      <c r="B94" t="s">
        <v>3255</v>
      </c>
      <c r="C94">
        <v>93</v>
      </c>
      <c r="D94" t="s">
        <v>328</v>
      </c>
      <c r="E94" t="s">
        <v>465</v>
      </c>
      <c r="F94" t="s">
        <v>2384</v>
      </c>
      <c r="G94" t="s">
        <v>466</v>
      </c>
      <c r="H94" t="s">
        <v>467</v>
      </c>
      <c r="I94" s="183">
        <v>80</v>
      </c>
      <c r="J94">
        <v>2022</v>
      </c>
      <c r="K94" t="s">
        <v>468</v>
      </c>
      <c r="L94" t="s">
        <v>469</v>
      </c>
      <c r="M94" t="s">
        <v>36</v>
      </c>
      <c r="O94" t="s">
        <v>470</v>
      </c>
      <c r="P94">
        <v>19</v>
      </c>
      <c r="Q94" t="s">
        <v>339</v>
      </c>
      <c r="R94" s="175" t="s">
        <v>353</v>
      </c>
      <c r="S94" t="s">
        <v>354</v>
      </c>
      <c r="T94" s="175" t="s">
        <v>377</v>
      </c>
      <c r="U94" t="s">
        <v>232</v>
      </c>
      <c r="V94" t="s">
        <v>378</v>
      </c>
      <c r="W94" t="s">
        <v>234</v>
      </c>
      <c r="X94" s="175" t="s">
        <v>379</v>
      </c>
      <c r="Y94" t="s">
        <v>380</v>
      </c>
      <c r="Z94" t="s">
        <v>525</v>
      </c>
      <c r="AA94" t="s">
        <v>36</v>
      </c>
      <c r="AB94">
        <v>42</v>
      </c>
      <c r="AC94" t="s">
        <v>2185</v>
      </c>
      <c r="AD94" t="s">
        <v>3062</v>
      </c>
      <c r="AE94" t="s">
        <v>3068</v>
      </c>
      <c r="AF94" t="s">
        <v>348</v>
      </c>
      <c r="AG94" t="s">
        <v>2188</v>
      </c>
      <c r="AH94" t="s">
        <v>2187</v>
      </c>
      <c r="AI94">
        <v>6</v>
      </c>
      <c r="AJ94">
        <v>12</v>
      </c>
      <c r="AK94">
        <v>12</v>
      </c>
      <c r="AL94">
        <v>12</v>
      </c>
      <c r="AM94" s="176">
        <v>5170937201</v>
      </c>
      <c r="AN94" s="176" t="s">
        <v>2661</v>
      </c>
      <c r="AO94" s="176" t="s">
        <v>2662</v>
      </c>
      <c r="AP94" s="176" t="s">
        <v>2663</v>
      </c>
      <c r="AQ94" s="176" t="s">
        <v>2664</v>
      </c>
      <c r="AR94" t="s">
        <v>338</v>
      </c>
      <c r="AS94" s="175">
        <v>12</v>
      </c>
    </row>
    <row r="95" spans="1:45" x14ac:dyDescent="0.25">
      <c r="A95">
        <v>2</v>
      </c>
      <c r="B95" t="s">
        <v>3255</v>
      </c>
      <c r="C95">
        <v>94</v>
      </c>
      <c r="D95" t="s">
        <v>328</v>
      </c>
      <c r="E95" t="s">
        <v>465</v>
      </c>
      <c r="F95" t="s">
        <v>2384</v>
      </c>
      <c r="G95" t="s">
        <v>466</v>
      </c>
      <c r="H95" t="s">
        <v>467</v>
      </c>
      <c r="I95" s="183">
        <v>80</v>
      </c>
      <c r="J95">
        <v>2022</v>
      </c>
      <c r="K95" t="s">
        <v>468</v>
      </c>
      <c r="L95" t="s">
        <v>469</v>
      </c>
      <c r="M95" t="s">
        <v>36</v>
      </c>
      <c r="O95" t="s">
        <v>470</v>
      </c>
      <c r="P95" t="s">
        <v>526</v>
      </c>
      <c r="Q95" t="s">
        <v>527</v>
      </c>
      <c r="R95" s="175" t="s">
        <v>340</v>
      </c>
      <c r="S95" t="s">
        <v>341</v>
      </c>
      <c r="T95" s="175" t="s">
        <v>528</v>
      </c>
      <c r="U95" t="s">
        <v>498</v>
      </c>
      <c r="V95" t="s">
        <v>499</v>
      </c>
      <c r="W95" t="s">
        <v>500</v>
      </c>
      <c r="X95" s="175" t="s">
        <v>529</v>
      </c>
      <c r="Y95" t="s">
        <v>502</v>
      </c>
      <c r="Z95" t="s">
        <v>530</v>
      </c>
      <c r="AA95" t="s">
        <v>36</v>
      </c>
      <c r="AB95">
        <v>0</v>
      </c>
      <c r="AC95" t="s">
        <v>2185</v>
      </c>
      <c r="AG95" t="s">
        <v>2188</v>
      </c>
      <c r="AH95" t="s">
        <v>2187</v>
      </c>
      <c r="AI95" t="s">
        <v>3198</v>
      </c>
      <c r="AJ95" t="s">
        <v>3200</v>
      </c>
      <c r="AK95">
        <v>0</v>
      </c>
      <c r="AL95">
        <v>0</v>
      </c>
      <c r="AM95" s="176">
        <v>500000000</v>
      </c>
      <c r="AN95" s="176">
        <v>200000000</v>
      </c>
      <c r="AO95" s="176">
        <v>0</v>
      </c>
      <c r="AP95" s="176">
        <v>0</v>
      </c>
      <c r="AQ95" s="176">
        <v>700000000</v>
      </c>
      <c r="AR95" t="s">
        <v>338</v>
      </c>
      <c r="AS95" s="175">
        <v>12</v>
      </c>
    </row>
    <row r="96" spans="1:45" x14ac:dyDescent="0.25">
      <c r="A96">
        <v>2</v>
      </c>
      <c r="B96" t="s">
        <v>3255</v>
      </c>
      <c r="C96">
        <v>95</v>
      </c>
      <c r="D96" t="s">
        <v>328</v>
      </c>
      <c r="E96" t="s">
        <v>465</v>
      </c>
      <c r="F96" t="s">
        <v>2384</v>
      </c>
      <c r="G96" t="s">
        <v>466</v>
      </c>
      <c r="H96" t="s">
        <v>467</v>
      </c>
      <c r="I96" s="183">
        <v>80</v>
      </c>
      <c r="J96">
        <v>2022</v>
      </c>
      <c r="K96" t="s">
        <v>468</v>
      </c>
      <c r="L96" t="s">
        <v>469</v>
      </c>
      <c r="M96" t="s">
        <v>36</v>
      </c>
      <c r="O96" t="s">
        <v>470</v>
      </c>
      <c r="P96">
        <v>19</v>
      </c>
      <c r="Q96" t="s">
        <v>339</v>
      </c>
      <c r="R96" s="175" t="s">
        <v>340</v>
      </c>
      <c r="S96" t="s">
        <v>341</v>
      </c>
      <c r="T96" s="175" t="s">
        <v>531</v>
      </c>
      <c r="U96" t="s">
        <v>232</v>
      </c>
      <c r="V96" t="s">
        <v>378</v>
      </c>
      <c r="W96" t="s">
        <v>234</v>
      </c>
      <c r="X96" s="175" t="s">
        <v>532</v>
      </c>
      <c r="Y96" t="s">
        <v>380</v>
      </c>
      <c r="Z96" t="s">
        <v>533</v>
      </c>
      <c r="AA96" t="s">
        <v>36</v>
      </c>
      <c r="AB96">
        <v>19</v>
      </c>
      <c r="AC96" t="s">
        <v>2192</v>
      </c>
      <c r="AF96" t="s">
        <v>348</v>
      </c>
      <c r="AG96" t="s">
        <v>2188</v>
      </c>
      <c r="AH96" t="s">
        <v>2187</v>
      </c>
      <c r="AI96">
        <v>19</v>
      </c>
      <c r="AJ96">
        <v>19</v>
      </c>
      <c r="AK96">
        <v>19</v>
      </c>
      <c r="AL96">
        <v>19</v>
      </c>
      <c r="AM96" s="176">
        <v>17050600000</v>
      </c>
      <c r="AN96" s="176">
        <v>17050600000</v>
      </c>
      <c r="AO96" s="176">
        <v>17050600000</v>
      </c>
      <c r="AP96" s="176">
        <v>17050600000</v>
      </c>
      <c r="AQ96" s="176">
        <v>68202400000</v>
      </c>
      <c r="AR96" t="s">
        <v>338</v>
      </c>
      <c r="AS96" s="175">
        <v>12</v>
      </c>
    </row>
    <row r="97" spans="1:45" x14ac:dyDescent="0.25">
      <c r="A97">
        <v>2</v>
      </c>
      <c r="B97" t="s">
        <v>3255</v>
      </c>
      <c r="C97">
        <v>96</v>
      </c>
      <c r="D97" t="s">
        <v>328</v>
      </c>
      <c r="E97" t="s">
        <v>465</v>
      </c>
      <c r="F97" t="s">
        <v>2384</v>
      </c>
      <c r="G97" t="s">
        <v>466</v>
      </c>
      <c r="H97" t="s">
        <v>467</v>
      </c>
      <c r="I97" s="183">
        <v>80</v>
      </c>
      <c r="J97">
        <v>2022</v>
      </c>
      <c r="K97" t="s">
        <v>468</v>
      </c>
      <c r="L97" t="s">
        <v>469</v>
      </c>
      <c r="M97" t="s">
        <v>36</v>
      </c>
      <c r="O97" t="s">
        <v>470</v>
      </c>
      <c r="P97">
        <v>19</v>
      </c>
      <c r="Q97" t="s">
        <v>339</v>
      </c>
      <c r="R97" s="175" t="s">
        <v>340</v>
      </c>
      <c r="S97" t="s">
        <v>341</v>
      </c>
      <c r="T97" s="175" t="s">
        <v>531</v>
      </c>
      <c r="U97" t="s">
        <v>232</v>
      </c>
      <c r="V97" t="s">
        <v>378</v>
      </c>
      <c r="W97" t="s">
        <v>234</v>
      </c>
      <c r="X97" s="175" t="s">
        <v>532</v>
      </c>
      <c r="Y97" t="s">
        <v>380</v>
      </c>
      <c r="Z97" t="s">
        <v>534</v>
      </c>
      <c r="AA97" t="s">
        <v>36</v>
      </c>
      <c r="AB97">
        <v>42</v>
      </c>
      <c r="AC97" t="s">
        <v>2192</v>
      </c>
      <c r="AF97" t="s">
        <v>348</v>
      </c>
      <c r="AG97" t="s">
        <v>2188</v>
      </c>
      <c r="AH97" t="s">
        <v>2187</v>
      </c>
      <c r="AI97">
        <v>42</v>
      </c>
      <c r="AJ97">
        <v>42</v>
      </c>
      <c r="AK97">
        <v>42</v>
      </c>
      <c r="AL97">
        <v>42</v>
      </c>
      <c r="AM97" s="176">
        <v>176800000</v>
      </c>
      <c r="AN97" s="176">
        <v>176800000</v>
      </c>
      <c r="AO97" s="176">
        <v>176800000</v>
      </c>
      <c r="AP97" s="176">
        <v>176800000</v>
      </c>
      <c r="AQ97" s="176">
        <v>707200000</v>
      </c>
      <c r="AR97" t="s">
        <v>338</v>
      </c>
      <c r="AS97" s="175">
        <v>12</v>
      </c>
    </row>
    <row r="98" spans="1:45" x14ac:dyDescent="0.25">
      <c r="A98">
        <v>2</v>
      </c>
      <c r="B98" t="s">
        <v>3255</v>
      </c>
      <c r="C98">
        <v>97</v>
      </c>
      <c r="D98" t="s">
        <v>328</v>
      </c>
      <c r="E98" t="s">
        <v>465</v>
      </c>
      <c r="F98" t="s">
        <v>2384</v>
      </c>
      <c r="G98" t="s">
        <v>466</v>
      </c>
      <c r="H98" t="s">
        <v>467</v>
      </c>
      <c r="I98" s="183">
        <v>80</v>
      </c>
      <c r="J98">
        <v>2022</v>
      </c>
      <c r="K98" t="s">
        <v>468</v>
      </c>
      <c r="L98" t="s">
        <v>469</v>
      </c>
      <c r="M98" t="s">
        <v>36</v>
      </c>
      <c r="O98" t="s">
        <v>470</v>
      </c>
      <c r="P98">
        <v>19</v>
      </c>
      <c r="Q98" t="s">
        <v>339</v>
      </c>
      <c r="R98" s="175" t="s">
        <v>340</v>
      </c>
      <c r="S98" t="s">
        <v>341</v>
      </c>
      <c r="T98" s="175" t="s">
        <v>531</v>
      </c>
      <c r="U98" t="s">
        <v>232</v>
      </c>
      <c r="V98" t="s">
        <v>378</v>
      </c>
      <c r="W98" t="s">
        <v>234</v>
      </c>
      <c r="X98" s="175" t="s">
        <v>532</v>
      </c>
      <c r="Y98" t="s">
        <v>380</v>
      </c>
      <c r="Z98" t="s">
        <v>535</v>
      </c>
      <c r="AA98" t="s">
        <v>36</v>
      </c>
      <c r="AB98">
        <v>42</v>
      </c>
      <c r="AC98" t="s">
        <v>2192</v>
      </c>
      <c r="AF98" t="s">
        <v>348</v>
      </c>
      <c r="AG98" t="s">
        <v>2188</v>
      </c>
      <c r="AH98" t="s">
        <v>2187</v>
      </c>
      <c r="AI98">
        <v>42</v>
      </c>
      <c r="AJ98">
        <v>42</v>
      </c>
      <c r="AK98">
        <v>42</v>
      </c>
      <c r="AL98">
        <v>42</v>
      </c>
      <c r="AM98" s="176">
        <v>796200000</v>
      </c>
      <c r="AN98" s="176">
        <v>101200000</v>
      </c>
      <c r="AO98" s="176">
        <v>101200000</v>
      </c>
      <c r="AP98" s="176">
        <v>101200000</v>
      </c>
      <c r="AQ98" s="176">
        <v>1099800000</v>
      </c>
      <c r="AR98" t="s">
        <v>338</v>
      </c>
      <c r="AS98" s="175">
        <v>12</v>
      </c>
    </row>
    <row r="99" spans="1:45" x14ac:dyDescent="0.25">
      <c r="A99">
        <v>2</v>
      </c>
      <c r="B99" t="s">
        <v>3255</v>
      </c>
      <c r="C99">
        <v>98</v>
      </c>
      <c r="D99" t="s">
        <v>328</v>
      </c>
      <c r="E99" t="s">
        <v>465</v>
      </c>
      <c r="F99" t="s">
        <v>2384</v>
      </c>
      <c r="G99" t="s">
        <v>466</v>
      </c>
      <c r="H99" t="s">
        <v>467</v>
      </c>
      <c r="I99" s="183">
        <v>80</v>
      </c>
      <c r="J99">
        <v>2022</v>
      </c>
      <c r="K99" t="s">
        <v>468</v>
      </c>
      <c r="L99" t="s">
        <v>469</v>
      </c>
      <c r="M99" t="s">
        <v>36</v>
      </c>
      <c r="O99" t="s">
        <v>470</v>
      </c>
      <c r="P99">
        <v>19</v>
      </c>
      <c r="Q99" t="s">
        <v>339</v>
      </c>
      <c r="R99" s="175" t="s">
        <v>340</v>
      </c>
      <c r="S99" t="s">
        <v>341</v>
      </c>
      <c r="T99" s="175" t="s">
        <v>536</v>
      </c>
      <c r="U99" t="s">
        <v>537</v>
      </c>
      <c r="V99" t="s">
        <v>538</v>
      </c>
      <c r="W99" t="s">
        <v>203</v>
      </c>
      <c r="X99" s="175" t="s">
        <v>539</v>
      </c>
      <c r="Y99" t="s">
        <v>540</v>
      </c>
      <c r="Z99" t="s">
        <v>541</v>
      </c>
      <c r="AA99" t="s">
        <v>36</v>
      </c>
      <c r="AB99">
        <v>197</v>
      </c>
      <c r="AC99" t="s">
        <v>2185</v>
      </c>
      <c r="AF99" t="s">
        <v>348</v>
      </c>
      <c r="AG99" t="s">
        <v>2188</v>
      </c>
      <c r="AH99" t="s">
        <v>2187</v>
      </c>
      <c r="AI99">
        <v>56</v>
      </c>
      <c r="AJ99">
        <v>100</v>
      </c>
      <c r="AK99">
        <v>50</v>
      </c>
      <c r="AL99">
        <v>50</v>
      </c>
      <c r="AM99" s="176">
        <v>70600000</v>
      </c>
      <c r="AN99" s="176">
        <v>70600000</v>
      </c>
      <c r="AO99" s="176">
        <v>70600000</v>
      </c>
      <c r="AP99" s="176">
        <v>70600000</v>
      </c>
      <c r="AQ99" s="176">
        <v>282400000</v>
      </c>
      <c r="AR99" t="s">
        <v>338</v>
      </c>
      <c r="AS99" s="175">
        <v>12</v>
      </c>
    </row>
    <row r="100" spans="1:45" x14ac:dyDescent="0.25">
      <c r="A100">
        <v>2</v>
      </c>
      <c r="B100" t="s">
        <v>3255</v>
      </c>
      <c r="C100">
        <v>99</v>
      </c>
      <c r="D100" t="s">
        <v>328</v>
      </c>
      <c r="E100" t="s">
        <v>465</v>
      </c>
      <c r="F100" t="s">
        <v>2384</v>
      </c>
      <c r="G100" t="s">
        <v>466</v>
      </c>
      <c r="H100" t="s">
        <v>467</v>
      </c>
      <c r="I100" s="183">
        <v>80</v>
      </c>
      <c r="J100">
        <v>2022</v>
      </c>
      <c r="K100" t="s">
        <v>468</v>
      </c>
      <c r="L100" t="s">
        <v>469</v>
      </c>
      <c r="M100" t="s">
        <v>36</v>
      </c>
      <c r="O100" t="s">
        <v>470</v>
      </c>
      <c r="P100">
        <v>19</v>
      </c>
      <c r="Q100" t="s">
        <v>339</v>
      </c>
      <c r="R100" s="175" t="s">
        <v>340</v>
      </c>
      <c r="S100" t="s">
        <v>341</v>
      </c>
      <c r="T100" s="175" t="s">
        <v>542</v>
      </c>
      <c r="U100" t="s">
        <v>543</v>
      </c>
      <c r="V100" t="s">
        <v>544</v>
      </c>
      <c r="W100" t="s">
        <v>545</v>
      </c>
      <c r="X100" s="175" t="s">
        <v>546</v>
      </c>
      <c r="Y100" t="s">
        <v>198</v>
      </c>
      <c r="Z100" t="s">
        <v>2163</v>
      </c>
      <c r="AA100" t="s">
        <v>36</v>
      </c>
      <c r="AB100">
        <v>21</v>
      </c>
      <c r="AC100" t="s">
        <v>2185</v>
      </c>
      <c r="AF100" t="s">
        <v>348</v>
      </c>
      <c r="AG100" t="s">
        <v>2188</v>
      </c>
      <c r="AH100" t="s">
        <v>2187</v>
      </c>
      <c r="AI100">
        <v>2</v>
      </c>
      <c r="AJ100">
        <v>6</v>
      </c>
      <c r="AK100">
        <v>6</v>
      </c>
      <c r="AL100">
        <v>6</v>
      </c>
      <c r="AM100" s="176">
        <v>2800000000</v>
      </c>
      <c r="AN100" s="176">
        <v>30000000000</v>
      </c>
      <c r="AO100" s="176">
        <v>2700000000</v>
      </c>
      <c r="AP100" s="176">
        <v>2500000000</v>
      </c>
      <c r="AQ100" s="176">
        <v>38000000000</v>
      </c>
      <c r="AR100" t="s">
        <v>338</v>
      </c>
      <c r="AS100" s="175">
        <v>12</v>
      </c>
    </row>
    <row r="101" spans="1:45" x14ac:dyDescent="0.25">
      <c r="A101">
        <v>2</v>
      </c>
      <c r="B101" t="s">
        <v>3254</v>
      </c>
      <c r="C101" s="193">
        <v>100</v>
      </c>
      <c r="D101" t="s">
        <v>328</v>
      </c>
      <c r="E101" t="s">
        <v>465</v>
      </c>
      <c r="F101" t="s">
        <v>2384</v>
      </c>
      <c r="G101" t="s">
        <v>466</v>
      </c>
      <c r="H101" t="s">
        <v>467</v>
      </c>
      <c r="I101" s="183">
        <v>80</v>
      </c>
      <c r="J101">
        <v>2022</v>
      </c>
      <c r="K101" t="s">
        <v>468</v>
      </c>
      <c r="L101" t="s">
        <v>469</v>
      </c>
      <c r="M101" t="s">
        <v>36</v>
      </c>
      <c r="O101" t="s">
        <v>470</v>
      </c>
      <c r="P101">
        <v>19</v>
      </c>
      <c r="Q101" t="s">
        <v>339</v>
      </c>
      <c r="R101" s="175" t="s">
        <v>340</v>
      </c>
      <c r="S101" t="s">
        <v>341</v>
      </c>
      <c r="T101" s="175" t="s">
        <v>547</v>
      </c>
      <c r="U101" t="s">
        <v>548</v>
      </c>
      <c r="V101" t="s">
        <v>549</v>
      </c>
      <c r="W101" t="s">
        <v>222</v>
      </c>
      <c r="X101" s="175" t="s">
        <v>550</v>
      </c>
      <c r="Y101" t="s">
        <v>551</v>
      </c>
      <c r="Z101" t="s">
        <v>552</v>
      </c>
      <c r="AA101" t="s">
        <v>36</v>
      </c>
      <c r="AB101">
        <v>6</v>
      </c>
      <c r="AC101" t="s">
        <v>2185</v>
      </c>
      <c r="AF101" t="s">
        <v>348</v>
      </c>
      <c r="AG101" t="s">
        <v>2188</v>
      </c>
      <c r="AH101" t="s">
        <v>2187</v>
      </c>
      <c r="AI101">
        <v>2</v>
      </c>
      <c r="AJ101">
        <v>1</v>
      </c>
      <c r="AK101">
        <v>1</v>
      </c>
      <c r="AL101">
        <v>1</v>
      </c>
      <c r="AM101" s="176">
        <v>3950000000</v>
      </c>
      <c r="AN101" s="176">
        <v>1100000000</v>
      </c>
      <c r="AO101" s="176">
        <v>1000000000</v>
      </c>
      <c r="AP101" s="176">
        <v>1300000000</v>
      </c>
      <c r="AQ101" s="176">
        <v>7350000000</v>
      </c>
      <c r="AR101" t="s">
        <v>338</v>
      </c>
      <c r="AS101" s="175">
        <v>12</v>
      </c>
    </row>
    <row r="102" spans="1:45" x14ac:dyDescent="0.25">
      <c r="A102">
        <v>2</v>
      </c>
      <c r="B102" t="s">
        <v>3255</v>
      </c>
      <c r="C102">
        <v>101</v>
      </c>
      <c r="D102" t="s">
        <v>328</v>
      </c>
      <c r="E102" t="s">
        <v>465</v>
      </c>
      <c r="F102" t="s">
        <v>2384</v>
      </c>
      <c r="G102" t="s">
        <v>466</v>
      </c>
      <c r="H102" t="s">
        <v>467</v>
      </c>
      <c r="I102" s="183">
        <v>80</v>
      </c>
      <c r="J102">
        <v>2022</v>
      </c>
      <c r="K102" t="s">
        <v>468</v>
      </c>
      <c r="L102" t="s">
        <v>469</v>
      </c>
      <c r="M102" t="s">
        <v>36</v>
      </c>
      <c r="O102" t="s">
        <v>470</v>
      </c>
      <c r="P102">
        <v>19</v>
      </c>
      <c r="Q102" t="s">
        <v>339</v>
      </c>
      <c r="R102" s="175" t="s">
        <v>340</v>
      </c>
      <c r="S102" t="s">
        <v>341</v>
      </c>
      <c r="T102" s="175" t="s">
        <v>553</v>
      </c>
      <c r="U102" t="s">
        <v>554</v>
      </c>
      <c r="V102" t="s">
        <v>555</v>
      </c>
      <c r="W102" t="s">
        <v>188</v>
      </c>
      <c r="X102" s="175" t="s">
        <v>556</v>
      </c>
      <c r="Y102" t="s">
        <v>189</v>
      </c>
      <c r="Z102" t="s">
        <v>2164</v>
      </c>
      <c r="AA102" t="s">
        <v>36</v>
      </c>
      <c r="AB102">
        <v>6</v>
      </c>
      <c r="AC102" t="s">
        <v>2185</v>
      </c>
      <c r="AF102" t="s">
        <v>348</v>
      </c>
      <c r="AG102" t="s">
        <v>2188</v>
      </c>
      <c r="AH102" t="s">
        <v>2187</v>
      </c>
      <c r="AI102">
        <v>1</v>
      </c>
      <c r="AJ102">
        <v>3</v>
      </c>
      <c r="AK102">
        <v>2</v>
      </c>
      <c r="AL102">
        <v>2</v>
      </c>
      <c r="AM102" s="176">
        <v>1000000000</v>
      </c>
      <c r="AN102" s="176">
        <v>1300000000</v>
      </c>
      <c r="AO102" s="176">
        <v>1400000000</v>
      </c>
      <c r="AP102" s="176">
        <v>1300000000</v>
      </c>
      <c r="AQ102" s="176">
        <v>5000000000</v>
      </c>
      <c r="AR102" t="s">
        <v>338</v>
      </c>
      <c r="AS102" s="175">
        <v>12</v>
      </c>
    </row>
    <row r="103" spans="1:45" x14ac:dyDescent="0.25">
      <c r="A103">
        <v>2</v>
      </c>
      <c r="B103" t="s">
        <v>3255</v>
      </c>
      <c r="C103">
        <v>102</v>
      </c>
      <c r="D103" t="s">
        <v>328</v>
      </c>
      <c r="E103" t="s">
        <v>465</v>
      </c>
      <c r="F103" t="s">
        <v>2384</v>
      </c>
      <c r="G103" t="s">
        <v>466</v>
      </c>
      <c r="H103" t="s">
        <v>467</v>
      </c>
      <c r="I103" s="183">
        <v>80</v>
      </c>
      <c r="J103">
        <v>2022</v>
      </c>
      <c r="K103" t="s">
        <v>468</v>
      </c>
      <c r="L103" t="s">
        <v>469</v>
      </c>
      <c r="M103" t="s">
        <v>36</v>
      </c>
      <c r="O103" t="s">
        <v>470</v>
      </c>
      <c r="P103">
        <v>19</v>
      </c>
      <c r="Q103" t="s">
        <v>339</v>
      </c>
      <c r="R103" s="175" t="s">
        <v>340</v>
      </c>
      <c r="S103" t="s">
        <v>341</v>
      </c>
      <c r="T103" s="175" t="s">
        <v>557</v>
      </c>
      <c r="U103" t="s">
        <v>558</v>
      </c>
      <c r="V103" t="s">
        <v>559</v>
      </c>
      <c r="W103" t="s">
        <v>560</v>
      </c>
      <c r="X103" s="175" t="s">
        <v>561</v>
      </c>
      <c r="Y103" t="s">
        <v>558</v>
      </c>
      <c r="Z103" t="s">
        <v>562</v>
      </c>
      <c r="AA103" t="s">
        <v>36</v>
      </c>
      <c r="AB103">
        <v>10</v>
      </c>
      <c r="AC103" t="s">
        <v>2185</v>
      </c>
      <c r="AF103" t="s">
        <v>348</v>
      </c>
      <c r="AG103" t="s">
        <v>2188</v>
      </c>
      <c r="AH103" t="s">
        <v>2187</v>
      </c>
      <c r="AI103">
        <v>2</v>
      </c>
      <c r="AJ103">
        <v>2</v>
      </c>
      <c r="AK103">
        <v>2</v>
      </c>
      <c r="AL103">
        <v>2</v>
      </c>
      <c r="AM103" s="176">
        <v>58600000000</v>
      </c>
      <c r="AN103" s="176">
        <v>47200000000</v>
      </c>
      <c r="AO103" s="176">
        <v>53350000000</v>
      </c>
      <c r="AP103" s="176">
        <v>45500000000</v>
      </c>
      <c r="AQ103" s="176">
        <v>204650000000</v>
      </c>
      <c r="AR103" t="s">
        <v>338</v>
      </c>
      <c r="AS103" s="175">
        <v>12</v>
      </c>
    </row>
    <row r="104" spans="1:45" x14ac:dyDescent="0.25">
      <c r="A104">
        <v>2</v>
      </c>
      <c r="B104" t="s">
        <v>3255</v>
      </c>
      <c r="C104">
        <v>103</v>
      </c>
      <c r="D104" t="s">
        <v>328</v>
      </c>
      <c r="E104" t="s">
        <v>465</v>
      </c>
      <c r="F104" t="s">
        <v>2384</v>
      </c>
      <c r="G104" t="s">
        <v>466</v>
      </c>
      <c r="H104" t="s">
        <v>467</v>
      </c>
      <c r="I104" s="183">
        <v>80</v>
      </c>
      <c r="J104">
        <v>2022</v>
      </c>
      <c r="K104" t="s">
        <v>468</v>
      </c>
      <c r="L104" t="s">
        <v>469</v>
      </c>
      <c r="M104" t="s">
        <v>36</v>
      </c>
      <c r="O104" t="s">
        <v>470</v>
      </c>
      <c r="P104">
        <v>19</v>
      </c>
      <c r="Q104" t="s">
        <v>339</v>
      </c>
      <c r="R104" s="175" t="s">
        <v>340</v>
      </c>
      <c r="S104" t="s">
        <v>341</v>
      </c>
      <c r="T104" s="175" t="s">
        <v>563</v>
      </c>
      <c r="U104" t="s">
        <v>564</v>
      </c>
      <c r="V104" t="s">
        <v>565</v>
      </c>
      <c r="W104" t="s">
        <v>560</v>
      </c>
      <c r="X104" s="175" t="s">
        <v>566</v>
      </c>
      <c r="Y104" t="s">
        <v>564</v>
      </c>
      <c r="Z104" t="s">
        <v>567</v>
      </c>
      <c r="AA104" t="s">
        <v>36</v>
      </c>
      <c r="AB104">
        <v>8</v>
      </c>
      <c r="AC104" t="s">
        <v>2185</v>
      </c>
      <c r="AF104" t="s">
        <v>348</v>
      </c>
      <c r="AG104" t="s">
        <v>2188</v>
      </c>
      <c r="AH104" t="s">
        <v>2187</v>
      </c>
      <c r="AI104" t="s">
        <v>3194</v>
      </c>
      <c r="AJ104" t="s">
        <v>3194</v>
      </c>
      <c r="AK104">
        <v>2</v>
      </c>
      <c r="AL104">
        <v>0</v>
      </c>
      <c r="AM104" s="176">
        <v>1500000000</v>
      </c>
      <c r="AN104" s="176">
        <v>2600000000</v>
      </c>
      <c r="AO104" s="176">
        <v>2500000000</v>
      </c>
      <c r="AP104" s="176">
        <v>0</v>
      </c>
      <c r="AQ104" s="176">
        <v>6600000000</v>
      </c>
      <c r="AR104" t="s">
        <v>338</v>
      </c>
      <c r="AS104" s="175">
        <v>12</v>
      </c>
    </row>
    <row r="105" spans="1:45" x14ac:dyDescent="0.25">
      <c r="A105">
        <v>2</v>
      </c>
      <c r="B105" t="s">
        <v>3255</v>
      </c>
      <c r="C105">
        <v>104</v>
      </c>
      <c r="D105" t="s">
        <v>328</v>
      </c>
      <c r="E105" t="s">
        <v>465</v>
      </c>
      <c r="F105" t="s">
        <v>2384</v>
      </c>
      <c r="G105" t="s">
        <v>466</v>
      </c>
      <c r="H105" t="s">
        <v>467</v>
      </c>
      <c r="I105" s="183">
        <v>80</v>
      </c>
      <c r="J105">
        <v>2022</v>
      </c>
      <c r="K105" t="s">
        <v>468</v>
      </c>
      <c r="L105" t="s">
        <v>469</v>
      </c>
      <c r="M105" t="s">
        <v>36</v>
      </c>
      <c r="O105" t="s">
        <v>470</v>
      </c>
      <c r="P105">
        <v>19</v>
      </c>
      <c r="Q105" t="s">
        <v>339</v>
      </c>
      <c r="R105" s="175" t="s">
        <v>340</v>
      </c>
      <c r="S105" t="s">
        <v>341</v>
      </c>
      <c r="T105" s="175" t="s">
        <v>568</v>
      </c>
      <c r="U105" t="s">
        <v>569</v>
      </c>
      <c r="V105" t="s">
        <v>570</v>
      </c>
      <c r="W105" t="s">
        <v>560</v>
      </c>
      <c r="X105" s="175" t="s">
        <v>571</v>
      </c>
      <c r="Y105" t="s">
        <v>569</v>
      </c>
      <c r="Z105" t="s">
        <v>572</v>
      </c>
      <c r="AA105" t="s">
        <v>36</v>
      </c>
      <c r="AB105">
        <v>3</v>
      </c>
      <c r="AC105" t="s">
        <v>2185</v>
      </c>
      <c r="AF105" t="s">
        <v>348</v>
      </c>
      <c r="AG105" t="s">
        <v>2188</v>
      </c>
      <c r="AH105" t="s">
        <v>2187</v>
      </c>
      <c r="AI105" t="s">
        <v>3194</v>
      </c>
      <c r="AJ105">
        <v>1</v>
      </c>
      <c r="AK105" t="s">
        <v>3201</v>
      </c>
      <c r="AL105">
        <v>1</v>
      </c>
      <c r="AM105" s="176">
        <v>10000000</v>
      </c>
      <c r="AN105" s="176">
        <v>4000000000</v>
      </c>
      <c r="AO105" s="176">
        <v>6000000000</v>
      </c>
      <c r="AP105" s="176">
        <v>1800000000</v>
      </c>
      <c r="AQ105" s="176">
        <v>11810000000</v>
      </c>
      <c r="AR105" t="s">
        <v>338</v>
      </c>
      <c r="AS105" s="175">
        <v>12</v>
      </c>
    </row>
    <row r="106" spans="1:45" x14ac:dyDescent="0.25">
      <c r="A106">
        <v>2</v>
      </c>
      <c r="B106" t="s">
        <v>3255</v>
      </c>
      <c r="C106">
        <v>105</v>
      </c>
      <c r="D106" t="s">
        <v>328</v>
      </c>
      <c r="E106" t="s">
        <v>465</v>
      </c>
      <c r="F106" t="s">
        <v>2384</v>
      </c>
      <c r="G106" t="s">
        <v>466</v>
      </c>
      <c r="H106" t="s">
        <v>467</v>
      </c>
      <c r="I106" s="183">
        <v>80</v>
      </c>
      <c r="J106">
        <v>2022</v>
      </c>
      <c r="K106" t="s">
        <v>468</v>
      </c>
      <c r="L106" t="s">
        <v>469</v>
      </c>
      <c r="M106" t="s">
        <v>36</v>
      </c>
      <c r="O106" t="s">
        <v>470</v>
      </c>
      <c r="P106">
        <v>19</v>
      </c>
      <c r="Q106" t="s">
        <v>339</v>
      </c>
      <c r="R106" s="175" t="s">
        <v>340</v>
      </c>
      <c r="S106" t="s">
        <v>341</v>
      </c>
      <c r="T106" s="175" t="s">
        <v>573</v>
      </c>
      <c r="U106" t="s">
        <v>574</v>
      </c>
      <c r="V106" t="s">
        <v>575</v>
      </c>
      <c r="W106" t="s">
        <v>560</v>
      </c>
      <c r="X106" s="175" t="s">
        <v>576</v>
      </c>
      <c r="Y106" t="s">
        <v>574</v>
      </c>
      <c r="Z106" t="s">
        <v>577</v>
      </c>
      <c r="AA106" t="s">
        <v>36</v>
      </c>
      <c r="AB106">
        <v>0</v>
      </c>
      <c r="AC106" t="s">
        <v>2185</v>
      </c>
      <c r="AF106" t="s">
        <v>348</v>
      </c>
      <c r="AG106" t="s">
        <v>2188</v>
      </c>
      <c r="AH106" t="s">
        <v>2187</v>
      </c>
      <c r="AI106">
        <v>0</v>
      </c>
      <c r="AJ106">
        <v>1</v>
      </c>
      <c r="AK106">
        <v>0</v>
      </c>
      <c r="AL106">
        <v>0</v>
      </c>
      <c r="AM106" s="176">
        <v>0</v>
      </c>
      <c r="AN106" s="176">
        <v>600000000</v>
      </c>
      <c r="AO106" s="176">
        <v>0</v>
      </c>
      <c r="AP106" s="176">
        <v>0</v>
      </c>
      <c r="AQ106" s="176">
        <v>600000000</v>
      </c>
      <c r="AR106" t="s">
        <v>338</v>
      </c>
      <c r="AS106" s="175">
        <v>12</v>
      </c>
    </row>
    <row r="107" spans="1:45" x14ac:dyDescent="0.25">
      <c r="A107">
        <v>2</v>
      </c>
      <c r="B107" t="s">
        <v>3255</v>
      </c>
      <c r="C107">
        <v>106</v>
      </c>
      <c r="D107" t="s">
        <v>328</v>
      </c>
      <c r="E107" t="s">
        <v>465</v>
      </c>
      <c r="F107" t="s">
        <v>2384</v>
      </c>
      <c r="G107" t="s">
        <v>466</v>
      </c>
      <c r="H107" t="s">
        <v>467</v>
      </c>
      <c r="I107" s="183">
        <v>80</v>
      </c>
      <c r="J107">
        <v>2022</v>
      </c>
      <c r="K107" t="s">
        <v>468</v>
      </c>
      <c r="L107" t="s">
        <v>469</v>
      </c>
      <c r="M107" t="s">
        <v>36</v>
      </c>
      <c r="O107" t="s">
        <v>470</v>
      </c>
      <c r="P107">
        <v>19</v>
      </c>
      <c r="Q107" t="s">
        <v>339</v>
      </c>
      <c r="R107" s="175" t="s">
        <v>340</v>
      </c>
      <c r="S107" t="s">
        <v>341</v>
      </c>
      <c r="T107" s="175" t="s">
        <v>578</v>
      </c>
      <c r="U107" t="s">
        <v>579</v>
      </c>
      <c r="V107" t="s">
        <v>580</v>
      </c>
      <c r="W107" t="s">
        <v>560</v>
      </c>
      <c r="X107" s="175" t="s">
        <v>581</v>
      </c>
      <c r="Y107" t="s">
        <v>579</v>
      </c>
      <c r="Z107" t="s">
        <v>582</v>
      </c>
      <c r="AA107" t="s">
        <v>36</v>
      </c>
      <c r="AB107">
        <v>0</v>
      </c>
      <c r="AC107" t="s">
        <v>2185</v>
      </c>
      <c r="AF107" t="s">
        <v>348</v>
      </c>
      <c r="AG107" t="s">
        <v>2188</v>
      </c>
      <c r="AH107" t="s">
        <v>2187</v>
      </c>
      <c r="AI107">
        <v>0</v>
      </c>
      <c r="AJ107">
        <v>1</v>
      </c>
      <c r="AK107">
        <v>0</v>
      </c>
      <c r="AL107">
        <v>0</v>
      </c>
      <c r="AM107" s="176">
        <v>0</v>
      </c>
      <c r="AN107" s="176">
        <v>70000000000</v>
      </c>
      <c r="AO107" s="176">
        <v>0</v>
      </c>
      <c r="AP107" s="176">
        <v>0</v>
      </c>
      <c r="AQ107" s="176">
        <v>70000000000</v>
      </c>
      <c r="AR107" t="s">
        <v>338</v>
      </c>
      <c r="AS107" s="175">
        <v>12</v>
      </c>
    </row>
    <row r="108" spans="1:45" x14ac:dyDescent="0.25">
      <c r="A108">
        <v>2</v>
      </c>
      <c r="B108" t="s">
        <v>3255</v>
      </c>
      <c r="C108">
        <v>107</v>
      </c>
      <c r="D108" t="s">
        <v>328</v>
      </c>
      <c r="E108" t="s">
        <v>465</v>
      </c>
      <c r="F108" t="s">
        <v>2384</v>
      </c>
      <c r="G108" t="s">
        <v>466</v>
      </c>
      <c r="H108" t="s">
        <v>467</v>
      </c>
      <c r="I108" s="183">
        <v>80</v>
      </c>
      <c r="J108">
        <v>2022</v>
      </c>
      <c r="K108" t="s">
        <v>468</v>
      </c>
      <c r="L108" t="s">
        <v>469</v>
      </c>
      <c r="M108" t="s">
        <v>36</v>
      </c>
      <c r="O108" t="s">
        <v>470</v>
      </c>
      <c r="P108">
        <v>19</v>
      </c>
      <c r="Q108" t="s">
        <v>339</v>
      </c>
      <c r="R108" s="175" t="s">
        <v>340</v>
      </c>
      <c r="S108" t="s">
        <v>341</v>
      </c>
      <c r="T108" s="175" t="s">
        <v>583</v>
      </c>
      <c r="U108" t="s">
        <v>584</v>
      </c>
      <c r="V108" t="s">
        <v>585</v>
      </c>
      <c r="W108" t="s">
        <v>560</v>
      </c>
      <c r="X108" s="175" t="s">
        <v>586</v>
      </c>
      <c r="Y108" t="s">
        <v>584</v>
      </c>
      <c r="Z108" t="s">
        <v>587</v>
      </c>
      <c r="AA108" t="s">
        <v>36</v>
      </c>
      <c r="AB108">
        <v>2</v>
      </c>
      <c r="AC108" t="s">
        <v>2185</v>
      </c>
      <c r="AF108" t="s">
        <v>348</v>
      </c>
      <c r="AG108" t="s">
        <v>2188</v>
      </c>
      <c r="AH108" t="s">
        <v>2187</v>
      </c>
      <c r="AI108">
        <v>1</v>
      </c>
      <c r="AJ108">
        <v>0</v>
      </c>
      <c r="AK108">
        <v>0</v>
      </c>
      <c r="AL108">
        <v>0</v>
      </c>
      <c r="AM108" s="176">
        <v>25000000000</v>
      </c>
      <c r="AN108" s="176">
        <v>0</v>
      </c>
      <c r="AO108" s="176">
        <v>0</v>
      </c>
      <c r="AP108" s="176">
        <v>0</v>
      </c>
      <c r="AQ108" s="176">
        <v>25000000000</v>
      </c>
      <c r="AR108" t="s">
        <v>338</v>
      </c>
      <c r="AS108" s="175">
        <v>12</v>
      </c>
    </row>
    <row r="109" spans="1:45" x14ac:dyDescent="0.25">
      <c r="A109">
        <v>2</v>
      </c>
      <c r="B109" t="s">
        <v>3255</v>
      </c>
      <c r="C109">
        <v>108</v>
      </c>
      <c r="D109" t="s">
        <v>328</v>
      </c>
      <c r="E109" t="s">
        <v>465</v>
      </c>
      <c r="F109" t="s">
        <v>2384</v>
      </c>
      <c r="G109" t="s">
        <v>466</v>
      </c>
      <c r="H109" t="s">
        <v>467</v>
      </c>
      <c r="I109" s="183">
        <v>80</v>
      </c>
      <c r="J109">
        <v>2022</v>
      </c>
      <c r="K109" t="s">
        <v>468</v>
      </c>
      <c r="L109" t="s">
        <v>469</v>
      </c>
      <c r="M109" t="s">
        <v>36</v>
      </c>
      <c r="O109" t="s">
        <v>470</v>
      </c>
      <c r="P109">
        <v>19</v>
      </c>
      <c r="Q109" t="s">
        <v>339</v>
      </c>
      <c r="R109" s="175" t="s">
        <v>340</v>
      </c>
      <c r="S109" t="s">
        <v>341</v>
      </c>
      <c r="T109" s="175" t="s">
        <v>588</v>
      </c>
      <c r="U109" t="s">
        <v>589</v>
      </c>
      <c r="V109" t="s">
        <v>590</v>
      </c>
      <c r="W109" t="s">
        <v>560</v>
      </c>
      <c r="X109" s="175" t="s">
        <v>591</v>
      </c>
      <c r="Y109" t="s">
        <v>592</v>
      </c>
      <c r="Z109" t="s">
        <v>593</v>
      </c>
      <c r="AA109" t="s">
        <v>36</v>
      </c>
      <c r="AB109">
        <v>0</v>
      </c>
      <c r="AC109" t="s">
        <v>2185</v>
      </c>
      <c r="AF109" t="s">
        <v>348</v>
      </c>
      <c r="AG109" t="s">
        <v>2188</v>
      </c>
      <c r="AH109" t="s">
        <v>2187</v>
      </c>
      <c r="AI109">
        <v>0</v>
      </c>
      <c r="AJ109">
        <v>1</v>
      </c>
      <c r="AK109">
        <v>0</v>
      </c>
      <c r="AL109">
        <v>0</v>
      </c>
      <c r="AM109" s="176">
        <v>0</v>
      </c>
      <c r="AN109" s="176">
        <v>4000000000</v>
      </c>
      <c r="AO109" s="176">
        <v>0</v>
      </c>
      <c r="AP109" s="176">
        <v>0</v>
      </c>
      <c r="AQ109" s="176">
        <v>4000000000</v>
      </c>
      <c r="AR109" t="s">
        <v>338</v>
      </c>
      <c r="AS109" s="175">
        <v>12</v>
      </c>
    </row>
    <row r="110" spans="1:45" x14ac:dyDescent="0.25">
      <c r="A110">
        <v>2</v>
      </c>
      <c r="B110" t="s">
        <v>3255</v>
      </c>
      <c r="C110">
        <v>109</v>
      </c>
      <c r="D110" t="s">
        <v>328</v>
      </c>
      <c r="E110" t="s">
        <v>465</v>
      </c>
      <c r="F110" t="s">
        <v>2384</v>
      </c>
      <c r="G110" t="s">
        <v>466</v>
      </c>
      <c r="H110" t="s">
        <v>467</v>
      </c>
      <c r="I110" s="183">
        <v>80</v>
      </c>
      <c r="J110">
        <v>2022</v>
      </c>
      <c r="K110" t="s">
        <v>468</v>
      </c>
      <c r="L110" t="s">
        <v>469</v>
      </c>
      <c r="M110" t="s">
        <v>36</v>
      </c>
      <c r="O110" t="s">
        <v>470</v>
      </c>
      <c r="P110" t="s">
        <v>785</v>
      </c>
      <c r="Q110" t="s">
        <v>940</v>
      </c>
      <c r="R110" s="175" t="s">
        <v>1488</v>
      </c>
      <c r="S110" t="s">
        <v>2394</v>
      </c>
      <c r="T110" s="175" t="s">
        <v>2395</v>
      </c>
      <c r="U110" t="s">
        <v>594</v>
      </c>
      <c r="V110" t="s">
        <v>595</v>
      </c>
      <c r="W110" t="s">
        <v>83</v>
      </c>
      <c r="X110" s="175" t="s">
        <v>2396</v>
      </c>
      <c r="Y110" t="s">
        <v>594</v>
      </c>
      <c r="Z110" t="s">
        <v>2034</v>
      </c>
      <c r="AA110" t="s">
        <v>36</v>
      </c>
      <c r="AB110">
        <v>0</v>
      </c>
      <c r="AC110" t="s">
        <v>2185</v>
      </c>
      <c r="AE110" t="s">
        <v>2187</v>
      </c>
      <c r="AF110" t="s">
        <v>348</v>
      </c>
      <c r="AG110" t="s">
        <v>2188</v>
      </c>
      <c r="AH110" t="s">
        <v>2187</v>
      </c>
      <c r="AI110">
        <v>0</v>
      </c>
      <c r="AJ110">
        <v>0</v>
      </c>
      <c r="AK110" t="s">
        <v>3194</v>
      </c>
      <c r="AL110" t="s">
        <v>3194</v>
      </c>
      <c r="AM110" s="176">
        <v>0</v>
      </c>
      <c r="AN110" s="176">
        <v>0</v>
      </c>
      <c r="AO110" s="176">
        <v>30000000000</v>
      </c>
      <c r="AP110" s="176">
        <v>30000000000</v>
      </c>
      <c r="AQ110" s="176">
        <v>60000000000</v>
      </c>
      <c r="AR110" t="s">
        <v>338</v>
      </c>
      <c r="AS110" s="175">
        <v>12</v>
      </c>
    </row>
    <row r="111" spans="1:45" x14ac:dyDescent="0.25">
      <c r="A111">
        <v>2</v>
      </c>
      <c r="B111" t="s">
        <v>3255</v>
      </c>
      <c r="C111">
        <v>110</v>
      </c>
      <c r="D111" t="s">
        <v>328</v>
      </c>
      <c r="E111" t="s">
        <v>465</v>
      </c>
      <c r="F111" t="s">
        <v>2384</v>
      </c>
      <c r="G111" t="s">
        <v>466</v>
      </c>
      <c r="H111" t="s">
        <v>467</v>
      </c>
      <c r="I111" s="183">
        <v>80</v>
      </c>
      <c r="J111">
        <v>2022</v>
      </c>
      <c r="K111" t="s">
        <v>468</v>
      </c>
      <c r="L111" t="s">
        <v>469</v>
      </c>
      <c r="M111" t="s">
        <v>36</v>
      </c>
      <c r="O111" t="s">
        <v>470</v>
      </c>
      <c r="P111">
        <v>19</v>
      </c>
      <c r="Q111" t="s">
        <v>339</v>
      </c>
      <c r="R111" s="175" t="s">
        <v>340</v>
      </c>
      <c r="S111" t="s">
        <v>2496</v>
      </c>
      <c r="T111" s="175" t="s">
        <v>553</v>
      </c>
      <c r="U111" t="s">
        <v>554</v>
      </c>
      <c r="V111" t="s">
        <v>555</v>
      </c>
      <c r="W111" t="s">
        <v>188</v>
      </c>
      <c r="X111" s="175" t="s">
        <v>556</v>
      </c>
      <c r="Y111" t="s">
        <v>189</v>
      </c>
      <c r="Z111" t="s">
        <v>597</v>
      </c>
      <c r="AA111" t="s">
        <v>36</v>
      </c>
      <c r="AB111">
        <v>0</v>
      </c>
      <c r="AC111" t="s">
        <v>2185</v>
      </c>
      <c r="AE111" t="s">
        <v>2187</v>
      </c>
      <c r="AF111" t="s">
        <v>348</v>
      </c>
      <c r="AG111" t="s">
        <v>2188</v>
      </c>
      <c r="AH111" t="s">
        <v>2187</v>
      </c>
      <c r="AI111" t="s">
        <v>3202</v>
      </c>
      <c r="AJ111" t="s">
        <v>3203</v>
      </c>
      <c r="AK111">
        <v>0</v>
      </c>
      <c r="AL111">
        <v>0</v>
      </c>
      <c r="AM111" s="176">
        <v>1000000000</v>
      </c>
      <c r="AN111" s="176">
        <v>1000000000</v>
      </c>
      <c r="AO111" s="176">
        <v>0</v>
      </c>
      <c r="AP111" s="176">
        <v>0</v>
      </c>
      <c r="AQ111" s="176">
        <v>2000000000</v>
      </c>
      <c r="AR111" t="s">
        <v>338</v>
      </c>
      <c r="AS111" s="175">
        <v>12</v>
      </c>
    </row>
    <row r="112" spans="1:45" x14ac:dyDescent="0.25">
      <c r="A112">
        <v>2</v>
      </c>
      <c r="B112" t="s">
        <v>3255</v>
      </c>
      <c r="C112">
        <v>111</v>
      </c>
      <c r="D112" t="s">
        <v>328</v>
      </c>
      <c r="E112" t="s">
        <v>465</v>
      </c>
      <c r="F112" t="s">
        <v>2384</v>
      </c>
      <c r="G112" t="s">
        <v>466</v>
      </c>
      <c r="H112" t="s">
        <v>467</v>
      </c>
      <c r="I112" s="183">
        <v>80</v>
      </c>
      <c r="J112">
        <v>2022</v>
      </c>
      <c r="K112" t="s">
        <v>468</v>
      </c>
      <c r="L112" t="s">
        <v>469</v>
      </c>
      <c r="M112" t="s">
        <v>36</v>
      </c>
      <c r="O112" t="s">
        <v>470</v>
      </c>
      <c r="P112">
        <v>19</v>
      </c>
      <c r="Q112" t="s">
        <v>339</v>
      </c>
      <c r="R112" s="175" t="s">
        <v>404</v>
      </c>
      <c r="S112" t="s">
        <v>405</v>
      </c>
      <c r="T112" s="175" t="s">
        <v>598</v>
      </c>
      <c r="U112" t="s">
        <v>599</v>
      </c>
      <c r="V112" t="s">
        <v>600</v>
      </c>
      <c r="W112" t="s">
        <v>601</v>
      </c>
      <c r="X112" s="175" t="s">
        <v>602</v>
      </c>
      <c r="Y112" t="s">
        <v>603</v>
      </c>
      <c r="Z112" t="s">
        <v>3080</v>
      </c>
      <c r="AA112" t="s">
        <v>36</v>
      </c>
      <c r="AB112">
        <v>3000</v>
      </c>
      <c r="AC112" t="s">
        <v>2185</v>
      </c>
      <c r="AF112" t="s">
        <v>348</v>
      </c>
      <c r="AG112" t="s">
        <v>2188</v>
      </c>
      <c r="AH112" t="s">
        <v>2187</v>
      </c>
      <c r="AI112">
        <v>100</v>
      </c>
      <c r="AJ112">
        <v>400</v>
      </c>
      <c r="AK112">
        <v>400</v>
      </c>
      <c r="AL112">
        <v>400</v>
      </c>
      <c r="AM112" s="176">
        <v>1287600000</v>
      </c>
      <c r="AN112" s="176">
        <v>1362924600</v>
      </c>
      <c r="AO112" s="176" t="s">
        <v>2665</v>
      </c>
      <c r="AP112" s="176" t="s">
        <v>2666</v>
      </c>
      <c r="AQ112" s="176" t="s">
        <v>2667</v>
      </c>
      <c r="AR112" t="s">
        <v>338</v>
      </c>
      <c r="AS112" s="175">
        <v>12</v>
      </c>
    </row>
    <row r="113" spans="1:45" x14ac:dyDescent="0.25">
      <c r="A113">
        <v>2</v>
      </c>
      <c r="B113" t="s">
        <v>3255</v>
      </c>
      <c r="C113">
        <v>112</v>
      </c>
      <c r="D113" t="s">
        <v>328</v>
      </c>
      <c r="E113" t="s">
        <v>465</v>
      </c>
      <c r="F113" t="s">
        <v>2384</v>
      </c>
      <c r="G113" t="s">
        <v>466</v>
      </c>
      <c r="H113" t="s">
        <v>467</v>
      </c>
      <c r="I113" s="183">
        <v>80</v>
      </c>
      <c r="J113">
        <v>2022</v>
      </c>
      <c r="K113" t="s">
        <v>468</v>
      </c>
      <c r="L113" t="s">
        <v>469</v>
      </c>
      <c r="M113" t="s">
        <v>36</v>
      </c>
      <c r="O113" t="s">
        <v>470</v>
      </c>
      <c r="P113">
        <v>19</v>
      </c>
      <c r="Q113" t="s">
        <v>339</v>
      </c>
      <c r="R113" s="175" t="s">
        <v>404</v>
      </c>
      <c r="S113" t="s">
        <v>405</v>
      </c>
      <c r="T113" s="175" t="s">
        <v>511</v>
      </c>
      <c r="U113" t="s">
        <v>512</v>
      </c>
      <c r="V113" t="s">
        <v>513</v>
      </c>
      <c r="W113" t="s">
        <v>514</v>
      </c>
      <c r="X113" s="175" t="s">
        <v>515</v>
      </c>
      <c r="Y113" t="s">
        <v>516</v>
      </c>
      <c r="Z113" t="s">
        <v>2363</v>
      </c>
      <c r="AA113" t="s">
        <v>36</v>
      </c>
      <c r="AB113">
        <v>4219</v>
      </c>
      <c r="AC113" t="s">
        <v>2185</v>
      </c>
      <c r="AD113" t="s">
        <v>2230</v>
      </c>
      <c r="AE113" t="s">
        <v>2187</v>
      </c>
      <c r="AF113" t="s">
        <v>348</v>
      </c>
      <c r="AG113" t="s">
        <v>2188</v>
      </c>
      <c r="AH113" t="s">
        <v>2187</v>
      </c>
      <c r="AI113">
        <v>3000</v>
      </c>
      <c r="AJ113">
        <v>3000</v>
      </c>
      <c r="AK113">
        <v>3000</v>
      </c>
      <c r="AL113">
        <v>3000</v>
      </c>
      <c r="AM113" s="176">
        <v>746300000</v>
      </c>
      <c r="AN113" s="176">
        <v>789585400</v>
      </c>
      <c r="AO113" s="176" t="s">
        <v>2668</v>
      </c>
      <c r="AP113" s="176" t="s">
        <v>2669</v>
      </c>
      <c r="AQ113" s="176" t="s">
        <v>2670</v>
      </c>
      <c r="AR113" t="s">
        <v>338</v>
      </c>
      <c r="AS113" s="175">
        <v>12</v>
      </c>
    </row>
    <row r="114" spans="1:45" x14ac:dyDescent="0.25">
      <c r="A114">
        <v>2</v>
      </c>
      <c r="B114" t="s">
        <v>3255</v>
      </c>
      <c r="C114">
        <v>113</v>
      </c>
      <c r="D114" t="s">
        <v>328</v>
      </c>
      <c r="E114" t="s">
        <v>465</v>
      </c>
      <c r="F114" t="s">
        <v>2384</v>
      </c>
      <c r="G114" t="s">
        <v>466</v>
      </c>
      <c r="H114" t="s">
        <v>467</v>
      </c>
      <c r="I114" s="183">
        <v>80</v>
      </c>
      <c r="J114">
        <v>2022</v>
      </c>
      <c r="K114" t="s">
        <v>468</v>
      </c>
      <c r="L114" t="s">
        <v>469</v>
      </c>
      <c r="M114" t="s">
        <v>36</v>
      </c>
      <c r="O114" t="s">
        <v>470</v>
      </c>
      <c r="P114">
        <v>19</v>
      </c>
      <c r="Q114" t="s">
        <v>339</v>
      </c>
      <c r="R114" s="175" t="s">
        <v>404</v>
      </c>
      <c r="S114" t="s">
        <v>405</v>
      </c>
      <c r="T114" s="175" t="s">
        <v>2035</v>
      </c>
      <c r="U114" t="s">
        <v>2036</v>
      </c>
      <c r="V114" t="s">
        <v>2039</v>
      </c>
      <c r="W114" t="s">
        <v>1878</v>
      </c>
      <c r="X114" s="175" t="s">
        <v>2037</v>
      </c>
      <c r="Y114" t="s">
        <v>2038</v>
      </c>
      <c r="Z114" t="s">
        <v>2364</v>
      </c>
      <c r="AA114" t="s">
        <v>36</v>
      </c>
      <c r="AB114">
        <v>1</v>
      </c>
      <c r="AC114" t="s">
        <v>2192</v>
      </c>
      <c r="AD114" t="s">
        <v>2230</v>
      </c>
      <c r="AE114" t="s">
        <v>2187</v>
      </c>
      <c r="AF114" t="s">
        <v>348</v>
      </c>
      <c r="AG114" t="s">
        <v>2188</v>
      </c>
      <c r="AH114" t="s">
        <v>2187</v>
      </c>
      <c r="AI114">
        <v>1</v>
      </c>
      <c r="AJ114">
        <v>1</v>
      </c>
      <c r="AK114">
        <v>1</v>
      </c>
      <c r="AL114">
        <v>1</v>
      </c>
      <c r="AM114" s="176">
        <v>86600000</v>
      </c>
      <c r="AN114" s="176">
        <v>91622800</v>
      </c>
      <c r="AO114" s="176" t="s">
        <v>2671</v>
      </c>
      <c r="AP114" s="176" t="s">
        <v>2672</v>
      </c>
      <c r="AQ114" s="176" t="s">
        <v>2673</v>
      </c>
      <c r="AR114" t="s">
        <v>338</v>
      </c>
      <c r="AS114" s="175">
        <v>12</v>
      </c>
    </row>
    <row r="115" spans="1:45" x14ac:dyDescent="0.25">
      <c r="A115">
        <v>2</v>
      </c>
      <c r="B115" t="s">
        <v>3255</v>
      </c>
      <c r="C115">
        <v>114</v>
      </c>
      <c r="D115" t="s">
        <v>328</v>
      </c>
      <c r="E115" t="s">
        <v>465</v>
      </c>
      <c r="F115" t="s">
        <v>2384</v>
      </c>
      <c r="G115" t="s">
        <v>466</v>
      </c>
      <c r="H115" t="s">
        <v>467</v>
      </c>
      <c r="I115" s="183">
        <v>80</v>
      </c>
      <c r="J115">
        <v>2022</v>
      </c>
      <c r="K115" t="s">
        <v>468</v>
      </c>
      <c r="L115" t="s">
        <v>469</v>
      </c>
      <c r="M115" t="s">
        <v>36</v>
      </c>
      <c r="O115" t="s">
        <v>470</v>
      </c>
      <c r="P115">
        <v>19</v>
      </c>
      <c r="Q115" t="s">
        <v>339</v>
      </c>
      <c r="R115" s="175" t="s">
        <v>404</v>
      </c>
      <c r="S115" t="s">
        <v>405</v>
      </c>
      <c r="T115" s="175" t="s">
        <v>605</v>
      </c>
      <c r="U115" t="s">
        <v>606</v>
      </c>
      <c r="V115" t="s">
        <v>607</v>
      </c>
      <c r="W115" t="s">
        <v>608</v>
      </c>
      <c r="X115" s="175" t="s">
        <v>609</v>
      </c>
      <c r="Y115" t="s">
        <v>610</v>
      </c>
      <c r="Z115" t="s">
        <v>611</v>
      </c>
      <c r="AA115" t="s">
        <v>25</v>
      </c>
      <c r="AB115">
        <v>100</v>
      </c>
      <c r="AC115" t="s">
        <v>2192</v>
      </c>
      <c r="AD115" t="s">
        <v>2230</v>
      </c>
      <c r="AE115" t="s">
        <v>2187</v>
      </c>
      <c r="AF115" t="s">
        <v>348</v>
      </c>
      <c r="AG115" t="s">
        <v>2188</v>
      </c>
      <c r="AH115" t="s">
        <v>2187</v>
      </c>
      <c r="AI115">
        <v>1</v>
      </c>
      <c r="AJ115">
        <v>1</v>
      </c>
      <c r="AK115">
        <v>1</v>
      </c>
      <c r="AL115">
        <v>1</v>
      </c>
      <c r="AM115" s="176">
        <v>83600000</v>
      </c>
      <c r="AN115" s="176">
        <v>88448800</v>
      </c>
      <c r="AO115" s="176" t="s">
        <v>2674</v>
      </c>
      <c r="AP115" s="176" t="s">
        <v>2675</v>
      </c>
      <c r="AQ115" s="176" t="s">
        <v>2676</v>
      </c>
      <c r="AR115" t="s">
        <v>338</v>
      </c>
      <c r="AS115" s="175">
        <v>12</v>
      </c>
    </row>
    <row r="116" spans="1:45" x14ac:dyDescent="0.25">
      <c r="A116">
        <v>2</v>
      </c>
      <c r="B116" t="s">
        <v>3255</v>
      </c>
      <c r="C116">
        <v>115</v>
      </c>
      <c r="D116" t="s">
        <v>328</v>
      </c>
      <c r="E116" t="s">
        <v>465</v>
      </c>
      <c r="F116" t="s">
        <v>2384</v>
      </c>
      <c r="G116" t="s">
        <v>466</v>
      </c>
      <c r="H116" t="s">
        <v>467</v>
      </c>
      <c r="I116" s="183">
        <v>80</v>
      </c>
      <c r="J116">
        <v>2022</v>
      </c>
      <c r="K116" t="s">
        <v>468</v>
      </c>
      <c r="L116" t="s">
        <v>469</v>
      </c>
      <c r="M116" t="s">
        <v>36</v>
      </c>
      <c r="O116" t="s">
        <v>470</v>
      </c>
      <c r="P116">
        <v>19</v>
      </c>
      <c r="Q116" t="s">
        <v>339</v>
      </c>
      <c r="R116" s="175" t="s">
        <v>404</v>
      </c>
      <c r="S116" t="s">
        <v>405</v>
      </c>
      <c r="T116" s="175" t="s">
        <v>612</v>
      </c>
      <c r="U116" t="s">
        <v>613</v>
      </c>
      <c r="V116" t="s">
        <v>614</v>
      </c>
      <c r="W116" t="s">
        <v>615</v>
      </c>
      <c r="X116" s="175" t="s">
        <v>616</v>
      </c>
      <c r="Y116" t="s">
        <v>617</v>
      </c>
      <c r="Z116" t="s">
        <v>2040</v>
      </c>
      <c r="AA116" t="s">
        <v>36</v>
      </c>
      <c r="AB116">
        <v>0</v>
      </c>
      <c r="AC116" t="s">
        <v>2192</v>
      </c>
      <c r="AD116" t="s">
        <v>2230</v>
      </c>
      <c r="AE116" t="s">
        <v>2187</v>
      </c>
      <c r="AF116" t="s">
        <v>348</v>
      </c>
      <c r="AG116" t="s">
        <v>2188</v>
      </c>
      <c r="AH116" t="s">
        <v>2187</v>
      </c>
      <c r="AI116">
        <v>1558045</v>
      </c>
      <c r="AJ116">
        <v>1558045</v>
      </c>
      <c r="AK116">
        <v>1558045</v>
      </c>
      <c r="AL116">
        <v>1558045</v>
      </c>
      <c r="AM116" s="176">
        <v>291500000</v>
      </c>
      <c r="AN116" s="176">
        <v>308407000</v>
      </c>
      <c r="AO116" s="176" t="s">
        <v>2677</v>
      </c>
      <c r="AP116" s="176" t="s">
        <v>2678</v>
      </c>
      <c r="AQ116" s="176" t="s">
        <v>2679</v>
      </c>
      <c r="AR116" t="s">
        <v>338</v>
      </c>
      <c r="AS116" s="175">
        <v>12</v>
      </c>
    </row>
    <row r="117" spans="1:45" x14ac:dyDescent="0.25">
      <c r="A117">
        <v>2</v>
      </c>
      <c r="B117" t="s">
        <v>3255</v>
      </c>
      <c r="C117">
        <v>116</v>
      </c>
      <c r="D117" t="s">
        <v>328</v>
      </c>
      <c r="E117" t="s">
        <v>465</v>
      </c>
      <c r="F117" t="s">
        <v>2384</v>
      </c>
      <c r="G117" t="s">
        <v>466</v>
      </c>
      <c r="H117" t="s">
        <v>467</v>
      </c>
      <c r="I117" s="183">
        <v>80</v>
      </c>
      <c r="J117">
        <v>2022</v>
      </c>
      <c r="K117" t="s">
        <v>468</v>
      </c>
      <c r="L117" t="s">
        <v>469</v>
      </c>
      <c r="M117" t="s">
        <v>36</v>
      </c>
      <c r="O117" t="s">
        <v>470</v>
      </c>
      <c r="P117">
        <v>19</v>
      </c>
      <c r="Q117" t="s">
        <v>339</v>
      </c>
      <c r="R117" s="175" t="s">
        <v>404</v>
      </c>
      <c r="S117" t="s">
        <v>405</v>
      </c>
      <c r="T117" s="175" t="s">
        <v>618</v>
      </c>
      <c r="U117" t="s">
        <v>619</v>
      </c>
      <c r="V117" t="s">
        <v>620</v>
      </c>
      <c r="W117" t="s">
        <v>500</v>
      </c>
      <c r="X117" s="175">
        <v>190300103</v>
      </c>
      <c r="Y117" t="s">
        <v>621</v>
      </c>
      <c r="Z117" t="s">
        <v>622</v>
      </c>
      <c r="AA117" t="s">
        <v>36</v>
      </c>
      <c r="AB117">
        <v>0</v>
      </c>
      <c r="AC117" t="s">
        <v>2185</v>
      </c>
      <c r="AD117" t="s">
        <v>2230</v>
      </c>
      <c r="AE117" t="s">
        <v>2187</v>
      </c>
      <c r="AF117" t="s">
        <v>348</v>
      </c>
      <c r="AG117" t="s">
        <v>2188</v>
      </c>
      <c r="AH117" t="s">
        <v>2187</v>
      </c>
      <c r="AI117" t="s">
        <v>3198</v>
      </c>
      <c r="AJ117" t="s">
        <v>3204</v>
      </c>
      <c r="AK117" t="s">
        <v>3204</v>
      </c>
      <c r="AL117" t="s">
        <v>3204</v>
      </c>
      <c r="AM117" s="176">
        <v>117800000</v>
      </c>
      <c r="AN117" s="176">
        <v>124632400</v>
      </c>
      <c r="AO117" s="176" t="s">
        <v>2680</v>
      </c>
      <c r="AP117" s="176" t="s">
        <v>2681</v>
      </c>
      <c r="AQ117" s="176" t="s">
        <v>2682</v>
      </c>
      <c r="AR117" t="s">
        <v>338</v>
      </c>
      <c r="AS117" s="175">
        <v>12</v>
      </c>
    </row>
    <row r="118" spans="1:45" x14ac:dyDescent="0.25">
      <c r="A118">
        <v>2</v>
      </c>
      <c r="B118" t="s">
        <v>3255</v>
      </c>
      <c r="C118">
        <v>117</v>
      </c>
      <c r="D118" t="s">
        <v>328</v>
      </c>
      <c r="E118" t="s">
        <v>465</v>
      </c>
      <c r="F118" t="s">
        <v>2384</v>
      </c>
      <c r="G118" t="s">
        <v>466</v>
      </c>
      <c r="H118" t="s">
        <v>467</v>
      </c>
      <c r="I118" s="183">
        <v>80</v>
      </c>
      <c r="J118">
        <v>2022</v>
      </c>
      <c r="K118" t="s">
        <v>468</v>
      </c>
      <c r="L118" t="s">
        <v>469</v>
      </c>
      <c r="M118" t="s">
        <v>36</v>
      </c>
      <c r="O118" t="s">
        <v>470</v>
      </c>
      <c r="P118">
        <v>19</v>
      </c>
      <c r="Q118" t="s">
        <v>339</v>
      </c>
      <c r="R118" s="175" t="s">
        <v>404</v>
      </c>
      <c r="S118" t="s">
        <v>405</v>
      </c>
      <c r="T118" s="175" t="s">
        <v>490</v>
      </c>
      <c r="U118" t="s">
        <v>491</v>
      </c>
      <c r="V118" t="s">
        <v>492</v>
      </c>
      <c r="W118" t="s">
        <v>234</v>
      </c>
      <c r="X118" s="175" t="s">
        <v>493</v>
      </c>
      <c r="Y118" t="s">
        <v>494</v>
      </c>
      <c r="Z118" t="s">
        <v>3081</v>
      </c>
      <c r="AA118" t="s">
        <v>36</v>
      </c>
      <c r="AB118">
        <v>300</v>
      </c>
      <c r="AC118" t="s">
        <v>2185</v>
      </c>
      <c r="AF118" t="s">
        <v>348</v>
      </c>
      <c r="AG118" t="s">
        <v>2188</v>
      </c>
      <c r="AH118" t="s">
        <v>2187</v>
      </c>
      <c r="AI118">
        <v>75</v>
      </c>
      <c r="AJ118">
        <v>75</v>
      </c>
      <c r="AK118">
        <v>75</v>
      </c>
      <c r="AL118">
        <v>75</v>
      </c>
      <c r="AM118" s="176">
        <v>60682336732</v>
      </c>
      <c r="AN118" s="176">
        <v>71318216646</v>
      </c>
      <c r="AO118" s="176">
        <v>76454567832</v>
      </c>
      <c r="AP118" s="176" t="s">
        <v>2683</v>
      </c>
      <c r="AQ118" s="176" t="s">
        <v>2684</v>
      </c>
      <c r="AR118" t="s">
        <v>338</v>
      </c>
      <c r="AS118" s="175">
        <v>12</v>
      </c>
    </row>
    <row r="119" spans="1:45" x14ac:dyDescent="0.25">
      <c r="A119">
        <v>2</v>
      </c>
      <c r="B119" t="s">
        <v>3255</v>
      </c>
      <c r="C119">
        <v>118</v>
      </c>
      <c r="D119" t="s">
        <v>19</v>
      </c>
      <c r="E119" t="s">
        <v>20</v>
      </c>
      <c r="F119" t="s">
        <v>2383</v>
      </c>
      <c r="G119" t="s">
        <v>624</v>
      </c>
      <c r="H119" t="s">
        <v>625</v>
      </c>
      <c r="I119" s="181">
        <v>0.8</v>
      </c>
      <c r="J119">
        <v>2023</v>
      </c>
      <c r="K119" t="s">
        <v>3082</v>
      </c>
      <c r="L119" t="s">
        <v>627</v>
      </c>
      <c r="M119" t="s">
        <v>25</v>
      </c>
      <c r="O119" t="s">
        <v>1495</v>
      </c>
      <c r="P119">
        <v>19</v>
      </c>
      <c r="Q119" t="s">
        <v>339</v>
      </c>
      <c r="R119" s="175" t="s">
        <v>353</v>
      </c>
      <c r="S119" t="s">
        <v>354</v>
      </c>
      <c r="T119" s="175" t="s">
        <v>366</v>
      </c>
      <c r="U119" t="s">
        <v>367</v>
      </c>
      <c r="V119" t="s">
        <v>368</v>
      </c>
      <c r="W119" t="s">
        <v>369</v>
      </c>
      <c r="X119" s="175" t="s">
        <v>375</v>
      </c>
      <c r="Y119" t="s">
        <v>376</v>
      </c>
      <c r="Z119" t="s">
        <v>628</v>
      </c>
      <c r="AA119" t="s">
        <v>36</v>
      </c>
      <c r="AB119">
        <v>1</v>
      </c>
      <c r="AC119" t="s">
        <v>2185</v>
      </c>
      <c r="AD119" t="s">
        <v>3062</v>
      </c>
      <c r="AE119" t="s">
        <v>3068</v>
      </c>
      <c r="AF119" t="s">
        <v>348</v>
      </c>
      <c r="AG119" t="s">
        <v>2188</v>
      </c>
      <c r="AH119" t="s">
        <v>2187</v>
      </c>
      <c r="AI119" t="s">
        <v>3197</v>
      </c>
      <c r="AJ119" t="s">
        <v>3197</v>
      </c>
      <c r="AK119" t="s">
        <v>3197</v>
      </c>
      <c r="AL119" t="s">
        <v>3197</v>
      </c>
      <c r="AM119" s="176">
        <v>81375000</v>
      </c>
      <c r="AN119" s="176" t="s">
        <v>2685</v>
      </c>
      <c r="AO119" s="176">
        <v>91174361</v>
      </c>
      <c r="AP119" s="176">
        <v>651963498</v>
      </c>
      <c r="AQ119" s="176" t="s">
        <v>2686</v>
      </c>
      <c r="AR119" t="s">
        <v>338</v>
      </c>
      <c r="AS119" s="175">
        <v>12</v>
      </c>
    </row>
    <row r="120" spans="1:45" x14ac:dyDescent="0.25">
      <c r="A120">
        <v>2</v>
      </c>
      <c r="B120" t="s">
        <v>3255</v>
      </c>
      <c r="C120">
        <v>119</v>
      </c>
      <c r="D120" t="s">
        <v>19</v>
      </c>
      <c r="E120" t="s">
        <v>20</v>
      </c>
      <c r="F120" t="s">
        <v>2383</v>
      </c>
      <c r="G120" t="s">
        <v>624</v>
      </c>
      <c r="H120" t="s">
        <v>625</v>
      </c>
      <c r="I120" s="181">
        <v>0.8</v>
      </c>
      <c r="J120">
        <v>2023</v>
      </c>
      <c r="K120" t="s">
        <v>3082</v>
      </c>
      <c r="L120" t="s">
        <v>627</v>
      </c>
      <c r="M120" t="s">
        <v>25</v>
      </c>
      <c r="O120" t="s">
        <v>1495</v>
      </c>
      <c r="P120">
        <v>19</v>
      </c>
      <c r="Q120" t="s">
        <v>339</v>
      </c>
      <c r="R120" s="175" t="s">
        <v>353</v>
      </c>
      <c r="S120" t="s">
        <v>354</v>
      </c>
      <c r="T120" s="175" t="s">
        <v>366</v>
      </c>
      <c r="U120" t="s">
        <v>367</v>
      </c>
      <c r="V120" t="s">
        <v>368</v>
      </c>
      <c r="W120" t="s">
        <v>369</v>
      </c>
      <c r="X120" s="175" t="s">
        <v>375</v>
      </c>
      <c r="Y120" t="s">
        <v>376</v>
      </c>
      <c r="Z120" t="s">
        <v>629</v>
      </c>
      <c r="AA120" t="s">
        <v>36</v>
      </c>
      <c r="AB120">
        <v>1</v>
      </c>
      <c r="AC120" t="s">
        <v>2185</v>
      </c>
      <c r="AD120" t="s">
        <v>3062</v>
      </c>
      <c r="AE120" t="s">
        <v>3068</v>
      </c>
      <c r="AF120" t="s">
        <v>348</v>
      </c>
      <c r="AG120" t="s">
        <v>2188</v>
      </c>
      <c r="AH120" t="s">
        <v>2187</v>
      </c>
      <c r="AI120" t="s">
        <v>3197</v>
      </c>
      <c r="AJ120" t="s">
        <v>3197</v>
      </c>
      <c r="AK120" t="s">
        <v>3197</v>
      </c>
      <c r="AL120" t="s">
        <v>3197</v>
      </c>
      <c r="AM120" s="176">
        <v>227782375</v>
      </c>
      <c r="AN120" s="176">
        <v>350468175</v>
      </c>
      <c r="AO120" s="176" t="s">
        <v>2687</v>
      </c>
      <c r="AP120" s="176" t="s">
        <v>2688</v>
      </c>
      <c r="AQ120" s="176" t="s">
        <v>2689</v>
      </c>
      <c r="AR120" t="s">
        <v>338</v>
      </c>
      <c r="AS120" s="175">
        <v>12</v>
      </c>
    </row>
    <row r="121" spans="1:45" x14ac:dyDescent="0.25">
      <c r="A121">
        <v>2</v>
      </c>
      <c r="B121" t="s">
        <v>3255</v>
      </c>
      <c r="C121">
        <v>120</v>
      </c>
      <c r="D121" t="s">
        <v>630</v>
      </c>
      <c r="E121" t="s">
        <v>314</v>
      </c>
      <c r="F121" t="s">
        <v>2385</v>
      </c>
      <c r="G121" t="s">
        <v>631</v>
      </c>
      <c r="H121" t="s">
        <v>632</v>
      </c>
      <c r="I121" s="183" t="s">
        <v>633</v>
      </c>
      <c r="J121">
        <v>2022</v>
      </c>
      <c r="K121" t="s">
        <v>634</v>
      </c>
      <c r="L121" t="s">
        <v>635</v>
      </c>
      <c r="M121" t="s">
        <v>36</v>
      </c>
      <c r="N121" t="s">
        <v>183</v>
      </c>
      <c r="O121" t="s">
        <v>636</v>
      </c>
      <c r="P121">
        <v>19</v>
      </c>
      <c r="Q121" t="s">
        <v>339</v>
      </c>
      <c r="R121" s="175">
        <v>1903</v>
      </c>
      <c r="S121" t="s">
        <v>405</v>
      </c>
      <c r="T121" s="175" t="s">
        <v>483</v>
      </c>
      <c r="U121" t="s">
        <v>484</v>
      </c>
      <c r="V121" t="s">
        <v>485</v>
      </c>
      <c r="W121" t="s">
        <v>486</v>
      </c>
      <c r="X121" s="175" t="s">
        <v>487</v>
      </c>
      <c r="Y121" t="s">
        <v>488</v>
      </c>
      <c r="Z121" t="s">
        <v>2365</v>
      </c>
      <c r="AA121" t="s">
        <v>36</v>
      </c>
      <c r="AB121">
        <v>3776</v>
      </c>
      <c r="AC121" t="s">
        <v>2185</v>
      </c>
      <c r="AD121" t="s">
        <v>2230</v>
      </c>
      <c r="AE121" t="s">
        <v>2187</v>
      </c>
      <c r="AF121" t="s">
        <v>348</v>
      </c>
      <c r="AG121" t="s">
        <v>2188</v>
      </c>
      <c r="AH121" t="s">
        <v>2187</v>
      </c>
      <c r="AI121">
        <v>400</v>
      </c>
      <c r="AJ121">
        <v>1500</v>
      </c>
      <c r="AK121">
        <v>1600</v>
      </c>
      <c r="AL121">
        <v>1500</v>
      </c>
      <c r="AM121" s="176">
        <v>60000000</v>
      </c>
      <c r="AN121" s="176">
        <v>63480000</v>
      </c>
      <c r="AO121" s="176">
        <v>65923980</v>
      </c>
      <c r="AP121" s="176" t="s">
        <v>2690</v>
      </c>
      <c r="AQ121" s="176" t="s">
        <v>2691</v>
      </c>
      <c r="AR121" t="s">
        <v>338</v>
      </c>
      <c r="AS121" s="175">
        <v>12</v>
      </c>
    </row>
    <row r="122" spans="1:45" x14ac:dyDescent="0.25">
      <c r="A122">
        <v>2</v>
      </c>
      <c r="B122" t="s">
        <v>3255</v>
      </c>
      <c r="C122">
        <v>121</v>
      </c>
      <c r="D122" t="s">
        <v>630</v>
      </c>
      <c r="E122" t="s">
        <v>314</v>
      </c>
      <c r="F122" t="s">
        <v>2385</v>
      </c>
      <c r="G122" t="s">
        <v>631</v>
      </c>
      <c r="H122" t="s">
        <v>632</v>
      </c>
      <c r="I122" s="183" t="s">
        <v>633</v>
      </c>
      <c r="J122">
        <v>2022</v>
      </c>
      <c r="K122" t="s">
        <v>634</v>
      </c>
      <c r="L122" t="s">
        <v>635</v>
      </c>
      <c r="M122" t="s">
        <v>36</v>
      </c>
      <c r="N122" t="s">
        <v>183</v>
      </c>
      <c r="O122" t="s">
        <v>636</v>
      </c>
      <c r="P122">
        <v>19</v>
      </c>
      <c r="Q122" t="s">
        <v>339</v>
      </c>
      <c r="R122" s="175" t="s">
        <v>404</v>
      </c>
      <c r="S122" t="s">
        <v>405</v>
      </c>
      <c r="T122" s="175" t="s">
        <v>483</v>
      </c>
      <c r="U122" t="s">
        <v>484</v>
      </c>
      <c r="V122" t="s">
        <v>485</v>
      </c>
      <c r="W122" t="s">
        <v>486</v>
      </c>
      <c r="X122" s="175" t="s">
        <v>487</v>
      </c>
      <c r="Y122" t="s">
        <v>488</v>
      </c>
      <c r="Z122" t="s">
        <v>637</v>
      </c>
      <c r="AA122" t="s">
        <v>36</v>
      </c>
      <c r="AB122">
        <v>554</v>
      </c>
      <c r="AC122" t="s">
        <v>2185</v>
      </c>
      <c r="AF122" t="s">
        <v>348</v>
      </c>
      <c r="AG122" t="s">
        <v>2188</v>
      </c>
      <c r="AH122" t="s">
        <v>2187</v>
      </c>
      <c r="AI122">
        <v>500</v>
      </c>
      <c r="AJ122">
        <v>1200</v>
      </c>
      <c r="AK122">
        <v>1200</v>
      </c>
      <c r="AL122">
        <v>1100</v>
      </c>
      <c r="AM122" s="176">
        <v>1200000000</v>
      </c>
      <c r="AN122" s="176">
        <v>1200000000</v>
      </c>
      <c r="AO122" s="176">
        <v>800000000</v>
      </c>
      <c r="AP122" s="176">
        <v>1200000000</v>
      </c>
      <c r="AQ122" s="176">
        <v>4400000000</v>
      </c>
      <c r="AR122" t="s">
        <v>338</v>
      </c>
      <c r="AS122" s="175">
        <v>12</v>
      </c>
    </row>
    <row r="123" spans="1:45" x14ac:dyDescent="0.25">
      <c r="A123">
        <v>2</v>
      </c>
      <c r="B123" t="s">
        <v>3255</v>
      </c>
      <c r="C123">
        <v>122</v>
      </c>
      <c r="D123" t="s">
        <v>19</v>
      </c>
      <c r="E123" t="s">
        <v>20</v>
      </c>
      <c r="F123" t="s">
        <v>2383</v>
      </c>
      <c r="G123" t="s">
        <v>638</v>
      </c>
      <c r="H123" t="s">
        <v>639</v>
      </c>
      <c r="I123" s="188">
        <v>2.75E-2</v>
      </c>
      <c r="J123">
        <v>2023</v>
      </c>
      <c r="K123" t="s">
        <v>640</v>
      </c>
      <c r="L123" t="s">
        <v>641</v>
      </c>
      <c r="M123" t="s">
        <v>25</v>
      </c>
      <c r="O123" t="s">
        <v>642</v>
      </c>
      <c r="P123">
        <v>43</v>
      </c>
      <c r="Q123" t="s">
        <v>643</v>
      </c>
      <c r="R123" s="175" t="s">
        <v>644</v>
      </c>
      <c r="S123" t="s">
        <v>2469</v>
      </c>
      <c r="T123" s="175">
        <v>4301001</v>
      </c>
      <c r="U123" t="s">
        <v>645</v>
      </c>
      <c r="V123" t="s">
        <v>646</v>
      </c>
      <c r="W123" t="s">
        <v>203</v>
      </c>
      <c r="X123" s="175">
        <v>430100100</v>
      </c>
      <c r="Y123" t="s">
        <v>331</v>
      </c>
      <c r="Z123" t="s">
        <v>2165</v>
      </c>
      <c r="AA123" t="s">
        <v>36</v>
      </c>
      <c r="AB123">
        <v>7924</v>
      </c>
      <c r="AC123" t="s">
        <v>2192</v>
      </c>
      <c r="AD123" t="s">
        <v>3083</v>
      </c>
      <c r="AE123" t="s">
        <v>3084</v>
      </c>
      <c r="AF123" t="s">
        <v>37</v>
      </c>
      <c r="AG123" t="s">
        <v>2188</v>
      </c>
      <c r="AH123" t="s">
        <v>2187</v>
      </c>
      <c r="AI123">
        <v>7924</v>
      </c>
      <c r="AJ123">
        <v>7924</v>
      </c>
      <c r="AK123">
        <v>7924</v>
      </c>
      <c r="AL123">
        <v>7924</v>
      </c>
      <c r="AM123" s="176">
        <v>748839001</v>
      </c>
      <c r="AN123" s="176" t="s">
        <v>2692</v>
      </c>
      <c r="AO123" s="176" t="s">
        <v>2693</v>
      </c>
      <c r="AP123" s="176" t="s">
        <v>2694</v>
      </c>
      <c r="AQ123" s="176" t="s">
        <v>2695</v>
      </c>
      <c r="AR123" t="s">
        <v>642</v>
      </c>
      <c r="AS123" s="175">
        <v>14</v>
      </c>
    </row>
    <row r="124" spans="1:45" x14ac:dyDescent="0.25">
      <c r="A124">
        <v>2</v>
      </c>
      <c r="B124" t="s">
        <v>3255</v>
      </c>
      <c r="C124">
        <v>123</v>
      </c>
      <c r="D124" t="s">
        <v>19</v>
      </c>
      <c r="E124" t="s">
        <v>20</v>
      </c>
      <c r="F124" t="s">
        <v>2383</v>
      </c>
      <c r="G124" t="s">
        <v>638</v>
      </c>
      <c r="H124" t="s">
        <v>639</v>
      </c>
      <c r="I124" s="188">
        <v>2.75E-2</v>
      </c>
      <c r="J124">
        <v>2024</v>
      </c>
      <c r="K124" t="s">
        <v>640</v>
      </c>
      <c r="L124" t="s">
        <v>641</v>
      </c>
      <c r="M124" t="s">
        <v>25</v>
      </c>
      <c r="O124" t="s">
        <v>642</v>
      </c>
      <c r="P124">
        <v>43</v>
      </c>
      <c r="Q124" t="s">
        <v>643</v>
      </c>
      <c r="R124" s="175" t="s">
        <v>644</v>
      </c>
      <c r="S124" t="s">
        <v>2469</v>
      </c>
      <c r="T124" s="175">
        <v>4301037</v>
      </c>
      <c r="U124" t="s">
        <v>647</v>
      </c>
      <c r="V124" t="s">
        <v>648</v>
      </c>
      <c r="W124" t="s">
        <v>203</v>
      </c>
      <c r="X124" s="175">
        <v>430103700</v>
      </c>
      <c r="Y124" t="s">
        <v>649</v>
      </c>
      <c r="Z124" t="s">
        <v>2166</v>
      </c>
      <c r="AA124" t="s">
        <v>36</v>
      </c>
      <c r="AB124">
        <v>69099</v>
      </c>
      <c r="AC124" t="s">
        <v>2192</v>
      </c>
      <c r="AD124" t="s">
        <v>3083</v>
      </c>
      <c r="AE124" t="s">
        <v>3084</v>
      </c>
      <c r="AF124" t="s">
        <v>37</v>
      </c>
      <c r="AG124" t="s">
        <v>2188</v>
      </c>
      <c r="AH124" t="s">
        <v>2187</v>
      </c>
      <c r="AI124">
        <v>69099</v>
      </c>
      <c r="AJ124">
        <v>69099</v>
      </c>
      <c r="AK124">
        <v>69099</v>
      </c>
      <c r="AL124">
        <v>69099</v>
      </c>
      <c r="AM124" s="176">
        <v>4297214134</v>
      </c>
      <c r="AN124" s="176" t="s">
        <v>2696</v>
      </c>
      <c r="AO124" s="176" t="s">
        <v>2697</v>
      </c>
      <c r="AP124" s="176" t="s">
        <v>2698</v>
      </c>
      <c r="AQ124" s="176" t="s">
        <v>2699</v>
      </c>
      <c r="AR124" t="s">
        <v>642</v>
      </c>
      <c r="AS124" s="175">
        <v>14</v>
      </c>
    </row>
    <row r="125" spans="1:45" x14ac:dyDescent="0.25">
      <c r="A125">
        <v>2</v>
      </c>
      <c r="B125" t="s">
        <v>3255</v>
      </c>
      <c r="C125">
        <v>124</v>
      </c>
      <c r="D125" t="s">
        <v>19</v>
      </c>
      <c r="E125" t="s">
        <v>20</v>
      </c>
      <c r="F125" t="s">
        <v>2383</v>
      </c>
      <c r="G125" t="s">
        <v>650</v>
      </c>
      <c r="H125" t="s">
        <v>651</v>
      </c>
      <c r="I125" s="188">
        <v>3.0999999999999999E-3</v>
      </c>
      <c r="J125">
        <v>2023</v>
      </c>
      <c r="K125" t="s">
        <v>640</v>
      </c>
      <c r="L125" t="s">
        <v>652</v>
      </c>
      <c r="M125" t="s">
        <v>25</v>
      </c>
      <c r="O125" t="s">
        <v>642</v>
      </c>
      <c r="P125">
        <v>43</v>
      </c>
      <c r="Q125" t="s">
        <v>643</v>
      </c>
      <c r="R125" s="175" t="s">
        <v>644</v>
      </c>
      <c r="S125" t="s">
        <v>2469</v>
      </c>
      <c r="T125" s="175">
        <v>4301007</v>
      </c>
      <c r="U125" t="s">
        <v>653</v>
      </c>
      <c r="V125" t="s">
        <v>654</v>
      </c>
      <c r="W125" t="s">
        <v>655</v>
      </c>
      <c r="X125" s="175">
        <v>430100700</v>
      </c>
      <c r="Y125" t="s">
        <v>656</v>
      </c>
      <c r="Z125" t="s">
        <v>2167</v>
      </c>
      <c r="AA125" t="s">
        <v>36</v>
      </c>
      <c r="AB125">
        <v>2990</v>
      </c>
      <c r="AC125" t="s">
        <v>2192</v>
      </c>
      <c r="AD125" t="s">
        <v>3083</v>
      </c>
      <c r="AE125" t="s">
        <v>3084</v>
      </c>
      <c r="AF125" t="s">
        <v>37</v>
      </c>
      <c r="AG125" t="s">
        <v>2188</v>
      </c>
      <c r="AH125" t="s">
        <v>2187</v>
      </c>
      <c r="AI125">
        <v>2990</v>
      </c>
      <c r="AJ125">
        <v>2990</v>
      </c>
      <c r="AK125">
        <v>2990</v>
      </c>
      <c r="AL125">
        <v>2990</v>
      </c>
      <c r="AM125" s="176">
        <v>800000000</v>
      </c>
      <c r="AN125" s="176">
        <v>846960000</v>
      </c>
      <c r="AO125" s="176">
        <v>879567960</v>
      </c>
      <c r="AP125" s="176" t="s">
        <v>2700</v>
      </c>
      <c r="AQ125" s="176" t="s">
        <v>2701</v>
      </c>
      <c r="AR125" t="s">
        <v>642</v>
      </c>
      <c r="AS125" s="175">
        <v>14</v>
      </c>
    </row>
    <row r="126" spans="1:45" x14ac:dyDescent="0.25">
      <c r="A126">
        <v>2</v>
      </c>
      <c r="B126" t="s">
        <v>3255</v>
      </c>
      <c r="C126">
        <v>125</v>
      </c>
      <c r="D126" t="s">
        <v>19</v>
      </c>
      <c r="E126" t="s">
        <v>20</v>
      </c>
      <c r="F126" t="s">
        <v>2383</v>
      </c>
      <c r="G126" t="s">
        <v>657</v>
      </c>
      <c r="H126" t="s">
        <v>658</v>
      </c>
      <c r="I126" s="188">
        <v>3.0999999999999999E-3</v>
      </c>
      <c r="J126">
        <v>2023</v>
      </c>
      <c r="K126" t="s">
        <v>640</v>
      </c>
      <c r="L126" t="s">
        <v>659</v>
      </c>
      <c r="M126" t="s">
        <v>25</v>
      </c>
      <c r="N126" t="s">
        <v>27</v>
      </c>
      <c r="O126" t="s">
        <v>642</v>
      </c>
      <c r="P126">
        <v>43</v>
      </c>
      <c r="Q126" t="s">
        <v>643</v>
      </c>
      <c r="R126" s="175" t="s">
        <v>1348</v>
      </c>
      <c r="S126" t="s">
        <v>660</v>
      </c>
      <c r="T126" s="175">
        <v>4302001</v>
      </c>
      <c r="U126" t="s">
        <v>661</v>
      </c>
      <c r="V126" t="s">
        <v>662</v>
      </c>
      <c r="W126" t="s">
        <v>663</v>
      </c>
      <c r="X126" s="175" t="s">
        <v>664</v>
      </c>
      <c r="Y126" t="s">
        <v>665</v>
      </c>
      <c r="Z126" t="s">
        <v>2168</v>
      </c>
      <c r="AA126" t="s">
        <v>36</v>
      </c>
      <c r="AB126">
        <v>2344</v>
      </c>
      <c r="AC126" t="s">
        <v>2192</v>
      </c>
      <c r="AD126" t="s">
        <v>3083</v>
      </c>
      <c r="AE126" t="s">
        <v>3084</v>
      </c>
      <c r="AF126" t="s">
        <v>348</v>
      </c>
      <c r="AG126" t="s">
        <v>2188</v>
      </c>
      <c r="AH126" t="s">
        <v>2187</v>
      </c>
      <c r="AI126">
        <v>2344</v>
      </c>
      <c r="AJ126">
        <v>2344</v>
      </c>
      <c r="AK126">
        <v>2344</v>
      </c>
      <c r="AL126">
        <v>2344</v>
      </c>
      <c r="AM126" s="176">
        <v>1536000000</v>
      </c>
      <c r="AN126" s="176">
        <v>1626163200</v>
      </c>
      <c r="AO126" s="176" t="s">
        <v>2702</v>
      </c>
      <c r="AP126" s="176" t="s">
        <v>2703</v>
      </c>
      <c r="AQ126" s="176">
        <v>6604721830</v>
      </c>
      <c r="AR126" t="s">
        <v>642</v>
      </c>
      <c r="AS126" s="175">
        <v>14</v>
      </c>
    </row>
    <row r="127" spans="1:45" x14ac:dyDescent="0.25">
      <c r="A127">
        <v>2</v>
      </c>
      <c r="B127" t="s">
        <v>3255</v>
      </c>
      <c r="C127">
        <v>126</v>
      </c>
      <c r="D127" t="s">
        <v>19</v>
      </c>
      <c r="E127" t="s">
        <v>20</v>
      </c>
      <c r="F127" t="s">
        <v>2383</v>
      </c>
      <c r="G127" t="s">
        <v>657</v>
      </c>
      <c r="H127" t="s">
        <v>658</v>
      </c>
      <c r="I127" s="188">
        <v>3.0999999999999999E-3</v>
      </c>
      <c r="J127">
        <v>2023</v>
      </c>
      <c r="K127" t="s">
        <v>640</v>
      </c>
      <c r="L127" t="s">
        <v>659</v>
      </c>
      <c r="M127" t="s">
        <v>25</v>
      </c>
      <c r="N127" t="s">
        <v>27</v>
      </c>
      <c r="O127" t="s">
        <v>642</v>
      </c>
      <c r="P127">
        <v>43</v>
      </c>
      <c r="Q127" t="s">
        <v>643</v>
      </c>
      <c r="R127" s="175" t="s">
        <v>1348</v>
      </c>
      <c r="S127" t="s">
        <v>660</v>
      </c>
      <c r="T127" s="175">
        <v>4302002</v>
      </c>
      <c r="U127" t="s">
        <v>666</v>
      </c>
      <c r="V127" t="s">
        <v>667</v>
      </c>
      <c r="W127" t="s">
        <v>668</v>
      </c>
      <c r="X127" s="175">
        <v>430200200</v>
      </c>
      <c r="Y127" t="s">
        <v>669</v>
      </c>
      <c r="Z127" t="s">
        <v>2113</v>
      </c>
      <c r="AA127" t="s">
        <v>36</v>
      </c>
      <c r="AB127">
        <v>406</v>
      </c>
      <c r="AC127" t="s">
        <v>2192</v>
      </c>
      <c r="AD127" t="s">
        <v>3083</v>
      </c>
      <c r="AE127" t="s">
        <v>3084</v>
      </c>
      <c r="AF127" t="s">
        <v>348</v>
      </c>
      <c r="AG127" t="s">
        <v>2188</v>
      </c>
      <c r="AH127" t="s">
        <v>2187</v>
      </c>
      <c r="AI127">
        <v>406</v>
      </c>
      <c r="AJ127">
        <v>406</v>
      </c>
      <c r="AK127">
        <v>406</v>
      </c>
      <c r="AL127">
        <v>406</v>
      </c>
      <c r="AM127" s="176">
        <v>1384000000</v>
      </c>
      <c r="AN127" s="176" t="s">
        <v>2704</v>
      </c>
      <c r="AO127" s="176" t="s">
        <v>2705</v>
      </c>
      <c r="AP127" s="176" t="s">
        <v>2706</v>
      </c>
      <c r="AQ127" s="176" t="s">
        <v>2707</v>
      </c>
      <c r="AR127" t="s">
        <v>642</v>
      </c>
      <c r="AS127" s="175">
        <v>14</v>
      </c>
    </row>
    <row r="128" spans="1:45" x14ac:dyDescent="0.25">
      <c r="A128">
        <v>2</v>
      </c>
      <c r="B128" t="s">
        <v>3255</v>
      </c>
      <c r="C128">
        <v>127</v>
      </c>
      <c r="D128" t="s">
        <v>19</v>
      </c>
      <c r="E128" t="s">
        <v>20</v>
      </c>
      <c r="F128" t="s">
        <v>2383</v>
      </c>
      <c r="G128" t="s">
        <v>657</v>
      </c>
      <c r="H128" t="s">
        <v>658</v>
      </c>
      <c r="I128" s="188">
        <v>3.0999999999999999E-3</v>
      </c>
      <c r="J128">
        <v>2023</v>
      </c>
      <c r="K128" t="s">
        <v>640</v>
      </c>
      <c r="L128" t="s">
        <v>659</v>
      </c>
      <c r="M128" t="s">
        <v>25</v>
      </c>
      <c r="N128" t="s">
        <v>27</v>
      </c>
      <c r="O128" t="s">
        <v>642</v>
      </c>
      <c r="P128">
        <v>43</v>
      </c>
      <c r="Q128" t="s">
        <v>643</v>
      </c>
      <c r="R128" s="175" t="s">
        <v>1348</v>
      </c>
      <c r="S128" t="s">
        <v>660</v>
      </c>
      <c r="T128" s="175">
        <v>4302062</v>
      </c>
      <c r="U128" t="s">
        <v>201</v>
      </c>
      <c r="V128" t="s">
        <v>670</v>
      </c>
      <c r="W128" t="s">
        <v>671</v>
      </c>
      <c r="X128" s="175">
        <v>430206200</v>
      </c>
      <c r="Y128" t="s">
        <v>672</v>
      </c>
      <c r="Z128" t="s">
        <v>2169</v>
      </c>
      <c r="AA128" t="s">
        <v>36</v>
      </c>
      <c r="AB128">
        <v>8</v>
      </c>
      <c r="AC128" t="s">
        <v>2192</v>
      </c>
      <c r="AD128" t="s">
        <v>3083</v>
      </c>
      <c r="AE128" t="s">
        <v>3084</v>
      </c>
      <c r="AF128" t="s">
        <v>348</v>
      </c>
      <c r="AG128" t="s">
        <v>2188</v>
      </c>
      <c r="AH128" t="s">
        <v>2187</v>
      </c>
      <c r="AI128">
        <v>8</v>
      </c>
      <c r="AJ128">
        <v>8</v>
      </c>
      <c r="AK128">
        <v>8</v>
      </c>
      <c r="AL128">
        <v>8</v>
      </c>
      <c r="AM128" s="176">
        <v>200000000</v>
      </c>
      <c r="AN128" s="176">
        <v>211740000</v>
      </c>
      <c r="AO128" s="176">
        <v>219891990</v>
      </c>
      <c r="AP128" s="176" t="s">
        <v>2708</v>
      </c>
      <c r="AQ128" s="176" t="s">
        <v>2709</v>
      </c>
      <c r="AR128" t="s">
        <v>642</v>
      </c>
      <c r="AS128" s="175">
        <v>14</v>
      </c>
    </row>
    <row r="129" spans="1:45" x14ac:dyDescent="0.25">
      <c r="A129">
        <v>2</v>
      </c>
      <c r="B129" t="s">
        <v>3255</v>
      </c>
      <c r="C129">
        <v>128</v>
      </c>
      <c r="D129" t="s">
        <v>224</v>
      </c>
      <c r="E129" t="s">
        <v>291</v>
      </c>
      <c r="F129" t="s">
        <v>2386</v>
      </c>
      <c r="G129" t="s">
        <v>673</v>
      </c>
      <c r="H129" t="s">
        <v>674</v>
      </c>
      <c r="I129" s="180" t="s">
        <v>675</v>
      </c>
      <c r="J129">
        <v>2022</v>
      </c>
      <c r="K129" t="s">
        <v>676</v>
      </c>
      <c r="L129" t="s">
        <v>677</v>
      </c>
      <c r="M129" t="s">
        <v>25</v>
      </c>
      <c r="N129" t="s">
        <v>679</v>
      </c>
      <c r="O129" t="s">
        <v>678</v>
      </c>
      <c r="P129">
        <v>17</v>
      </c>
      <c r="Q129" t="s">
        <v>680</v>
      </c>
      <c r="R129" s="175">
        <v>1702</v>
      </c>
      <c r="S129" t="s">
        <v>682</v>
      </c>
      <c r="T129" s="175">
        <v>1702007</v>
      </c>
      <c r="U129" t="s">
        <v>683</v>
      </c>
      <c r="V129" t="s">
        <v>684</v>
      </c>
      <c r="W129" t="s">
        <v>685</v>
      </c>
      <c r="X129" s="175">
        <v>170200700</v>
      </c>
      <c r="Y129" t="s">
        <v>686</v>
      </c>
      <c r="Z129" t="s">
        <v>2114</v>
      </c>
      <c r="AA129" t="s">
        <v>36</v>
      </c>
      <c r="AB129">
        <v>8</v>
      </c>
      <c r="AC129" t="s">
        <v>2185</v>
      </c>
      <c r="AD129" t="s">
        <v>2276</v>
      </c>
      <c r="AE129" t="s">
        <v>3085</v>
      </c>
      <c r="AF129" t="s">
        <v>3086</v>
      </c>
      <c r="AG129" t="s">
        <v>688</v>
      </c>
      <c r="AH129" t="s">
        <v>2187</v>
      </c>
      <c r="AI129">
        <v>7</v>
      </c>
      <c r="AJ129">
        <v>20</v>
      </c>
      <c r="AK129">
        <v>20</v>
      </c>
      <c r="AL129">
        <v>3</v>
      </c>
      <c r="AM129" s="176">
        <v>6460000000</v>
      </c>
      <c r="AN129" s="176">
        <v>6160000000</v>
      </c>
      <c r="AO129" s="176">
        <v>360000000</v>
      </c>
      <c r="AP129" s="176">
        <v>100000000</v>
      </c>
      <c r="AQ129" s="176">
        <v>13080000000</v>
      </c>
      <c r="AR129" t="s">
        <v>678</v>
      </c>
      <c r="AS129" s="175">
        <v>5</v>
      </c>
    </row>
    <row r="130" spans="1:45" x14ac:dyDescent="0.25">
      <c r="A130">
        <v>2</v>
      </c>
      <c r="B130" t="s">
        <v>3255</v>
      </c>
      <c r="C130">
        <v>129</v>
      </c>
      <c r="D130" t="s">
        <v>224</v>
      </c>
      <c r="E130" t="s">
        <v>291</v>
      </c>
      <c r="F130" t="s">
        <v>2386</v>
      </c>
      <c r="G130" t="s">
        <v>673</v>
      </c>
      <c r="H130" t="s">
        <v>674</v>
      </c>
      <c r="I130" s="180" t="s">
        <v>675</v>
      </c>
      <c r="J130">
        <v>2022</v>
      </c>
      <c r="K130" t="s">
        <v>676</v>
      </c>
      <c r="L130" t="s">
        <v>677</v>
      </c>
      <c r="M130" t="s">
        <v>25</v>
      </c>
      <c r="N130" t="s">
        <v>688</v>
      </c>
      <c r="O130" t="s">
        <v>678</v>
      </c>
      <c r="P130" t="s">
        <v>689</v>
      </c>
      <c r="Q130" t="s">
        <v>690</v>
      </c>
      <c r="R130" s="175" t="s">
        <v>691</v>
      </c>
      <c r="S130" t="s">
        <v>692</v>
      </c>
      <c r="T130" s="175">
        <v>406001</v>
      </c>
      <c r="U130" t="s">
        <v>693</v>
      </c>
      <c r="V130" t="s">
        <v>694</v>
      </c>
      <c r="W130" t="s">
        <v>301</v>
      </c>
      <c r="X130" s="175" t="s">
        <v>695</v>
      </c>
      <c r="Y130" t="s">
        <v>696</v>
      </c>
      <c r="Z130" t="s">
        <v>697</v>
      </c>
      <c r="AA130" t="s">
        <v>36</v>
      </c>
      <c r="AB130">
        <v>0</v>
      </c>
      <c r="AC130" t="s">
        <v>2185</v>
      </c>
      <c r="AD130" t="s">
        <v>2276</v>
      </c>
      <c r="AE130" t="s">
        <v>2187</v>
      </c>
      <c r="AF130" t="s">
        <v>3087</v>
      </c>
      <c r="AG130" t="s">
        <v>688</v>
      </c>
      <c r="AH130" t="s">
        <v>2187</v>
      </c>
      <c r="AI130" t="s">
        <v>3205</v>
      </c>
      <c r="AJ130" t="s">
        <v>3195</v>
      </c>
      <c r="AK130" t="s">
        <v>3195</v>
      </c>
      <c r="AL130" t="s">
        <v>3202</v>
      </c>
      <c r="AM130" s="176">
        <v>101962000</v>
      </c>
      <c r="AN130" s="176">
        <v>250000000</v>
      </c>
      <c r="AO130" s="176">
        <v>250000000</v>
      </c>
      <c r="AP130" s="176">
        <v>148038000</v>
      </c>
      <c r="AQ130" s="176">
        <v>750000000</v>
      </c>
      <c r="AR130" t="s">
        <v>678</v>
      </c>
      <c r="AS130" s="175">
        <v>5</v>
      </c>
    </row>
    <row r="131" spans="1:45" x14ac:dyDescent="0.25">
      <c r="A131">
        <v>2</v>
      </c>
      <c r="B131" t="s">
        <v>3255</v>
      </c>
      <c r="C131">
        <v>130</v>
      </c>
      <c r="D131" t="s">
        <v>224</v>
      </c>
      <c r="E131" t="s">
        <v>291</v>
      </c>
      <c r="F131" t="s">
        <v>2386</v>
      </c>
      <c r="G131" t="s">
        <v>673</v>
      </c>
      <c r="H131" t="s">
        <v>674</v>
      </c>
      <c r="I131" s="180" t="s">
        <v>675</v>
      </c>
      <c r="J131">
        <v>2022</v>
      </c>
      <c r="K131" t="s">
        <v>676</v>
      </c>
      <c r="L131" t="s">
        <v>677</v>
      </c>
      <c r="M131" t="s">
        <v>25</v>
      </c>
      <c r="N131" t="s">
        <v>3088</v>
      </c>
      <c r="O131" t="s">
        <v>678</v>
      </c>
      <c r="P131">
        <v>17</v>
      </c>
      <c r="Q131" t="s">
        <v>680</v>
      </c>
      <c r="R131" s="175" t="s">
        <v>681</v>
      </c>
      <c r="S131" t="s">
        <v>682</v>
      </c>
      <c r="T131" s="175">
        <v>1702038</v>
      </c>
      <c r="U131" t="s">
        <v>700</v>
      </c>
      <c r="V131" t="s">
        <v>701</v>
      </c>
      <c r="W131" t="s">
        <v>702</v>
      </c>
      <c r="X131" s="175">
        <v>170203800</v>
      </c>
      <c r="Y131" t="s">
        <v>703</v>
      </c>
      <c r="Z131" t="s">
        <v>704</v>
      </c>
      <c r="AA131" t="s">
        <v>36</v>
      </c>
      <c r="AB131">
        <v>80</v>
      </c>
      <c r="AC131" t="s">
        <v>2185</v>
      </c>
      <c r="AD131" t="s">
        <v>2276</v>
      </c>
      <c r="AE131" t="s">
        <v>3089</v>
      </c>
      <c r="AF131" t="s">
        <v>3090</v>
      </c>
      <c r="AG131" t="s">
        <v>706</v>
      </c>
      <c r="AH131" t="s">
        <v>730</v>
      </c>
      <c r="AI131">
        <v>0</v>
      </c>
      <c r="AJ131">
        <v>33</v>
      </c>
      <c r="AK131">
        <v>33</v>
      </c>
      <c r="AL131">
        <v>34</v>
      </c>
      <c r="AM131" s="176">
        <v>0</v>
      </c>
      <c r="AN131" s="176" t="s">
        <v>2710</v>
      </c>
      <c r="AO131" s="176" t="s">
        <v>2711</v>
      </c>
      <c r="AP131" s="176" t="s">
        <v>2712</v>
      </c>
      <c r="AQ131" s="176" t="s">
        <v>2713</v>
      </c>
      <c r="AR131" t="s">
        <v>678</v>
      </c>
      <c r="AS131" s="175">
        <v>5</v>
      </c>
    </row>
    <row r="132" spans="1:45" x14ac:dyDescent="0.25">
      <c r="A132">
        <v>2</v>
      </c>
      <c r="B132" t="s">
        <v>3255</v>
      </c>
      <c r="C132">
        <v>131</v>
      </c>
      <c r="D132" t="s">
        <v>224</v>
      </c>
      <c r="E132" t="s">
        <v>291</v>
      </c>
      <c r="F132" t="s">
        <v>2386</v>
      </c>
      <c r="G132" t="s">
        <v>673</v>
      </c>
      <c r="H132" t="s">
        <v>674</v>
      </c>
      <c r="I132" s="180" t="s">
        <v>675</v>
      </c>
      <c r="J132">
        <v>2022</v>
      </c>
      <c r="K132" t="s">
        <v>676</v>
      </c>
      <c r="L132" t="s">
        <v>677</v>
      </c>
      <c r="M132" t="s">
        <v>25</v>
      </c>
      <c r="N132" t="s">
        <v>706</v>
      </c>
      <c r="O132" t="s">
        <v>678</v>
      </c>
      <c r="P132">
        <v>17</v>
      </c>
      <c r="Q132" t="s">
        <v>680</v>
      </c>
      <c r="R132" s="175" t="s">
        <v>707</v>
      </c>
      <c r="S132" t="s">
        <v>708</v>
      </c>
      <c r="T132" s="175" t="s">
        <v>709</v>
      </c>
      <c r="U132" t="s">
        <v>710</v>
      </c>
      <c r="V132" t="s">
        <v>711</v>
      </c>
      <c r="W132" t="s">
        <v>712</v>
      </c>
      <c r="X132" s="175" t="s">
        <v>713</v>
      </c>
      <c r="Y132" t="s">
        <v>714</v>
      </c>
      <c r="Z132" t="s">
        <v>715</v>
      </c>
      <c r="AA132" t="s">
        <v>36</v>
      </c>
      <c r="AB132">
        <v>4000</v>
      </c>
      <c r="AC132" t="s">
        <v>2185</v>
      </c>
      <c r="AD132" t="s">
        <v>2276</v>
      </c>
      <c r="AE132" t="s">
        <v>2187</v>
      </c>
      <c r="AF132" t="s">
        <v>716</v>
      </c>
      <c r="AG132" t="s">
        <v>706</v>
      </c>
      <c r="AH132" t="s">
        <v>2187</v>
      </c>
      <c r="AI132">
        <v>500</v>
      </c>
      <c r="AJ132">
        <v>1000</v>
      </c>
      <c r="AK132">
        <v>1000</v>
      </c>
      <c r="AL132">
        <v>1000</v>
      </c>
      <c r="AM132" s="176" t="s">
        <v>2714</v>
      </c>
      <c r="AN132" s="176" t="s">
        <v>2715</v>
      </c>
      <c r="AO132" s="176" t="s">
        <v>2716</v>
      </c>
      <c r="AP132" s="176" t="s">
        <v>2717</v>
      </c>
      <c r="AQ132" s="176" t="s">
        <v>2718</v>
      </c>
      <c r="AR132" t="s">
        <v>678</v>
      </c>
      <c r="AS132" s="175">
        <v>5</v>
      </c>
    </row>
    <row r="133" spans="1:45" x14ac:dyDescent="0.25">
      <c r="A133">
        <v>2</v>
      </c>
      <c r="B133" t="s">
        <v>3255</v>
      </c>
      <c r="C133">
        <v>132</v>
      </c>
      <c r="D133" t="s">
        <v>224</v>
      </c>
      <c r="E133" t="s">
        <v>291</v>
      </c>
      <c r="F133" t="s">
        <v>2386</v>
      </c>
      <c r="G133" t="s">
        <v>673</v>
      </c>
      <c r="H133" t="s">
        <v>674</v>
      </c>
      <c r="I133" s="180" t="s">
        <v>675</v>
      </c>
      <c r="J133">
        <v>2022</v>
      </c>
      <c r="K133" t="s">
        <v>676</v>
      </c>
      <c r="L133" t="s">
        <v>677</v>
      </c>
      <c r="M133" t="s">
        <v>25</v>
      </c>
      <c r="N133" t="s">
        <v>706</v>
      </c>
      <c r="O133" t="s">
        <v>678</v>
      </c>
      <c r="P133">
        <v>17</v>
      </c>
      <c r="Q133" t="s">
        <v>680</v>
      </c>
      <c r="R133" s="175" t="s">
        <v>681</v>
      </c>
      <c r="S133" t="s">
        <v>682</v>
      </c>
      <c r="T133" s="175" t="s">
        <v>717</v>
      </c>
      <c r="U133" t="s">
        <v>718</v>
      </c>
      <c r="V133" t="s">
        <v>719</v>
      </c>
      <c r="W133" t="s">
        <v>203</v>
      </c>
      <c r="X133" s="175" t="s">
        <v>720</v>
      </c>
      <c r="Y133" t="s">
        <v>297</v>
      </c>
      <c r="Z133" t="s">
        <v>721</v>
      </c>
      <c r="AA133" t="s">
        <v>36</v>
      </c>
      <c r="AB133">
        <v>450</v>
      </c>
      <c r="AC133" t="s">
        <v>2185</v>
      </c>
      <c r="AD133" t="s">
        <v>2276</v>
      </c>
      <c r="AE133" t="s">
        <v>2187</v>
      </c>
      <c r="AF133" t="s">
        <v>716</v>
      </c>
      <c r="AG133" t="s">
        <v>706</v>
      </c>
      <c r="AH133" t="s">
        <v>2187</v>
      </c>
      <c r="AI133">
        <v>150</v>
      </c>
      <c r="AJ133">
        <v>150</v>
      </c>
      <c r="AK133">
        <v>150</v>
      </c>
      <c r="AL133">
        <v>150</v>
      </c>
      <c r="AM133" s="176" t="s">
        <v>2714</v>
      </c>
      <c r="AN133" s="176" t="s">
        <v>2715</v>
      </c>
      <c r="AO133" s="176" t="s">
        <v>2716</v>
      </c>
      <c r="AP133" s="176" t="s">
        <v>2717</v>
      </c>
      <c r="AQ133" s="176" t="s">
        <v>2718</v>
      </c>
      <c r="AR133" t="s">
        <v>678</v>
      </c>
      <c r="AS133" s="175">
        <v>5</v>
      </c>
    </row>
    <row r="134" spans="1:45" x14ac:dyDescent="0.25">
      <c r="A134">
        <v>2</v>
      </c>
      <c r="B134" t="s">
        <v>3255</v>
      </c>
      <c r="C134">
        <v>133</v>
      </c>
      <c r="D134" t="s">
        <v>224</v>
      </c>
      <c r="E134" t="s">
        <v>291</v>
      </c>
      <c r="F134" t="s">
        <v>2386</v>
      </c>
      <c r="G134" t="s">
        <v>673</v>
      </c>
      <c r="H134" t="s">
        <v>674</v>
      </c>
      <c r="I134" s="180" t="s">
        <v>675</v>
      </c>
      <c r="J134">
        <v>2022</v>
      </c>
      <c r="K134" t="s">
        <v>676</v>
      </c>
      <c r="L134" t="s">
        <v>677</v>
      </c>
      <c r="M134" t="s">
        <v>25</v>
      </c>
      <c r="N134" t="s">
        <v>706</v>
      </c>
      <c r="O134" t="s">
        <v>678</v>
      </c>
      <c r="P134">
        <v>17</v>
      </c>
      <c r="Q134" t="s">
        <v>680</v>
      </c>
      <c r="R134" s="175" t="s">
        <v>722</v>
      </c>
      <c r="S134" t="s">
        <v>723</v>
      </c>
      <c r="T134" s="175">
        <v>1708041</v>
      </c>
      <c r="U134" t="s">
        <v>724</v>
      </c>
      <c r="V134" t="s">
        <v>725</v>
      </c>
      <c r="W134" t="s">
        <v>726</v>
      </c>
      <c r="X134" s="175">
        <v>170804100</v>
      </c>
      <c r="Y134" t="s">
        <v>727</v>
      </c>
      <c r="Z134" t="s">
        <v>728</v>
      </c>
      <c r="AA134" t="s">
        <v>36</v>
      </c>
      <c r="AB134">
        <v>1500</v>
      </c>
      <c r="AC134" t="s">
        <v>2185</v>
      </c>
      <c r="AD134" t="s">
        <v>2367</v>
      </c>
      <c r="AE134" t="s">
        <v>2187</v>
      </c>
      <c r="AF134" t="s">
        <v>3091</v>
      </c>
      <c r="AG134" t="s">
        <v>706</v>
      </c>
      <c r="AH134" t="s">
        <v>2187</v>
      </c>
      <c r="AI134">
        <v>1000</v>
      </c>
      <c r="AJ134">
        <v>400</v>
      </c>
      <c r="AK134">
        <v>700</v>
      </c>
      <c r="AL134">
        <v>900</v>
      </c>
      <c r="AM134" s="176">
        <v>500000000</v>
      </c>
      <c r="AN134" s="176">
        <v>200000000</v>
      </c>
      <c r="AO134" s="176">
        <v>350000000</v>
      </c>
      <c r="AP134" s="176">
        <v>450000000</v>
      </c>
      <c r="AQ134" s="176">
        <v>1500000000</v>
      </c>
      <c r="AR134" t="s">
        <v>678</v>
      </c>
      <c r="AS134" s="175">
        <v>5</v>
      </c>
    </row>
    <row r="135" spans="1:45" x14ac:dyDescent="0.25">
      <c r="A135">
        <v>2</v>
      </c>
      <c r="B135" t="s">
        <v>3255</v>
      </c>
      <c r="C135">
        <v>134</v>
      </c>
      <c r="D135" t="s">
        <v>224</v>
      </c>
      <c r="E135" t="s">
        <v>291</v>
      </c>
      <c r="F135" t="s">
        <v>2386</v>
      </c>
      <c r="G135" t="s">
        <v>673</v>
      </c>
      <c r="H135" t="s">
        <v>674</v>
      </c>
      <c r="I135" s="180" t="s">
        <v>675</v>
      </c>
      <c r="J135">
        <v>2022</v>
      </c>
      <c r="K135" t="s">
        <v>676</v>
      </c>
      <c r="L135" t="s">
        <v>677</v>
      </c>
      <c r="M135" t="s">
        <v>25</v>
      </c>
      <c r="N135" t="s">
        <v>730</v>
      </c>
      <c r="O135" t="s">
        <v>678</v>
      </c>
      <c r="P135">
        <v>17</v>
      </c>
      <c r="Q135" t="s">
        <v>680</v>
      </c>
      <c r="R135" s="175" t="s">
        <v>681</v>
      </c>
      <c r="S135" t="s">
        <v>682</v>
      </c>
      <c r="T135" s="175" t="s">
        <v>731</v>
      </c>
      <c r="U135" t="s">
        <v>732</v>
      </c>
      <c r="V135" t="s">
        <v>733</v>
      </c>
      <c r="W135" t="s">
        <v>726</v>
      </c>
      <c r="X135" s="175" t="s">
        <v>734</v>
      </c>
      <c r="Y135" t="s">
        <v>735</v>
      </c>
      <c r="Z135" t="s">
        <v>2170</v>
      </c>
      <c r="AA135" t="s">
        <v>36</v>
      </c>
      <c r="AB135">
        <v>0</v>
      </c>
      <c r="AC135" t="s">
        <v>2185</v>
      </c>
      <c r="AD135" t="s">
        <v>2276</v>
      </c>
      <c r="AE135" t="s">
        <v>3089</v>
      </c>
      <c r="AF135" t="s">
        <v>3086</v>
      </c>
      <c r="AG135" t="s">
        <v>730</v>
      </c>
      <c r="AH135" t="s">
        <v>2187</v>
      </c>
      <c r="AI135">
        <v>1500</v>
      </c>
      <c r="AJ135">
        <v>0</v>
      </c>
      <c r="AK135">
        <v>0</v>
      </c>
      <c r="AL135">
        <v>0</v>
      </c>
      <c r="AM135" s="176">
        <v>2999000000</v>
      </c>
      <c r="AN135" s="176">
        <v>0</v>
      </c>
      <c r="AO135" s="176">
        <v>0</v>
      </c>
      <c r="AP135" s="176">
        <v>0</v>
      </c>
      <c r="AQ135" s="176">
        <v>2999000000</v>
      </c>
      <c r="AR135" t="s">
        <v>678</v>
      </c>
      <c r="AS135" s="175">
        <v>5</v>
      </c>
    </row>
    <row r="136" spans="1:45" x14ac:dyDescent="0.25">
      <c r="A136">
        <v>2</v>
      </c>
      <c r="B136" t="s">
        <v>3255</v>
      </c>
      <c r="C136">
        <v>135</v>
      </c>
      <c r="D136" t="s">
        <v>224</v>
      </c>
      <c r="E136" t="s">
        <v>291</v>
      </c>
      <c r="F136" t="s">
        <v>2386</v>
      </c>
      <c r="G136" t="s">
        <v>673</v>
      </c>
      <c r="H136" t="s">
        <v>674</v>
      </c>
      <c r="I136" s="180" t="s">
        <v>675</v>
      </c>
      <c r="J136">
        <v>2022</v>
      </c>
      <c r="K136" t="s">
        <v>676</v>
      </c>
      <c r="L136" t="s">
        <v>677</v>
      </c>
      <c r="M136" t="s">
        <v>25</v>
      </c>
      <c r="N136" t="s">
        <v>3088</v>
      </c>
      <c r="O136" t="s">
        <v>678</v>
      </c>
      <c r="P136">
        <v>17</v>
      </c>
      <c r="Q136" t="s">
        <v>680</v>
      </c>
      <c r="R136" s="175" t="s">
        <v>681</v>
      </c>
      <c r="S136" t="s">
        <v>682</v>
      </c>
      <c r="T136" s="175" t="s">
        <v>737</v>
      </c>
      <c r="U136" t="s">
        <v>738</v>
      </c>
      <c r="V136" t="s">
        <v>739</v>
      </c>
      <c r="W136" t="s">
        <v>726</v>
      </c>
      <c r="X136" s="175" t="s">
        <v>740</v>
      </c>
      <c r="Y136" t="s">
        <v>741</v>
      </c>
      <c r="Z136" t="s">
        <v>742</v>
      </c>
      <c r="AA136" t="s">
        <v>36</v>
      </c>
      <c r="AB136">
        <v>0</v>
      </c>
      <c r="AC136" t="s">
        <v>2185</v>
      </c>
      <c r="AD136" t="s">
        <v>2276</v>
      </c>
      <c r="AE136" t="s">
        <v>2187</v>
      </c>
      <c r="AF136" t="s">
        <v>3090</v>
      </c>
      <c r="AG136" t="s">
        <v>706</v>
      </c>
      <c r="AH136" t="s">
        <v>730</v>
      </c>
      <c r="AI136">
        <v>0</v>
      </c>
      <c r="AJ136">
        <v>2</v>
      </c>
      <c r="AK136">
        <v>0</v>
      </c>
      <c r="AL136">
        <v>0</v>
      </c>
      <c r="AM136" s="176">
        <v>0</v>
      </c>
      <c r="AN136" s="176">
        <v>500000000</v>
      </c>
      <c r="AO136" s="176">
        <v>0</v>
      </c>
      <c r="AP136" s="176">
        <v>0</v>
      </c>
      <c r="AQ136" s="176">
        <v>500000000</v>
      </c>
      <c r="AR136" t="s">
        <v>678</v>
      </c>
      <c r="AS136" s="175">
        <v>5</v>
      </c>
    </row>
    <row r="137" spans="1:45" x14ac:dyDescent="0.25">
      <c r="A137">
        <v>2</v>
      </c>
      <c r="B137" t="s">
        <v>3255</v>
      </c>
      <c r="C137">
        <v>136</v>
      </c>
      <c r="D137" t="s">
        <v>224</v>
      </c>
      <c r="E137" t="s">
        <v>291</v>
      </c>
      <c r="F137" t="s">
        <v>2386</v>
      </c>
      <c r="G137" t="s">
        <v>673</v>
      </c>
      <c r="H137" t="s">
        <v>674</v>
      </c>
      <c r="I137" s="180" t="s">
        <v>675</v>
      </c>
      <c r="J137">
        <v>2022</v>
      </c>
      <c r="K137" t="s">
        <v>676</v>
      </c>
      <c r="L137" t="s">
        <v>677</v>
      </c>
      <c r="M137" t="s">
        <v>25</v>
      </c>
      <c r="N137" t="s">
        <v>3088</v>
      </c>
      <c r="O137" t="s">
        <v>678</v>
      </c>
      <c r="P137">
        <v>17</v>
      </c>
      <c r="Q137" t="s">
        <v>680</v>
      </c>
      <c r="R137" s="175" t="s">
        <v>743</v>
      </c>
      <c r="S137" t="s">
        <v>744</v>
      </c>
      <c r="T137" s="175" t="s">
        <v>745</v>
      </c>
      <c r="U137" t="s">
        <v>746</v>
      </c>
      <c r="V137" t="s">
        <v>747</v>
      </c>
      <c r="W137" t="s">
        <v>748</v>
      </c>
      <c r="X137" s="175" t="s">
        <v>749</v>
      </c>
      <c r="Y137" t="s">
        <v>746</v>
      </c>
      <c r="Z137" t="s">
        <v>750</v>
      </c>
      <c r="AA137" t="s">
        <v>36</v>
      </c>
      <c r="AB137">
        <v>0</v>
      </c>
      <c r="AC137" t="s">
        <v>2185</v>
      </c>
      <c r="AD137" t="s">
        <v>2276</v>
      </c>
      <c r="AE137" t="s">
        <v>2187</v>
      </c>
      <c r="AF137" t="s">
        <v>3090</v>
      </c>
      <c r="AG137" t="s">
        <v>706</v>
      </c>
      <c r="AH137" t="s">
        <v>730</v>
      </c>
      <c r="AI137">
        <v>0</v>
      </c>
      <c r="AJ137">
        <v>1</v>
      </c>
      <c r="AK137">
        <v>1</v>
      </c>
      <c r="AL137">
        <v>0</v>
      </c>
      <c r="AM137" s="176">
        <v>0</v>
      </c>
      <c r="AN137" s="176">
        <v>1000000000</v>
      </c>
      <c r="AO137" s="176">
        <v>1000000000</v>
      </c>
      <c r="AP137" s="176">
        <v>0</v>
      </c>
      <c r="AQ137" s="176">
        <v>2000000000</v>
      </c>
      <c r="AR137" t="s">
        <v>678</v>
      </c>
      <c r="AS137" s="175">
        <v>5</v>
      </c>
    </row>
    <row r="138" spans="1:45" x14ac:dyDescent="0.25">
      <c r="A138">
        <v>2</v>
      </c>
      <c r="B138" t="s">
        <v>3255</v>
      </c>
      <c r="C138">
        <v>137</v>
      </c>
      <c r="D138" t="s">
        <v>224</v>
      </c>
      <c r="E138" t="s">
        <v>291</v>
      </c>
      <c r="F138" t="s">
        <v>2386</v>
      </c>
      <c r="G138" t="s">
        <v>673</v>
      </c>
      <c r="H138" t="s">
        <v>674</v>
      </c>
      <c r="I138" s="180" t="s">
        <v>675</v>
      </c>
      <c r="J138">
        <v>2022</v>
      </c>
      <c r="K138" t="s">
        <v>676</v>
      </c>
      <c r="L138" t="s">
        <v>677</v>
      </c>
      <c r="M138" t="s">
        <v>25</v>
      </c>
      <c r="N138" t="s">
        <v>3088</v>
      </c>
      <c r="O138" t="s">
        <v>678</v>
      </c>
      <c r="P138">
        <v>17</v>
      </c>
      <c r="Q138" t="s">
        <v>680</v>
      </c>
      <c r="R138" s="175" t="s">
        <v>743</v>
      </c>
      <c r="S138" t="s">
        <v>744</v>
      </c>
      <c r="T138" s="175" t="s">
        <v>751</v>
      </c>
      <c r="U138" t="s">
        <v>752</v>
      </c>
      <c r="V138" t="s">
        <v>753</v>
      </c>
      <c r="W138" t="s">
        <v>754</v>
      </c>
      <c r="X138" s="175" t="s">
        <v>755</v>
      </c>
      <c r="Y138" t="s">
        <v>752</v>
      </c>
      <c r="Z138" t="s">
        <v>756</v>
      </c>
      <c r="AA138" t="s">
        <v>36</v>
      </c>
      <c r="AB138">
        <v>0</v>
      </c>
      <c r="AC138" t="s">
        <v>2185</v>
      </c>
      <c r="AD138" t="s">
        <v>2276</v>
      </c>
      <c r="AE138" t="s">
        <v>2187</v>
      </c>
      <c r="AF138" t="s">
        <v>3090</v>
      </c>
      <c r="AG138" t="s">
        <v>706</v>
      </c>
      <c r="AH138" t="s">
        <v>730</v>
      </c>
      <c r="AI138">
        <v>0</v>
      </c>
      <c r="AJ138">
        <v>1</v>
      </c>
      <c r="AK138">
        <v>1</v>
      </c>
      <c r="AL138">
        <v>0</v>
      </c>
      <c r="AM138" s="176">
        <v>0</v>
      </c>
      <c r="AN138" s="176">
        <v>1500000000</v>
      </c>
      <c r="AO138" s="176">
        <v>1500000000</v>
      </c>
      <c r="AP138" s="176">
        <v>0</v>
      </c>
      <c r="AQ138" s="176">
        <v>3000000000</v>
      </c>
      <c r="AR138" t="s">
        <v>678</v>
      </c>
      <c r="AS138" s="175">
        <v>5</v>
      </c>
    </row>
    <row r="139" spans="1:45" x14ac:dyDescent="0.25">
      <c r="A139">
        <v>2</v>
      </c>
      <c r="B139" t="s">
        <v>3255</v>
      </c>
      <c r="C139">
        <v>138</v>
      </c>
      <c r="D139" t="s">
        <v>224</v>
      </c>
      <c r="E139" t="s">
        <v>291</v>
      </c>
      <c r="F139" t="s">
        <v>2386</v>
      </c>
      <c r="G139" t="s">
        <v>673</v>
      </c>
      <c r="H139" t="s">
        <v>674</v>
      </c>
      <c r="I139" s="180" t="s">
        <v>675</v>
      </c>
      <c r="J139">
        <v>2022</v>
      </c>
      <c r="K139" t="s">
        <v>676</v>
      </c>
      <c r="L139" t="s">
        <v>677</v>
      </c>
      <c r="M139" t="s">
        <v>25</v>
      </c>
      <c r="N139" t="s">
        <v>3088</v>
      </c>
      <c r="O139" t="s">
        <v>678</v>
      </c>
      <c r="P139">
        <v>17</v>
      </c>
      <c r="Q139" t="s">
        <v>680</v>
      </c>
      <c r="R139" s="175" t="s">
        <v>743</v>
      </c>
      <c r="S139" t="s">
        <v>744</v>
      </c>
      <c r="T139" s="175" t="s">
        <v>757</v>
      </c>
      <c r="U139" t="s">
        <v>758</v>
      </c>
      <c r="V139" t="s">
        <v>759</v>
      </c>
      <c r="W139" t="s">
        <v>760</v>
      </c>
      <c r="X139" s="175" t="s">
        <v>761</v>
      </c>
      <c r="Y139" t="s">
        <v>762</v>
      </c>
      <c r="Z139" t="s">
        <v>763</v>
      </c>
      <c r="AA139" t="s">
        <v>764</v>
      </c>
      <c r="AB139">
        <v>3</v>
      </c>
      <c r="AC139" t="s">
        <v>2185</v>
      </c>
      <c r="AD139" t="s">
        <v>2367</v>
      </c>
      <c r="AE139" t="s">
        <v>2187</v>
      </c>
      <c r="AF139" t="s">
        <v>3090</v>
      </c>
      <c r="AG139" t="s">
        <v>706</v>
      </c>
      <c r="AH139" t="s">
        <v>2280</v>
      </c>
      <c r="AI139">
        <v>2</v>
      </c>
      <c r="AJ139">
        <v>4</v>
      </c>
      <c r="AK139">
        <v>1</v>
      </c>
      <c r="AL139">
        <v>0</v>
      </c>
      <c r="AM139" s="176" t="s">
        <v>2719</v>
      </c>
      <c r="AN139" s="176" t="s">
        <v>2720</v>
      </c>
      <c r="AO139" s="176" t="s">
        <v>2721</v>
      </c>
      <c r="AP139" s="176">
        <v>0</v>
      </c>
      <c r="AQ139" s="176">
        <v>75056622733</v>
      </c>
      <c r="AR139" t="s">
        <v>678</v>
      </c>
      <c r="AS139" s="175">
        <v>5</v>
      </c>
    </row>
    <row r="140" spans="1:45" x14ac:dyDescent="0.25">
      <c r="A140">
        <v>2</v>
      </c>
      <c r="B140" t="s">
        <v>3255</v>
      </c>
      <c r="C140">
        <v>139</v>
      </c>
      <c r="D140" t="s">
        <v>224</v>
      </c>
      <c r="E140" t="s">
        <v>291</v>
      </c>
      <c r="F140" t="s">
        <v>2386</v>
      </c>
      <c r="G140" t="s">
        <v>673</v>
      </c>
      <c r="H140" t="s">
        <v>674</v>
      </c>
      <c r="I140" s="180" t="s">
        <v>675</v>
      </c>
      <c r="J140">
        <v>2022</v>
      </c>
      <c r="K140" t="s">
        <v>676</v>
      </c>
      <c r="L140" t="s">
        <v>677</v>
      </c>
      <c r="M140" t="s">
        <v>25</v>
      </c>
      <c r="N140" t="s">
        <v>3088</v>
      </c>
      <c r="O140" t="s">
        <v>678</v>
      </c>
      <c r="P140">
        <v>17</v>
      </c>
      <c r="Q140" t="s">
        <v>680</v>
      </c>
      <c r="R140" s="175" t="s">
        <v>765</v>
      </c>
      <c r="S140" t="s">
        <v>766</v>
      </c>
      <c r="T140" s="175" t="s">
        <v>767</v>
      </c>
      <c r="U140" t="s">
        <v>768</v>
      </c>
      <c r="V140" t="s">
        <v>769</v>
      </c>
      <c r="W140" t="s">
        <v>500</v>
      </c>
      <c r="X140" s="175" t="s">
        <v>770</v>
      </c>
      <c r="Y140" t="s">
        <v>771</v>
      </c>
      <c r="Z140" t="s">
        <v>772</v>
      </c>
      <c r="AA140" t="s">
        <v>36</v>
      </c>
      <c r="AB140">
        <v>0</v>
      </c>
      <c r="AC140" t="s">
        <v>2185</v>
      </c>
      <c r="AD140" t="s">
        <v>2367</v>
      </c>
      <c r="AE140" t="s">
        <v>2187</v>
      </c>
      <c r="AF140" t="s">
        <v>3092</v>
      </c>
      <c r="AG140" t="s">
        <v>706</v>
      </c>
      <c r="AH140" t="s">
        <v>2280</v>
      </c>
      <c r="AI140" t="s">
        <v>3199</v>
      </c>
      <c r="AJ140" t="s">
        <v>3206</v>
      </c>
      <c r="AK140">
        <v>0</v>
      </c>
      <c r="AL140">
        <v>0</v>
      </c>
      <c r="AM140" s="176">
        <v>200000000</v>
      </c>
      <c r="AN140" s="176">
        <v>300000000</v>
      </c>
      <c r="AO140" s="176">
        <v>0</v>
      </c>
      <c r="AP140" s="176">
        <v>0</v>
      </c>
      <c r="AQ140" s="176">
        <v>500000000</v>
      </c>
      <c r="AR140" t="s">
        <v>678</v>
      </c>
      <c r="AS140" s="175">
        <v>5</v>
      </c>
    </row>
    <row r="141" spans="1:45" x14ac:dyDescent="0.25">
      <c r="A141">
        <v>2</v>
      </c>
      <c r="B141" t="s">
        <v>3255</v>
      </c>
      <c r="C141">
        <v>140</v>
      </c>
      <c r="D141" t="s">
        <v>224</v>
      </c>
      <c r="E141" t="s">
        <v>291</v>
      </c>
      <c r="F141" t="s">
        <v>2386</v>
      </c>
      <c r="G141" t="s">
        <v>673</v>
      </c>
      <c r="H141" t="s">
        <v>674</v>
      </c>
      <c r="I141" s="180" t="s">
        <v>675</v>
      </c>
      <c r="J141">
        <v>2022</v>
      </c>
      <c r="K141" t="s">
        <v>676</v>
      </c>
      <c r="L141" t="s">
        <v>677</v>
      </c>
      <c r="M141" t="s">
        <v>25</v>
      </c>
      <c r="N141" t="s">
        <v>3093</v>
      </c>
      <c r="O141" t="s">
        <v>678</v>
      </c>
      <c r="P141" t="s">
        <v>2427</v>
      </c>
      <c r="Q141" t="s">
        <v>1890</v>
      </c>
      <c r="R141" s="175" t="s">
        <v>2429</v>
      </c>
      <c r="S141" t="s">
        <v>2430</v>
      </c>
      <c r="T141" s="175" t="s">
        <v>2431</v>
      </c>
      <c r="U141" t="s">
        <v>2432</v>
      </c>
      <c r="V141" t="s">
        <v>2433</v>
      </c>
      <c r="W141" t="s">
        <v>1009</v>
      </c>
      <c r="X141" s="175" t="s">
        <v>2434</v>
      </c>
      <c r="Y141" t="s">
        <v>1010</v>
      </c>
      <c r="Z141" t="s">
        <v>1995</v>
      </c>
      <c r="AA141" t="s">
        <v>36</v>
      </c>
      <c r="AB141">
        <v>0</v>
      </c>
      <c r="AC141" t="s">
        <v>2185</v>
      </c>
      <c r="AD141" t="s">
        <v>2276</v>
      </c>
      <c r="AE141" t="s">
        <v>2187</v>
      </c>
      <c r="AF141" t="s">
        <v>3094</v>
      </c>
      <c r="AG141" t="s">
        <v>688</v>
      </c>
      <c r="AH141" t="s">
        <v>2187</v>
      </c>
      <c r="AI141">
        <v>0</v>
      </c>
      <c r="AJ141">
        <v>1</v>
      </c>
      <c r="AK141">
        <v>0</v>
      </c>
      <c r="AL141">
        <v>0</v>
      </c>
      <c r="AM141" s="176">
        <v>0</v>
      </c>
      <c r="AN141" s="176">
        <v>1000000000</v>
      </c>
      <c r="AO141" s="176">
        <v>0</v>
      </c>
      <c r="AP141" s="176">
        <v>0</v>
      </c>
      <c r="AQ141" s="176">
        <v>1000000000</v>
      </c>
      <c r="AR141" t="s">
        <v>678</v>
      </c>
      <c r="AS141" s="175">
        <v>5</v>
      </c>
    </row>
    <row r="142" spans="1:45" x14ac:dyDescent="0.25">
      <c r="A142">
        <v>2</v>
      </c>
      <c r="B142" t="s">
        <v>3255</v>
      </c>
      <c r="C142">
        <v>141</v>
      </c>
      <c r="D142" t="s">
        <v>224</v>
      </c>
      <c r="E142" t="s">
        <v>291</v>
      </c>
      <c r="F142" t="s">
        <v>2386</v>
      </c>
      <c r="G142" t="s">
        <v>673</v>
      </c>
      <c r="H142" t="s">
        <v>674</v>
      </c>
      <c r="I142" s="180" t="s">
        <v>675</v>
      </c>
      <c r="J142">
        <v>2022</v>
      </c>
      <c r="K142" t="s">
        <v>676</v>
      </c>
      <c r="L142" t="s">
        <v>677</v>
      </c>
      <c r="M142" t="s">
        <v>25</v>
      </c>
      <c r="N142" t="s">
        <v>3095</v>
      </c>
      <c r="O142" t="s">
        <v>678</v>
      </c>
      <c r="P142" t="s">
        <v>777</v>
      </c>
      <c r="Q142" t="s">
        <v>97</v>
      </c>
      <c r="R142" s="175" t="s">
        <v>98</v>
      </c>
      <c r="S142" t="s">
        <v>99</v>
      </c>
      <c r="T142" s="175" t="s">
        <v>778</v>
      </c>
      <c r="U142" t="s">
        <v>779</v>
      </c>
      <c r="V142" t="s">
        <v>780</v>
      </c>
      <c r="W142" t="s">
        <v>203</v>
      </c>
      <c r="X142" s="175" t="s">
        <v>781</v>
      </c>
      <c r="Y142" t="s">
        <v>782</v>
      </c>
      <c r="Z142" t="s">
        <v>783</v>
      </c>
      <c r="AA142" t="s">
        <v>36</v>
      </c>
      <c r="AB142">
        <v>0</v>
      </c>
      <c r="AC142" t="s">
        <v>2185</v>
      </c>
      <c r="AD142" t="s">
        <v>2276</v>
      </c>
      <c r="AE142" t="s">
        <v>2187</v>
      </c>
      <c r="AF142" t="s">
        <v>3096</v>
      </c>
      <c r="AG142" t="s">
        <v>2190</v>
      </c>
      <c r="AH142" t="s">
        <v>2187</v>
      </c>
      <c r="AI142">
        <v>0</v>
      </c>
      <c r="AJ142">
        <v>980</v>
      </c>
      <c r="AK142">
        <v>1000</v>
      </c>
      <c r="AL142">
        <v>1020</v>
      </c>
      <c r="AM142" s="176">
        <v>0</v>
      </c>
      <c r="AN142" s="176" t="s">
        <v>2722</v>
      </c>
      <c r="AO142" s="176" t="s">
        <v>2723</v>
      </c>
      <c r="AP142" s="176" t="s">
        <v>2724</v>
      </c>
      <c r="AQ142" s="176" t="s">
        <v>2725</v>
      </c>
      <c r="AR142" t="s">
        <v>678</v>
      </c>
      <c r="AS142" s="175">
        <v>5</v>
      </c>
    </row>
    <row r="143" spans="1:45" x14ac:dyDescent="0.25">
      <c r="A143">
        <v>2</v>
      </c>
      <c r="B143" t="s">
        <v>3255</v>
      </c>
      <c r="C143">
        <v>142</v>
      </c>
      <c r="D143" t="s">
        <v>224</v>
      </c>
      <c r="E143" t="s">
        <v>291</v>
      </c>
      <c r="F143" t="s">
        <v>2386</v>
      </c>
      <c r="G143" t="s">
        <v>673</v>
      </c>
      <c r="H143" t="s">
        <v>674</v>
      </c>
      <c r="I143" s="180" t="s">
        <v>675</v>
      </c>
      <c r="J143">
        <v>2022</v>
      </c>
      <c r="K143" t="s">
        <v>676</v>
      </c>
      <c r="L143" t="s">
        <v>677</v>
      </c>
      <c r="M143" t="s">
        <v>25</v>
      </c>
      <c r="N143" t="s">
        <v>730</v>
      </c>
      <c r="O143" t="s">
        <v>678</v>
      </c>
      <c r="P143" t="s">
        <v>785</v>
      </c>
      <c r="Q143" t="s">
        <v>786</v>
      </c>
      <c r="R143" s="175" t="s">
        <v>787</v>
      </c>
      <c r="S143" t="s">
        <v>788</v>
      </c>
      <c r="T143" s="175" t="s">
        <v>789</v>
      </c>
      <c r="U143" t="s">
        <v>790</v>
      </c>
      <c r="V143" t="s">
        <v>791</v>
      </c>
      <c r="W143" t="s">
        <v>792</v>
      </c>
      <c r="X143" s="175" t="s">
        <v>793</v>
      </c>
      <c r="Y143" t="s">
        <v>794</v>
      </c>
      <c r="Z143" t="s">
        <v>795</v>
      </c>
      <c r="AA143" t="s">
        <v>36</v>
      </c>
      <c r="AB143">
        <v>0</v>
      </c>
      <c r="AC143" t="s">
        <v>2185</v>
      </c>
      <c r="AD143" t="s">
        <v>2281</v>
      </c>
      <c r="AE143" t="s">
        <v>2187</v>
      </c>
      <c r="AF143" t="s">
        <v>3096</v>
      </c>
      <c r="AG143" t="s">
        <v>2190</v>
      </c>
      <c r="AH143" t="s">
        <v>2187</v>
      </c>
      <c r="AI143" t="s">
        <v>3207</v>
      </c>
      <c r="AJ143" t="s">
        <v>3208</v>
      </c>
      <c r="AK143" t="s">
        <v>3207</v>
      </c>
      <c r="AL143" t="s">
        <v>3207</v>
      </c>
      <c r="AM143" s="176">
        <v>1175000000</v>
      </c>
      <c r="AN143" s="176">
        <v>1475000000</v>
      </c>
      <c r="AO143" s="176">
        <v>1175000000</v>
      </c>
      <c r="AP143" s="176">
        <v>1175000000</v>
      </c>
      <c r="AQ143" s="176">
        <v>5000000000</v>
      </c>
      <c r="AR143" t="s">
        <v>678</v>
      </c>
      <c r="AS143" s="175">
        <v>5</v>
      </c>
    </row>
    <row r="144" spans="1:45" x14ac:dyDescent="0.25">
      <c r="A144">
        <v>2</v>
      </c>
      <c r="B144" t="s">
        <v>3255</v>
      </c>
      <c r="C144">
        <v>143</v>
      </c>
      <c r="D144" t="s">
        <v>224</v>
      </c>
      <c r="E144" t="s">
        <v>291</v>
      </c>
      <c r="F144" t="s">
        <v>2386</v>
      </c>
      <c r="G144" t="s">
        <v>673</v>
      </c>
      <c r="H144" t="s">
        <v>674</v>
      </c>
      <c r="I144" s="180" t="s">
        <v>675</v>
      </c>
      <c r="J144">
        <v>2022</v>
      </c>
      <c r="K144" t="s">
        <v>676</v>
      </c>
      <c r="L144" t="s">
        <v>677</v>
      </c>
      <c r="M144" t="s">
        <v>25</v>
      </c>
      <c r="O144" t="s">
        <v>678</v>
      </c>
      <c r="P144" t="s">
        <v>1807</v>
      </c>
      <c r="Q144" t="s">
        <v>680</v>
      </c>
      <c r="R144" s="175" t="s">
        <v>765</v>
      </c>
      <c r="S144" t="s">
        <v>766</v>
      </c>
      <c r="T144" s="175" t="s">
        <v>2041</v>
      </c>
      <c r="U144" t="s">
        <v>2042</v>
      </c>
      <c r="V144" t="s">
        <v>2043</v>
      </c>
      <c r="W144" t="s">
        <v>2044</v>
      </c>
      <c r="X144" s="175" t="s">
        <v>2045</v>
      </c>
      <c r="Y144" t="s">
        <v>2046</v>
      </c>
      <c r="Z144" t="s">
        <v>2047</v>
      </c>
      <c r="AA144" t="s">
        <v>36</v>
      </c>
      <c r="AB144">
        <v>500</v>
      </c>
      <c r="AC144" t="s">
        <v>2185</v>
      </c>
      <c r="AD144" t="s">
        <v>2276</v>
      </c>
      <c r="AE144" t="s">
        <v>2187</v>
      </c>
      <c r="AF144" t="s">
        <v>3086</v>
      </c>
      <c r="AG144" t="s">
        <v>2280</v>
      </c>
      <c r="AH144" t="s">
        <v>2187</v>
      </c>
      <c r="AI144">
        <v>113</v>
      </c>
      <c r="AJ144">
        <v>113</v>
      </c>
      <c r="AK144">
        <v>134</v>
      </c>
      <c r="AL144">
        <v>140</v>
      </c>
      <c r="AM144" s="176">
        <v>500000000</v>
      </c>
      <c r="AN144" s="176">
        <v>500000000</v>
      </c>
      <c r="AO144" s="176" t="s">
        <v>2726</v>
      </c>
      <c r="AP144" s="176" t="s">
        <v>2727</v>
      </c>
      <c r="AQ144" s="176">
        <v>2200000000</v>
      </c>
      <c r="AR144" t="s">
        <v>678</v>
      </c>
      <c r="AS144" s="175">
        <v>5</v>
      </c>
    </row>
    <row r="145" spans="1:45" x14ac:dyDescent="0.25">
      <c r="A145">
        <v>2</v>
      </c>
      <c r="B145" t="s">
        <v>3255</v>
      </c>
      <c r="C145">
        <v>144</v>
      </c>
      <c r="D145" t="s">
        <v>224</v>
      </c>
      <c r="E145" t="s">
        <v>291</v>
      </c>
      <c r="F145" t="s">
        <v>2386</v>
      </c>
      <c r="G145" t="s">
        <v>797</v>
      </c>
      <c r="H145" t="s">
        <v>798</v>
      </c>
      <c r="I145" s="180" t="s">
        <v>3097</v>
      </c>
      <c r="J145">
        <v>2022</v>
      </c>
      <c r="K145" t="s">
        <v>800</v>
      </c>
      <c r="L145" t="s">
        <v>801</v>
      </c>
      <c r="M145" t="s">
        <v>25</v>
      </c>
      <c r="N145" t="s">
        <v>706</v>
      </c>
      <c r="O145" t="s">
        <v>678</v>
      </c>
      <c r="P145" t="s">
        <v>802</v>
      </c>
      <c r="Q145" t="s">
        <v>2112</v>
      </c>
      <c r="R145" s="175" t="s">
        <v>803</v>
      </c>
      <c r="S145" t="s">
        <v>804</v>
      </c>
      <c r="T145" s="175">
        <v>4103051</v>
      </c>
      <c r="U145" t="s">
        <v>805</v>
      </c>
      <c r="V145" t="s">
        <v>806</v>
      </c>
      <c r="W145" t="s">
        <v>807</v>
      </c>
      <c r="X145" s="175">
        <v>410305100</v>
      </c>
      <c r="Y145" t="s">
        <v>808</v>
      </c>
      <c r="Z145" t="s">
        <v>809</v>
      </c>
      <c r="AA145" t="s">
        <v>36</v>
      </c>
      <c r="AB145">
        <v>6000</v>
      </c>
      <c r="AC145" t="s">
        <v>2185</v>
      </c>
      <c r="AD145" t="s">
        <v>2276</v>
      </c>
      <c r="AE145" t="s">
        <v>2187</v>
      </c>
      <c r="AF145" t="s">
        <v>716</v>
      </c>
      <c r="AG145" t="s">
        <v>706</v>
      </c>
      <c r="AH145" t="s">
        <v>2187</v>
      </c>
      <c r="AI145">
        <v>77</v>
      </c>
      <c r="AJ145">
        <v>248</v>
      </c>
      <c r="AK145">
        <v>334</v>
      </c>
      <c r="AL145">
        <v>341</v>
      </c>
      <c r="AM145" s="176">
        <v>100000000</v>
      </c>
      <c r="AN145" s="176">
        <v>323480000</v>
      </c>
      <c r="AO145" s="176">
        <v>439783980</v>
      </c>
      <c r="AP145" s="176" t="s">
        <v>2728</v>
      </c>
      <c r="AQ145" s="176" t="s">
        <v>2729</v>
      </c>
      <c r="AR145" t="s">
        <v>678</v>
      </c>
      <c r="AS145" s="175">
        <v>5</v>
      </c>
    </row>
    <row r="146" spans="1:45" x14ac:dyDescent="0.25">
      <c r="A146">
        <v>2</v>
      </c>
      <c r="B146" t="s">
        <v>3255</v>
      </c>
      <c r="C146">
        <v>145</v>
      </c>
      <c r="D146" t="s">
        <v>224</v>
      </c>
      <c r="E146" t="s">
        <v>291</v>
      </c>
      <c r="F146" t="s">
        <v>2386</v>
      </c>
      <c r="G146" t="s">
        <v>797</v>
      </c>
      <c r="H146" t="s">
        <v>798</v>
      </c>
      <c r="I146" s="180" t="s">
        <v>3097</v>
      </c>
      <c r="J146">
        <v>2022</v>
      </c>
      <c r="K146" t="s">
        <v>800</v>
      </c>
      <c r="L146" t="s">
        <v>801</v>
      </c>
      <c r="M146" t="s">
        <v>25</v>
      </c>
      <c r="N146" t="s">
        <v>706</v>
      </c>
      <c r="O146" t="s">
        <v>678</v>
      </c>
      <c r="P146" t="s">
        <v>1807</v>
      </c>
      <c r="Q146" t="s">
        <v>680</v>
      </c>
      <c r="R146" s="175" t="s">
        <v>722</v>
      </c>
      <c r="S146" t="s">
        <v>723</v>
      </c>
      <c r="T146" s="175" t="s">
        <v>2147</v>
      </c>
      <c r="U146" t="s">
        <v>2148</v>
      </c>
      <c r="V146" t="s">
        <v>2149</v>
      </c>
      <c r="W146" t="s">
        <v>2150</v>
      </c>
      <c r="X146" s="175" t="s">
        <v>2151</v>
      </c>
      <c r="Y146" t="s">
        <v>2152</v>
      </c>
      <c r="Z146" t="s">
        <v>2153</v>
      </c>
      <c r="AA146" t="s">
        <v>36</v>
      </c>
      <c r="AB146">
        <v>3</v>
      </c>
      <c r="AC146" t="s">
        <v>2185</v>
      </c>
      <c r="AD146" t="s">
        <v>2282</v>
      </c>
      <c r="AE146" t="s">
        <v>2187</v>
      </c>
      <c r="AF146" t="s">
        <v>716</v>
      </c>
      <c r="AG146" t="s">
        <v>706</v>
      </c>
      <c r="AH146" t="s">
        <v>2187</v>
      </c>
      <c r="AI146">
        <v>0</v>
      </c>
      <c r="AJ146" t="s">
        <v>3201</v>
      </c>
      <c r="AK146" t="s">
        <v>3201</v>
      </c>
      <c r="AL146">
        <v>0</v>
      </c>
      <c r="AM146" s="176">
        <v>0</v>
      </c>
      <c r="AN146" s="176">
        <v>500000000</v>
      </c>
      <c r="AO146" s="176">
        <v>500000000</v>
      </c>
      <c r="AP146" s="176">
        <v>0</v>
      </c>
      <c r="AQ146" s="176">
        <v>1000000000</v>
      </c>
      <c r="AR146" t="s">
        <v>678</v>
      </c>
      <c r="AS146" s="175">
        <v>5</v>
      </c>
    </row>
    <row r="147" spans="1:45" x14ac:dyDescent="0.25">
      <c r="A147">
        <v>2</v>
      </c>
      <c r="B147" t="s">
        <v>3255</v>
      </c>
      <c r="C147">
        <v>146</v>
      </c>
      <c r="D147" t="s">
        <v>224</v>
      </c>
      <c r="E147" t="s">
        <v>291</v>
      </c>
      <c r="F147" t="s">
        <v>2386</v>
      </c>
      <c r="G147" t="s">
        <v>797</v>
      </c>
      <c r="H147" t="s">
        <v>798</v>
      </c>
      <c r="I147" s="180" t="s">
        <v>3097</v>
      </c>
      <c r="J147">
        <v>2022</v>
      </c>
      <c r="K147" t="s">
        <v>800</v>
      </c>
      <c r="L147" t="s">
        <v>801</v>
      </c>
      <c r="M147" t="s">
        <v>25</v>
      </c>
      <c r="N147" t="s">
        <v>706</v>
      </c>
      <c r="O147" t="s">
        <v>678</v>
      </c>
      <c r="P147" t="s">
        <v>810</v>
      </c>
      <c r="Q147" t="s">
        <v>28</v>
      </c>
      <c r="R147" s="175" t="s">
        <v>29</v>
      </c>
      <c r="S147" t="s">
        <v>1984</v>
      </c>
      <c r="T147" s="175">
        <v>2201061</v>
      </c>
      <c r="U147" t="s">
        <v>811</v>
      </c>
      <c r="V147" t="s">
        <v>812</v>
      </c>
      <c r="W147" t="s">
        <v>813</v>
      </c>
      <c r="X147" s="175">
        <v>220106100</v>
      </c>
      <c r="Y147" t="s">
        <v>814</v>
      </c>
      <c r="Z147" t="s">
        <v>815</v>
      </c>
      <c r="AA147" t="s">
        <v>36</v>
      </c>
      <c r="AB147">
        <v>150</v>
      </c>
      <c r="AC147" t="s">
        <v>2185</v>
      </c>
      <c r="AD147" t="s">
        <v>2276</v>
      </c>
      <c r="AE147" t="s">
        <v>2187</v>
      </c>
      <c r="AF147" t="s">
        <v>716</v>
      </c>
      <c r="AG147" t="s">
        <v>706</v>
      </c>
      <c r="AH147" t="s">
        <v>2187</v>
      </c>
      <c r="AI147">
        <v>15</v>
      </c>
      <c r="AJ147">
        <v>50</v>
      </c>
      <c r="AK147">
        <v>66</v>
      </c>
      <c r="AL147">
        <v>69</v>
      </c>
      <c r="AM147" s="176">
        <v>100000000</v>
      </c>
      <c r="AN147" s="176">
        <v>323480000</v>
      </c>
      <c r="AO147" s="176">
        <v>439783980</v>
      </c>
      <c r="AP147" s="176" t="s">
        <v>2728</v>
      </c>
      <c r="AQ147" s="176" t="s">
        <v>2729</v>
      </c>
      <c r="AR147" t="s">
        <v>678</v>
      </c>
      <c r="AS147" s="175">
        <v>5</v>
      </c>
    </row>
    <row r="148" spans="1:45" x14ac:dyDescent="0.25">
      <c r="A148">
        <v>2</v>
      </c>
      <c r="B148" t="s">
        <v>3255</v>
      </c>
      <c r="C148">
        <v>147</v>
      </c>
      <c r="D148" t="s">
        <v>224</v>
      </c>
      <c r="E148" t="s">
        <v>291</v>
      </c>
      <c r="F148" t="s">
        <v>2386</v>
      </c>
      <c r="G148" t="s">
        <v>797</v>
      </c>
      <c r="H148" t="s">
        <v>798</v>
      </c>
      <c r="I148" s="180" t="s">
        <v>3097</v>
      </c>
      <c r="J148">
        <v>2022</v>
      </c>
      <c r="K148" t="s">
        <v>800</v>
      </c>
      <c r="L148" t="s">
        <v>801</v>
      </c>
      <c r="M148" t="s">
        <v>25</v>
      </c>
      <c r="N148" t="s">
        <v>679</v>
      </c>
      <c r="O148" t="s">
        <v>678</v>
      </c>
      <c r="P148">
        <v>17</v>
      </c>
      <c r="Q148" t="s">
        <v>680</v>
      </c>
      <c r="R148" s="175" t="s">
        <v>743</v>
      </c>
      <c r="S148" t="s">
        <v>744</v>
      </c>
      <c r="T148" s="175" t="s">
        <v>816</v>
      </c>
      <c r="U148" t="s">
        <v>817</v>
      </c>
      <c r="V148" t="s">
        <v>818</v>
      </c>
      <c r="W148" t="s">
        <v>819</v>
      </c>
      <c r="X148" s="175" t="s">
        <v>820</v>
      </c>
      <c r="Y148" t="s">
        <v>817</v>
      </c>
      <c r="Z148" t="s">
        <v>821</v>
      </c>
      <c r="AA148" t="s">
        <v>36</v>
      </c>
      <c r="AB148">
        <v>0</v>
      </c>
      <c r="AC148" t="s">
        <v>2185</v>
      </c>
      <c r="AD148" t="s">
        <v>2276</v>
      </c>
      <c r="AE148" t="s">
        <v>2187</v>
      </c>
      <c r="AF148" t="s">
        <v>716</v>
      </c>
      <c r="AG148" t="s">
        <v>688</v>
      </c>
      <c r="AH148" t="s">
        <v>2187</v>
      </c>
      <c r="AI148" t="s">
        <v>3204</v>
      </c>
      <c r="AJ148" t="s">
        <v>3209</v>
      </c>
      <c r="AK148" t="s">
        <v>3210</v>
      </c>
      <c r="AL148" t="s">
        <v>3211</v>
      </c>
      <c r="AM148" s="176">
        <v>400000000</v>
      </c>
      <c r="AN148" s="176">
        <v>223480000</v>
      </c>
      <c r="AO148" s="176">
        <v>239783980</v>
      </c>
      <c r="AP148" s="176" t="s">
        <v>2728</v>
      </c>
      <c r="AQ148" s="176" t="s">
        <v>2729</v>
      </c>
      <c r="AR148" t="s">
        <v>678</v>
      </c>
      <c r="AS148" s="175">
        <v>5</v>
      </c>
    </row>
    <row r="149" spans="1:45" x14ac:dyDescent="0.25">
      <c r="A149">
        <v>2</v>
      </c>
      <c r="B149" t="s">
        <v>3255</v>
      </c>
      <c r="C149">
        <v>148</v>
      </c>
      <c r="D149" t="s">
        <v>224</v>
      </c>
      <c r="E149" t="s">
        <v>291</v>
      </c>
      <c r="F149" t="s">
        <v>2386</v>
      </c>
      <c r="G149" t="s">
        <v>797</v>
      </c>
      <c r="H149" t="s">
        <v>798</v>
      </c>
      <c r="I149" s="180" t="s">
        <v>3097</v>
      </c>
      <c r="J149">
        <v>2022</v>
      </c>
      <c r="K149" t="s">
        <v>800</v>
      </c>
      <c r="L149" t="s">
        <v>801</v>
      </c>
      <c r="M149" t="s">
        <v>25</v>
      </c>
      <c r="N149" t="s">
        <v>706</v>
      </c>
      <c r="O149" t="s">
        <v>678</v>
      </c>
      <c r="P149" t="s">
        <v>802</v>
      </c>
      <c r="Q149" t="s">
        <v>2112</v>
      </c>
      <c r="R149" s="175">
        <v>4103</v>
      </c>
      <c r="S149" t="s">
        <v>804</v>
      </c>
      <c r="T149" s="175">
        <v>4103060</v>
      </c>
      <c r="U149" t="s">
        <v>822</v>
      </c>
      <c r="V149" t="s">
        <v>823</v>
      </c>
      <c r="W149" t="s">
        <v>500</v>
      </c>
      <c r="X149" s="175">
        <v>410306000</v>
      </c>
      <c r="Y149" t="s">
        <v>824</v>
      </c>
      <c r="Z149" t="s">
        <v>825</v>
      </c>
      <c r="AA149" t="s">
        <v>36</v>
      </c>
      <c r="AB149">
        <v>2</v>
      </c>
      <c r="AC149" t="s">
        <v>2185</v>
      </c>
      <c r="AD149" t="s">
        <v>2367</v>
      </c>
      <c r="AE149" t="s">
        <v>2187</v>
      </c>
      <c r="AF149" t="s">
        <v>716</v>
      </c>
      <c r="AG149" t="s">
        <v>706</v>
      </c>
      <c r="AH149" t="s">
        <v>2187</v>
      </c>
      <c r="AI149">
        <v>0</v>
      </c>
      <c r="AJ149" t="s">
        <v>3212</v>
      </c>
      <c r="AK149" t="s">
        <v>3213</v>
      </c>
      <c r="AL149" t="s">
        <v>3214</v>
      </c>
      <c r="AM149" s="176">
        <v>0</v>
      </c>
      <c r="AN149" s="176">
        <v>105870000</v>
      </c>
      <c r="AO149" s="176">
        <v>109945995</v>
      </c>
      <c r="AP149" s="176">
        <v>114178916</v>
      </c>
      <c r="AQ149" s="176">
        <v>329994911</v>
      </c>
      <c r="AR149" t="s">
        <v>678</v>
      </c>
      <c r="AS149" s="175">
        <v>5</v>
      </c>
    </row>
    <row r="150" spans="1:45" x14ac:dyDescent="0.25">
      <c r="A150">
        <v>2</v>
      </c>
      <c r="B150" t="s">
        <v>3255</v>
      </c>
      <c r="C150">
        <v>149</v>
      </c>
      <c r="D150" t="s">
        <v>224</v>
      </c>
      <c r="E150" t="s">
        <v>291</v>
      </c>
      <c r="F150" t="s">
        <v>2386</v>
      </c>
      <c r="G150" t="s">
        <v>797</v>
      </c>
      <c r="H150" t="s">
        <v>798</v>
      </c>
      <c r="I150" s="180" t="s">
        <v>3097</v>
      </c>
      <c r="J150">
        <v>2022</v>
      </c>
      <c r="K150" t="s">
        <v>800</v>
      </c>
      <c r="L150" t="s">
        <v>801</v>
      </c>
      <c r="M150" t="s">
        <v>25</v>
      </c>
      <c r="N150" t="s">
        <v>679</v>
      </c>
      <c r="O150" t="s">
        <v>678</v>
      </c>
      <c r="P150" t="s">
        <v>785</v>
      </c>
      <c r="Q150" t="s">
        <v>786</v>
      </c>
      <c r="R150" s="175">
        <v>4599</v>
      </c>
      <c r="S150" t="s">
        <v>826</v>
      </c>
      <c r="T150" s="175">
        <v>4599032</v>
      </c>
      <c r="U150" t="s">
        <v>827</v>
      </c>
      <c r="V150" t="s">
        <v>828</v>
      </c>
      <c r="W150" t="s">
        <v>500</v>
      </c>
      <c r="X150" s="175">
        <v>459903200</v>
      </c>
      <c r="Y150" t="s">
        <v>829</v>
      </c>
      <c r="Z150" t="s">
        <v>2155</v>
      </c>
      <c r="AA150" t="s">
        <v>36</v>
      </c>
      <c r="AB150">
        <v>1</v>
      </c>
      <c r="AC150" t="s">
        <v>2185</v>
      </c>
      <c r="AD150" t="s">
        <v>2367</v>
      </c>
      <c r="AE150" t="s">
        <v>3089</v>
      </c>
      <c r="AF150" t="s">
        <v>716</v>
      </c>
      <c r="AG150" t="s">
        <v>706</v>
      </c>
      <c r="AH150" t="s">
        <v>2187</v>
      </c>
      <c r="AI150">
        <v>0</v>
      </c>
      <c r="AJ150" t="s">
        <v>3215</v>
      </c>
      <c r="AK150" t="s">
        <v>3204</v>
      </c>
      <c r="AL150" t="s">
        <v>3216</v>
      </c>
      <c r="AM150" s="176">
        <v>0</v>
      </c>
      <c r="AN150" s="176">
        <v>65870000</v>
      </c>
      <c r="AO150" s="176">
        <v>69945995</v>
      </c>
      <c r="AP150" s="176">
        <v>94178916</v>
      </c>
      <c r="AQ150" s="176">
        <v>229994911</v>
      </c>
      <c r="AR150" t="s">
        <v>678</v>
      </c>
      <c r="AS150" s="175">
        <v>5</v>
      </c>
    </row>
    <row r="151" spans="1:45" x14ac:dyDescent="0.25">
      <c r="A151">
        <v>2</v>
      </c>
      <c r="B151" t="s">
        <v>3255</v>
      </c>
      <c r="C151">
        <v>150</v>
      </c>
      <c r="D151" t="s">
        <v>224</v>
      </c>
      <c r="E151" t="s">
        <v>291</v>
      </c>
      <c r="F151" t="s">
        <v>2386</v>
      </c>
      <c r="G151" t="s">
        <v>797</v>
      </c>
      <c r="H151" t="s">
        <v>798</v>
      </c>
      <c r="I151" s="180" t="s">
        <v>3097</v>
      </c>
      <c r="J151">
        <v>2022</v>
      </c>
      <c r="K151" t="s">
        <v>800</v>
      </c>
      <c r="L151" t="s">
        <v>801</v>
      </c>
      <c r="M151" t="s">
        <v>25</v>
      </c>
      <c r="N151" t="s">
        <v>706</v>
      </c>
      <c r="O151" t="s">
        <v>678</v>
      </c>
      <c r="P151" t="s">
        <v>802</v>
      </c>
      <c r="Q151" t="s">
        <v>2112</v>
      </c>
      <c r="R151" s="175" t="s">
        <v>803</v>
      </c>
      <c r="S151" t="s">
        <v>830</v>
      </c>
      <c r="T151" s="175" t="s">
        <v>831</v>
      </c>
      <c r="U151" t="s">
        <v>832</v>
      </c>
      <c r="V151" t="s">
        <v>833</v>
      </c>
      <c r="W151" t="s">
        <v>834</v>
      </c>
      <c r="X151" s="175" t="s">
        <v>835</v>
      </c>
      <c r="Y151" t="s">
        <v>836</v>
      </c>
      <c r="Z151" t="s">
        <v>1987</v>
      </c>
      <c r="AA151" t="s">
        <v>36</v>
      </c>
      <c r="AB151">
        <v>0</v>
      </c>
      <c r="AC151" t="s">
        <v>2185</v>
      </c>
      <c r="AD151" t="s">
        <v>2276</v>
      </c>
      <c r="AE151" t="s">
        <v>2187</v>
      </c>
      <c r="AF151" t="s">
        <v>716</v>
      </c>
      <c r="AG151" t="s">
        <v>706</v>
      </c>
      <c r="AH151" t="s">
        <v>2187</v>
      </c>
      <c r="AI151">
        <v>0</v>
      </c>
      <c r="AJ151">
        <v>100</v>
      </c>
      <c r="AK151">
        <v>0</v>
      </c>
      <c r="AL151">
        <v>0</v>
      </c>
      <c r="AM151" s="176">
        <v>0</v>
      </c>
      <c r="AN151" s="176">
        <v>2000000000</v>
      </c>
      <c r="AO151" s="176">
        <v>0</v>
      </c>
      <c r="AP151" s="176">
        <v>0</v>
      </c>
      <c r="AQ151" s="176">
        <v>2000000000</v>
      </c>
      <c r="AR151" t="s">
        <v>678</v>
      </c>
      <c r="AS151" s="175">
        <v>5</v>
      </c>
    </row>
    <row r="152" spans="1:45" x14ac:dyDescent="0.25">
      <c r="A152">
        <v>2</v>
      </c>
      <c r="B152" t="s">
        <v>3255</v>
      </c>
      <c r="C152">
        <v>151</v>
      </c>
      <c r="D152" t="s">
        <v>224</v>
      </c>
      <c r="E152" t="s">
        <v>291</v>
      </c>
      <c r="F152" t="s">
        <v>2386</v>
      </c>
      <c r="G152" t="s">
        <v>797</v>
      </c>
      <c r="H152" t="s">
        <v>798</v>
      </c>
      <c r="I152" s="183" t="s">
        <v>3097</v>
      </c>
      <c r="J152">
        <v>2022</v>
      </c>
      <c r="K152" t="s">
        <v>800</v>
      </c>
      <c r="L152" t="s">
        <v>801</v>
      </c>
      <c r="M152" t="s">
        <v>25</v>
      </c>
      <c r="N152" t="s">
        <v>3088</v>
      </c>
      <c r="O152" t="s">
        <v>678</v>
      </c>
      <c r="P152">
        <v>17</v>
      </c>
      <c r="Q152" t="s">
        <v>680</v>
      </c>
      <c r="R152" s="175" t="s">
        <v>681</v>
      </c>
      <c r="S152" t="s">
        <v>682</v>
      </c>
      <c r="T152" s="175">
        <v>1702032</v>
      </c>
      <c r="U152" t="s">
        <v>837</v>
      </c>
      <c r="V152" t="s">
        <v>838</v>
      </c>
      <c r="W152" t="s">
        <v>839</v>
      </c>
      <c r="X152" s="175" t="s">
        <v>840</v>
      </c>
      <c r="Y152" t="s">
        <v>841</v>
      </c>
      <c r="Z152" t="s">
        <v>2048</v>
      </c>
      <c r="AA152" t="s">
        <v>764</v>
      </c>
      <c r="AB152">
        <v>0</v>
      </c>
      <c r="AC152" t="s">
        <v>2185</v>
      </c>
      <c r="AD152" t="s">
        <v>2276</v>
      </c>
      <c r="AE152" t="s">
        <v>2187</v>
      </c>
      <c r="AF152" t="s">
        <v>3098</v>
      </c>
      <c r="AG152" t="s">
        <v>706</v>
      </c>
      <c r="AH152" t="s">
        <v>2187</v>
      </c>
      <c r="AI152">
        <v>0</v>
      </c>
      <c r="AJ152" t="s">
        <v>3217</v>
      </c>
      <c r="AK152" t="s">
        <v>3218</v>
      </c>
      <c r="AL152" t="s">
        <v>3219</v>
      </c>
      <c r="AM152" s="176">
        <v>0</v>
      </c>
      <c r="AN152" s="176">
        <v>400000000</v>
      </c>
      <c r="AO152" s="176">
        <v>1000000000</v>
      </c>
      <c r="AP152" s="176">
        <v>1800000000</v>
      </c>
      <c r="AQ152" s="176">
        <v>3200000000</v>
      </c>
      <c r="AR152" t="s">
        <v>678</v>
      </c>
      <c r="AS152" s="175">
        <v>5</v>
      </c>
    </row>
    <row r="153" spans="1:45" x14ac:dyDescent="0.25">
      <c r="A153">
        <v>2</v>
      </c>
      <c r="B153" t="s">
        <v>3255</v>
      </c>
      <c r="C153">
        <v>152</v>
      </c>
      <c r="D153" t="s">
        <v>224</v>
      </c>
      <c r="E153" t="s">
        <v>291</v>
      </c>
      <c r="F153" t="s">
        <v>2386</v>
      </c>
      <c r="G153" t="s">
        <v>797</v>
      </c>
      <c r="H153" t="s">
        <v>798</v>
      </c>
      <c r="I153" s="183" t="s">
        <v>3097</v>
      </c>
      <c r="J153">
        <v>2022</v>
      </c>
      <c r="K153" t="s">
        <v>800</v>
      </c>
      <c r="L153" t="s">
        <v>801</v>
      </c>
      <c r="M153" t="s">
        <v>25</v>
      </c>
      <c r="N153" t="s">
        <v>706</v>
      </c>
      <c r="O153" t="s">
        <v>678</v>
      </c>
      <c r="P153">
        <v>17</v>
      </c>
      <c r="Q153" t="s">
        <v>680</v>
      </c>
      <c r="R153" s="175" t="s">
        <v>743</v>
      </c>
      <c r="S153" t="s">
        <v>744</v>
      </c>
      <c r="T153" s="175" t="s">
        <v>843</v>
      </c>
      <c r="U153" t="s">
        <v>844</v>
      </c>
      <c r="V153" t="s">
        <v>845</v>
      </c>
      <c r="W153" t="s">
        <v>846</v>
      </c>
      <c r="X153" s="175" t="s">
        <v>847</v>
      </c>
      <c r="Y153" t="s">
        <v>844</v>
      </c>
      <c r="Z153" t="s">
        <v>848</v>
      </c>
      <c r="AA153" t="s">
        <v>764</v>
      </c>
      <c r="AB153">
        <v>0</v>
      </c>
      <c r="AC153" t="s">
        <v>2185</v>
      </c>
      <c r="AD153" t="s">
        <v>2276</v>
      </c>
      <c r="AE153" t="s">
        <v>2187</v>
      </c>
      <c r="AF153" t="s">
        <v>3098</v>
      </c>
      <c r="AG153" t="s">
        <v>706</v>
      </c>
      <c r="AH153" t="s">
        <v>2187</v>
      </c>
      <c r="AI153">
        <v>0</v>
      </c>
      <c r="AJ153">
        <v>3</v>
      </c>
      <c r="AK153">
        <v>0</v>
      </c>
      <c r="AL153">
        <v>0</v>
      </c>
      <c r="AM153" s="176">
        <v>0</v>
      </c>
      <c r="AN153" s="176">
        <v>400000000</v>
      </c>
      <c r="AO153" s="176">
        <v>0</v>
      </c>
      <c r="AP153" s="176">
        <v>0</v>
      </c>
      <c r="AQ153" s="176">
        <v>400000000</v>
      </c>
      <c r="AR153" t="s">
        <v>678</v>
      </c>
      <c r="AS153" s="175">
        <v>5</v>
      </c>
    </row>
    <row r="154" spans="1:45" x14ac:dyDescent="0.25">
      <c r="A154">
        <v>2</v>
      </c>
      <c r="B154" t="s">
        <v>3255</v>
      </c>
      <c r="C154">
        <v>153</v>
      </c>
      <c r="D154" t="s">
        <v>224</v>
      </c>
      <c r="E154" t="s">
        <v>291</v>
      </c>
      <c r="F154" t="s">
        <v>2386</v>
      </c>
      <c r="G154" t="s">
        <v>849</v>
      </c>
      <c r="H154" t="s">
        <v>850</v>
      </c>
      <c r="I154" s="183" t="s">
        <v>851</v>
      </c>
      <c r="J154">
        <v>2019</v>
      </c>
      <c r="K154" t="s">
        <v>3099</v>
      </c>
      <c r="L154" t="s">
        <v>853</v>
      </c>
      <c r="M154" t="s">
        <v>25</v>
      </c>
      <c r="N154" t="s">
        <v>3093</v>
      </c>
      <c r="O154" t="s">
        <v>678</v>
      </c>
      <c r="P154">
        <v>32</v>
      </c>
      <c r="Q154" t="s">
        <v>854</v>
      </c>
      <c r="R154" s="175" t="s">
        <v>855</v>
      </c>
      <c r="S154" t="s">
        <v>856</v>
      </c>
      <c r="T154" s="175" t="s">
        <v>857</v>
      </c>
      <c r="U154" t="s">
        <v>858</v>
      </c>
      <c r="V154" t="s">
        <v>859</v>
      </c>
      <c r="W154" t="s">
        <v>860</v>
      </c>
      <c r="X154" s="175" t="s">
        <v>861</v>
      </c>
      <c r="Y154" t="s">
        <v>862</v>
      </c>
      <c r="Z154" t="s">
        <v>863</v>
      </c>
      <c r="AA154" t="s">
        <v>36</v>
      </c>
      <c r="AB154">
        <v>240</v>
      </c>
      <c r="AC154" t="s">
        <v>2185</v>
      </c>
      <c r="AD154" t="s">
        <v>2283</v>
      </c>
      <c r="AE154" t="s">
        <v>2187</v>
      </c>
      <c r="AF154" t="s">
        <v>3094</v>
      </c>
      <c r="AG154" t="s">
        <v>2280</v>
      </c>
      <c r="AH154" t="s">
        <v>2187</v>
      </c>
      <c r="AI154">
        <v>51</v>
      </c>
      <c r="AJ154">
        <v>41</v>
      </c>
      <c r="AK154">
        <v>43</v>
      </c>
      <c r="AL154">
        <v>45</v>
      </c>
      <c r="AM154" s="176">
        <v>1253887977</v>
      </c>
      <c r="AN154" s="176" t="s">
        <v>2730</v>
      </c>
      <c r="AO154" s="176" t="s">
        <v>2731</v>
      </c>
      <c r="AP154" s="176" t="s">
        <v>2732</v>
      </c>
      <c r="AQ154" s="176" t="s">
        <v>2733</v>
      </c>
      <c r="AR154" t="s">
        <v>678</v>
      </c>
      <c r="AS154" s="175">
        <v>5</v>
      </c>
    </row>
    <row r="155" spans="1:45" x14ac:dyDescent="0.25">
      <c r="A155">
        <v>2</v>
      </c>
      <c r="B155" t="s">
        <v>3255</v>
      </c>
      <c r="C155">
        <v>154</v>
      </c>
      <c r="D155" t="s">
        <v>224</v>
      </c>
      <c r="E155" t="s">
        <v>291</v>
      </c>
      <c r="F155" t="s">
        <v>2386</v>
      </c>
      <c r="G155" t="s">
        <v>849</v>
      </c>
      <c r="H155" t="s">
        <v>850</v>
      </c>
      <c r="I155" s="183" t="s">
        <v>851</v>
      </c>
      <c r="J155">
        <v>2019</v>
      </c>
      <c r="K155" t="s">
        <v>3099</v>
      </c>
      <c r="L155" t="s">
        <v>853</v>
      </c>
      <c r="M155" t="s">
        <v>25</v>
      </c>
      <c r="N155" t="s">
        <v>3093</v>
      </c>
      <c r="O155" t="s">
        <v>678</v>
      </c>
      <c r="P155">
        <v>32</v>
      </c>
      <c r="Q155" t="s">
        <v>854</v>
      </c>
      <c r="R155" s="175" t="s">
        <v>855</v>
      </c>
      <c r="S155" t="s">
        <v>856</v>
      </c>
      <c r="T155" s="175" t="s">
        <v>864</v>
      </c>
      <c r="U155" t="s">
        <v>865</v>
      </c>
      <c r="V155" t="s">
        <v>866</v>
      </c>
      <c r="W155" t="s">
        <v>860</v>
      </c>
      <c r="X155" s="175" t="s">
        <v>867</v>
      </c>
      <c r="Y155" t="s">
        <v>868</v>
      </c>
      <c r="Z155" t="s">
        <v>869</v>
      </c>
      <c r="AA155" t="s">
        <v>36</v>
      </c>
      <c r="AB155">
        <v>0</v>
      </c>
      <c r="AC155" t="s">
        <v>2185</v>
      </c>
      <c r="AD155" t="s">
        <v>2283</v>
      </c>
      <c r="AE155" t="s">
        <v>2187</v>
      </c>
      <c r="AF155" t="s">
        <v>3094</v>
      </c>
      <c r="AG155" t="s">
        <v>2280</v>
      </c>
      <c r="AH155" t="s">
        <v>2187</v>
      </c>
      <c r="AI155">
        <v>20</v>
      </c>
      <c r="AJ155">
        <v>20</v>
      </c>
      <c r="AK155">
        <v>20</v>
      </c>
      <c r="AL155">
        <v>20</v>
      </c>
      <c r="AM155" s="176">
        <v>250000000</v>
      </c>
      <c r="AN155" s="176">
        <v>250000000</v>
      </c>
      <c r="AO155" s="176">
        <v>250000000</v>
      </c>
      <c r="AP155" s="176">
        <v>250000000</v>
      </c>
      <c r="AQ155" s="176">
        <v>1000000000</v>
      </c>
      <c r="AR155" t="s">
        <v>678</v>
      </c>
      <c r="AS155" s="175">
        <v>5</v>
      </c>
    </row>
    <row r="156" spans="1:45" x14ac:dyDescent="0.25">
      <c r="A156">
        <v>2</v>
      </c>
      <c r="B156" t="s">
        <v>3255</v>
      </c>
      <c r="C156">
        <v>155</v>
      </c>
      <c r="D156" t="s">
        <v>224</v>
      </c>
      <c r="E156" t="s">
        <v>291</v>
      </c>
      <c r="F156" t="s">
        <v>2386</v>
      </c>
      <c r="G156" t="s">
        <v>849</v>
      </c>
      <c r="H156" t="s">
        <v>850</v>
      </c>
      <c r="I156" s="183" t="s">
        <v>851</v>
      </c>
      <c r="J156">
        <v>2019</v>
      </c>
      <c r="K156" t="s">
        <v>3099</v>
      </c>
      <c r="L156" t="s">
        <v>853</v>
      </c>
      <c r="M156" t="s">
        <v>25</v>
      </c>
      <c r="N156" t="s">
        <v>3093</v>
      </c>
      <c r="O156" t="s">
        <v>678</v>
      </c>
      <c r="P156">
        <v>32</v>
      </c>
      <c r="Q156" t="s">
        <v>854</v>
      </c>
      <c r="R156" s="175" t="s">
        <v>870</v>
      </c>
      <c r="S156" t="s">
        <v>1887</v>
      </c>
      <c r="T156" s="175" t="s">
        <v>871</v>
      </c>
      <c r="U156" t="s">
        <v>872</v>
      </c>
      <c r="V156" t="s">
        <v>873</v>
      </c>
      <c r="W156" t="s">
        <v>369</v>
      </c>
      <c r="X156" s="175" t="s">
        <v>874</v>
      </c>
      <c r="Y156" t="s">
        <v>875</v>
      </c>
      <c r="Z156" t="s">
        <v>876</v>
      </c>
      <c r="AA156" t="s">
        <v>36</v>
      </c>
      <c r="AB156">
        <v>0</v>
      </c>
      <c r="AC156" t="s">
        <v>2185</v>
      </c>
      <c r="AD156" t="s">
        <v>2283</v>
      </c>
      <c r="AE156" t="s">
        <v>2187</v>
      </c>
      <c r="AF156" t="s">
        <v>3094</v>
      </c>
      <c r="AG156" t="s">
        <v>2280</v>
      </c>
      <c r="AH156" t="s">
        <v>2187</v>
      </c>
      <c r="AI156" t="s">
        <v>3202</v>
      </c>
      <c r="AJ156" t="s">
        <v>3194</v>
      </c>
      <c r="AK156" t="s">
        <v>3204</v>
      </c>
      <c r="AL156">
        <v>0</v>
      </c>
      <c r="AM156" s="176">
        <v>100000000</v>
      </c>
      <c r="AN156" s="176">
        <v>250000000</v>
      </c>
      <c r="AO156" s="176">
        <v>150000000</v>
      </c>
      <c r="AP156" s="176">
        <v>0</v>
      </c>
      <c r="AQ156" s="176">
        <v>500000000</v>
      </c>
      <c r="AR156" t="s">
        <v>678</v>
      </c>
      <c r="AS156" s="175">
        <v>5</v>
      </c>
    </row>
    <row r="157" spans="1:45" x14ac:dyDescent="0.25">
      <c r="A157">
        <v>2</v>
      </c>
      <c r="B157" t="s">
        <v>3255</v>
      </c>
      <c r="C157">
        <v>156</v>
      </c>
      <c r="D157" t="s">
        <v>224</v>
      </c>
      <c r="E157" t="s">
        <v>291</v>
      </c>
      <c r="F157" t="s">
        <v>2386</v>
      </c>
      <c r="G157" t="s">
        <v>849</v>
      </c>
      <c r="H157" t="s">
        <v>850</v>
      </c>
      <c r="I157" s="183" t="s">
        <v>851</v>
      </c>
      <c r="J157">
        <v>2019</v>
      </c>
      <c r="K157" t="s">
        <v>3099</v>
      </c>
      <c r="L157" t="s">
        <v>853</v>
      </c>
      <c r="M157" t="s">
        <v>25</v>
      </c>
      <c r="N157" t="s">
        <v>3100</v>
      </c>
      <c r="O157" t="s">
        <v>678</v>
      </c>
      <c r="P157">
        <v>32</v>
      </c>
      <c r="Q157" t="s">
        <v>854</v>
      </c>
      <c r="R157" s="175" t="s">
        <v>878</v>
      </c>
      <c r="S157" t="s">
        <v>879</v>
      </c>
      <c r="T157" s="175" t="s">
        <v>880</v>
      </c>
      <c r="U157" t="s">
        <v>881</v>
      </c>
      <c r="V157" t="s">
        <v>882</v>
      </c>
      <c r="W157" t="s">
        <v>358</v>
      </c>
      <c r="X157" s="175">
        <v>320500600</v>
      </c>
      <c r="Y157" t="s">
        <v>883</v>
      </c>
      <c r="Z157" t="s">
        <v>2049</v>
      </c>
      <c r="AA157" t="s">
        <v>36</v>
      </c>
      <c r="AB157">
        <v>0</v>
      </c>
      <c r="AC157" t="s">
        <v>2185</v>
      </c>
      <c r="AD157" t="s">
        <v>2283</v>
      </c>
      <c r="AE157" t="s">
        <v>2187</v>
      </c>
      <c r="AF157" t="s">
        <v>3101</v>
      </c>
      <c r="AG157" t="s">
        <v>688</v>
      </c>
      <c r="AH157" t="s">
        <v>2187</v>
      </c>
      <c r="AI157">
        <v>0</v>
      </c>
      <c r="AJ157">
        <v>2</v>
      </c>
      <c r="AK157">
        <v>2</v>
      </c>
      <c r="AL157">
        <v>0</v>
      </c>
      <c r="AM157" s="176">
        <v>0</v>
      </c>
      <c r="AN157" s="176">
        <v>250000000</v>
      </c>
      <c r="AO157" s="176">
        <v>250000000</v>
      </c>
      <c r="AP157" s="176">
        <v>0</v>
      </c>
      <c r="AQ157" s="176">
        <v>500000000</v>
      </c>
      <c r="AR157" t="s">
        <v>678</v>
      </c>
      <c r="AS157" s="175">
        <v>5</v>
      </c>
    </row>
    <row r="158" spans="1:45" x14ac:dyDescent="0.25">
      <c r="A158">
        <v>2</v>
      </c>
      <c r="B158" t="s">
        <v>3255</v>
      </c>
      <c r="C158">
        <v>157</v>
      </c>
      <c r="D158" t="s">
        <v>224</v>
      </c>
      <c r="E158" t="s">
        <v>291</v>
      </c>
      <c r="F158" t="s">
        <v>2386</v>
      </c>
      <c r="G158" t="s">
        <v>849</v>
      </c>
      <c r="H158" t="s">
        <v>850</v>
      </c>
      <c r="I158" s="183" t="s">
        <v>851</v>
      </c>
      <c r="J158">
        <v>2019</v>
      </c>
      <c r="K158" t="s">
        <v>3099</v>
      </c>
      <c r="L158" t="s">
        <v>853</v>
      </c>
      <c r="M158" t="s">
        <v>25</v>
      </c>
      <c r="O158" t="s">
        <v>678</v>
      </c>
      <c r="P158" t="s">
        <v>896</v>
      </c>
      <c r="Q158" t="s">
        <v>2139</v>
      </c>
      <c r="R158" s="175" t="s">
        <v>855</v>
      </c>
      <c r="S158" t="s">
        <v>2140</v>
      </c>
      <c r="T158" s="175" t="s">
        <v>2141</v>
      </c>
      <c r="U158" t="s">
        <v>2142</v>
      </c>
      <c r="V158" t="s">
        <v>2143</v>
      </c>
      <c r="W158" t="s">
        <v>500</v>
      </c>
      <c r="X158" s="175" t="s">
        <v>2144</v>
      </c>
      <c r="Y158" t="s">
        <v>2145</v>
      </c>
      <c r="Z158" t="s">
        <v>2146</v>
      </c>
      <c r="AA158" t="s">
        <v>36</v>
      </c>
      <c r="AB158">
        <v>0</v>
      </c>
      <c r="AC158" t="s">
        <v>2185</v>
      </c>
      <c r="AD158" t="s">
        <v>2367</v>
      </c>
      <c r="AE158" t="s">
        <v>2187</v>
      </c>
      <c r="AG158" t="s">
        <v>2280</v>
      </c>
      <c r="AH158" t="s">
        <v>2187</v>
      </c>
      <c r="AI158">
        <v>0</v>
      </c>
      <c r="AJ158" t="s">
        <v>3199</v>
      </c>
      <c r="AK158" t="s">
        <v>3199</v>
      </c>
      <c r="AL158" t="s">
        <v>3202</v>
      </c>
      <c r="AM158" s="176">
        <v>0</v>
      </c>
      <c r="AN158" s="176">
        <v>40000000</v>
      </c>
      <c r="AO158" s="176">
        <v>40000000</v>
      </c>
      <c r="AP158" s="176">
        <v>20000000</v>
      </c>
      <c r="AQ158" s="176">
        <v>100000000</v>
      </c>
      <c r="AR158" t="s">
        <v>678</v>
      </c>
      <c r="AS158" s="175">
        <v>5</v>
      </c>
    </row>
    <row r="159" spans="1:45" x14ac:dyDescent="0.25">
      <c r="A159">
        <v>2</v>
      </c>
      <c r="B159" t="s">
        <v>3255</v>
      </c>
      <c r="C159">
        <v>158</v>
      </c>
      <c r="D159" t="s">
        <v>224</v>
      </c>
      <c r="E159" t="s">
        <v>291</v>
      </c>
      <c r="F159" t="s">
        <v>2386</v>
      </c>
      <c r="G159" t="s">
        <v>849</v>
      </c>
      <c r="H159" t="s">
        <v>850</v>
      </c>
      <c r="I159" s="183" t="s">
        <v>851</v>
      </c>
      <c r="J159">
        <v>2019</v>
      </c>
      <c r="K159" t="s">
        <v>3099</v>
      </c>
      <c r="L159" t="s">
        <v>853</v>
      </c>
      <c r="M159" t="s">
        <v>25</v>
      </c>
      <c r="N159" t="s">
        <v>730</v>
      </c>
      <c r="O159" t="s">
        <v>678</v>
      </c>
      <c r="P159" t="s">
        <v>785</v>
      </c>
      <c r="Q159" t="s">
        <v>786</v>
      </c>
      <c r="R159" s="175" t="s">
        <v>787</v>
      </c>
      <c r="S159" t="s">
        <v>788</v>
      </c>
      <c r="T159" s="175" t="s">
        <v>885</v>
      </c>
      <c r="U159" t="s">
        <v>886</v>
      </c>
      <c r="V159" t="s">
        <v>887</v>
      </c>
      <c r="W159" t="s">
        <v>888</v>
      </c>
      <c r="X159" s="175" t="s">
        <v>889</v>
      </c>
      <c r="Y159" t="s">
        <v>890</v>
      </c>
      <c r="Z159" t="s">
        <v>2115</v>
      </c>
      <c r="AA159" t="s">
        <v>764</v>
      </c>
      <c r="AB159">
        <v>0</v>
      </c>
      <c r="AC159" t="s">
        <v>2185</v>
      </c>
      <c r="AD159" t="s">
        <v>2283</v>
      </c>
      <c r="AE159" t="s">
        <v>2187</v>
      </c>
      <c r="AF159" t="s">
        <v>3102</v>
      </c>
      <c r="AG159" t="s">
        <v>730</v>
      </c>
      <c r="AH159" t="s">
        <v>2187</v>
      </c>
      <c r="AI159">
        <v>2678</v>
      </c>
      <c r="AJ159">
        <v>3482</v>
      </c>
      <c r="AK159">
        <v>3642</v>
      </c>
      <c r="AL159">
        <v>5198</v>
      </c>
      <c r="AM159" s="176">
        <v>500000000</v>
      </c>
      <c r="AN159" s="176">
        <v>650000000</v>
      </c>
      <c r="AO159" s="176">
        <v>680000000</v>
      </c>
      <c r="AP159" s="176">
        <v>970000000</v>
      </c>
      <c r="AQ159" s="176">
        <v>2800000000</v>
      </c>
      <c r="AR159" t="s">
        <v>678</v>
      </c>
      <c r="AS159" s="175">
        <v>5</v>
      </c>
    </row>
    <row r="160" spans="1:45" x14ac:dyDescent="0.25">
      <c r="A160">
        <v>2</v>
      </c>
      <c r="B160" t="s">
        <v>3255</v>
      </c>
      <c r="C160">
        <v>159</v>
      </c>
      <c r="D160" t="s">
        <v>224</v>
      </c>
      <c r="E160" t="s">
        <v>291</v>
      </c>
      <c r="F160" t="s">
        <v>2386</v>
      </c>
      <c r="G160" t="s">
        <v>891</v>
      </c>
      <c r="H160" t="s">
        <v>892</v>
      </c>
      <c r="I160" s="180" t="s">
        <v>893</v>
      </c>
      <c r="J160">
        <v>2018</v>
      </c>
      <c r="K160" t="s">
        <v>894</v>
      </c>
      <c r="L160" t="s">
        <v>895</v>
      </c>
      <c r="M160" t="s">
        <v>25</v>
      </c>
      <c r="N160" t="s">
        <v>688</v>
      </c>
      <c r="O160" t="s">
        <v>678</v>
      </c>
      <c r="P160" t="s">
        <v>896</v>
      </c>
      <c r="Q160" t="s">
        <v>854</v>
      </c>
      <c r="R160" s="175" t="s">
        <v>897</v>
      </c>
      <c r="S160" t="s">
        <v>898</v>
      </c>
      <c r="T160" s="175">
        <v>3206004</v>
      </c>
      <c r="U160" t="s">
        <v>899</v>
      </c>
      <c r="V160" t="s">
        <v>900</v>
      </c>
      <c r="W160" t="s">
        <v>203</v>
      </c>
      <c r="X160" s="175" t="s">
        <v>901</v>
      </c>
      <c r="Y160" t="s">
        <v>902</v>
      </c>
      <c r="Z160" t="s">
        <v>903</v>
      </c>
      <c r="AA160" t="s">
        <v>36</v>
      </c>
      <c r="AB160">
        <v>0</v>
      </c>
      <c r="AC160" t="s">
        <v>2185</v>
      </c>
      <c r="AD160" t="s">
        <v>2283</v>
      </c>
      <c r="AE160" t="s">
        <v>2284</v>
      </c>
      <c r="AF160" t="s">
        <v>3103</v>
      </c>
      <c r="AG160" t="s">
        <v>688</v>
      </c>
      <c r="AH160" t="s">
        <v>2187</v>
      </c>
      <c r="AI160">
        <v>0</v>
      </c>
      <c r="AJ160">
        <v>300</v>
      </c>
      <c r="AK160">
        <v>300</v>
      </c>
      <c r="AL160">
        <v>0</v>
      </c>
      <c r="AM160" s="176">
        <v>0</v>
      </c>
      <c r="AN160" s="176">
        <v>250000000</v>
      </c>
      <c r="AO160" s="176">
        <v>250000000</v>
      </c>
      <c r="AP160" s="176">
        <v>0</v>
      </c>
      <c r="AQ160" s="176">
        <v>500000000</v>
      </c>
      <c r="AR160" t="s">
        <v>678</v>
      </c>
      <c r="AS160" s="175">
        <v>5</v>
      </c>
    </row>
    <row r="161" spans="1:45" x14ac:dyDescent="0.25">
      <c r="A161">
        <v>2</v>
      </c>
      <c r="B161" t="s">
        <v>3255</v>
      </c>
      <c r="C161">
        <v>160</v>
      </c>
      <c r="D161" t="s">
        <v>224</v>
      </c>
      <c r="E161" t="s">
        <v>291</v>
      </c>
      <c r="F161" t="s">
        <v>2386</v>
      </c>
      <c r="G161" t="s">
        <v>891</v>
      </c>
      <c r="H161" t="s">
        <v>892</v>
      </c>
      <c r="I161" s="180" t="s">
        <v>893</v>
      </c>
      <c r="J161">
        <v>2018</v>
      </c>
      <c r="K161" t="s">
        <v>894</v>
      </c>
      <c r="L161" t="s">
        <v>895</v>
      </c>
      <c r="M161" t="s">
        <v>25</v>
      </c>
      <c r="N161" t="s">
        <v>688</v>
      </c>
      <c r="O161" t="s">
        <v>678</v>
      </c>
      <c r="P161" t="s">
        <v>896</v>
      </c>
      <c r="Q161" t="s">
        <v>854</v>
      </c>
      <c r="R161" s="175" t="s">
        <v>855</v>
      </c>
      <c r="S161" t="s">
        <v>856</v>
      </c>
      <c r="T161" s="175" t="s">
        <v>905</v>
      </c>
      <c r="U161" t="s">
        <v>906</v>
      </c>
      <c r="V161" t="s">
        <v>907</v>
      </c>
      <c r="W161" t="s">
        <v>908</v>
      </c>
      <c r="X161" s="175" t="s">
        <v>909</v>
      </c>
      <c r="Y161" t="s">
        <v>910</v>
      </c>
      <c r="Z161" t="s">
        <v>911</v>
      </c>
      <c r="AA161" t="s">
        <v>36</v>
      </c>
      <c r="AB161">
        <v>0</v>
      </c>
      <c r="AC161" t="s">
        <v>2185</v>
      </c>
      <c r="AD161" t="s">
        <v>2283</v>
      </c>
      <c r="AE161" t="s">
        <v>2187</v>
      </c>
      <c r="AF161" t="s">
        <v>3103</v>
      </c>
      <c r="AG161" t="s">
        <v>688</v>
      </c>
      <c r="AH161" t="s">
        <v>2187</v>
      </c>
      <c r="AI161">
        <v>0</v>
      </c>
      <c r="AJ161">
        <v>6666</v>
      </c>
      <c r="AK161">
        <v>6668</v>
      </c>
      <c r="AL161">
        <v>6666</v>
      </c>
      <c r="AM161" s="176">
        <v>0</v>
      </c>
      <c r="AN161" s="176" t="s">
        <v>2734</v>
      </c>
      <c r="AO161" s="176" t="s">
        <v>2734</v>
      </c>
      <c r="AP161" s="176" t="s">
        <v>2735</v>
      </c>
      <c r="AQ161" s="176">
        <v>1000000000</v>
      </c>
      <c r="AR161" t="s">
        <v>678</v>
      </c>
      <c r="AS161" s="175">
        <v>5</v>
      </c>
    </row>
    <row r="162" spans="1:45" x14ac:dyDescent="0.25">
      <c r="A162">
        <v>2</v>
      </c>
      <c r="B162" t="s">
        <v>3255</v>
      </c>
      <c r="C162">
        <v>161</v>
      </c>
      <c r="D162" t="s">
        <v>224</v>
      </c>
      <c r="E162" t="s">
        <v>291</v>
      </c>
      <c r="F162" t="s">
        <v>2386</v>
      </c>
      <c r="G162" t="s">
        <v>891</v>
      </c>
      <c r="H162" t="s">
        <v>892</v>
      </c>
      <c r="I162" s="180" t="s">
        <v>893</v>
      </c>
      <c r="J162">
        <v>2018</v>
      </c>
      <c r="K162" t="s">
        <v>894</v>
      </c>
      <c r="L162" t="s">
        <v>895</v>
      </c>
      <c r="M162" t="s">
        <v>25</v>
      </c>
      <c r="N162" t="s">
        <v>688</v>
      </c>
      <c r="O162" t="s">
        <v>678</v>
      </c>
      <c r="P162" t="s">
        <v>896</v>
      </c>
      <c r="Q162" t="s">
        <v>854</v>
      </c>
      <c r="R162" s="175" t="s">
        <v>897</v>
      </c>
      <c r="S162" t="s">
        <v>898</v>
      </c>
      <c r="T162" s="175" t="s">
        <v>912</v>
      </c>
      <c r="U162" t="s">
        <v>913</v>
      </c>
      <c r="V162" t="s">
        <v>914</v>
      </c>
      <c r="W162" t="s">
        <v>915</v>
      </c>
      <c r="X162" s="175" t="s">
        <v>916</v>
      </c>
      <c r="Y162" t="s">
        <v>917</v>
      </c>
      <c r="Z162" t="s">
        <v>2116</v>
      </c>
      <c r="AA162" t="s">
        <v>36</v>
      </c>
      <c r="AB162">
        <v>0</v>
      </c>
      <c r="AC162" t="s">
        <v>2185</v>
      </c>
      <c r="AD162" t="s">
        <v>2283</v>
      </c>
      <c r="AE162" t="s">
        <v>2187</v>
      </c>
      <c r="AF162" t="s">
        <v>3103</v>
      </c>
      <c r="AG162" t="s">
        <v>688</v>
      </c>
      <c r="AH162" t="s">
        <v>2187</v>
      </c>
      <c r="AI162">
        <v>475</v>
      </c>
      <c r="AJ162">
        <v>1425</v>
      </c>
      <c r="AK162">
        <v>0</v>
      </c>
      <c r="AL162">
        <v>0</v>
      </c>
      <c r="AM162" s="176">
        <v>1562500000</v>
      </c>
      <c r="AN162" s="176">
        <v>4687500000</v>
      </c>
      <c r="AO162" s="176">
        <v>0</v>
      </c>
      <c r="AP162" s="176">
        <v>0</v>
      </c>
      <c r="AQ162" s="176">
        <v>6250000000</v>
      </c>
      <c r="AR162" t="s">
        <v>678</v>
      </c>
      <c r="AS162" s="175">
        <v>5</v>
      </c>
    </row>
    <row r="163" spans="1:45" x14ac:dyDescent="0.25">
      <c r="A163">
        <v>2</v>
      </c>
      <c r="B163" t="s">
        <v>3255</v>
      </c>
      <c r="C163">
        <v>162</v>
      </c>
      <c r="D163" t="s">
        <v>224</v>
      </c>
      <c r="E163" t="s">
        <v>291</v>
      </c>
      <c r="F163" t="s">
        <v>2386</v>
      </c>
      <c r="G163" t="s">
        <v>891</v>
      </c>
      <c r="H163" t="s">
        <v>892</v>
      </c>
      <c r="I163" s="180" t="s">
        <v>893</v>
      </c>
      <c r="J163">
        <v>2018</v>
      </c>
      <c r="K163" t="s">
        <v>894</v>
      </c>
      <c r="L163" t="s">
        <v>895</v>
      </c>
      <c r="M163" t="s">
        <v>25</v>
      </c>
      <c r="N163" t="s">
        <v>688</v>
      </c>
      <c r="O163" t="s">
        <v>678</v>
      </c>
      <c r="P163" t="s">
        <v>918</v>
      </c>
      <c r="Q163" t="s">
        <v>1316</v>
      </c>
      <c r="R163" s="175" t="s">
        <v>919</v>
      </c>
      <c r="S163" t="s">
        <v>920</v>
      </c>
      <c r="T163" s="175">
        <v>2102058</v>
      </c>
      <c r="U163" t="s">
        <v>921</v>
      </c>
      <c r="V163" t="s">
        <v>922</v>
      </c>
      <c r="W163" t="s">
        <v>834</v>
      </c>
      <c r="X163" s="175" t="s">
        <v>923</v>
      </c>
      <c r="Y163" t="s">
        <v>921</v>
      </c>
      <c r="Z163" t="s">
        <v>924</v>
      </c>
      <c r="AA163" t="s">
        <v>36</v>
      </c>
      <c r="AB163">
        <v>0</v>
      </c>
      <c r="AC163" t="s">
        <v>2185</v>
      </c>
      <c r="AD163" t="s">
        <v>2276</v>
      </c>
      <c r="AE163" t="s">
        <v>2187</v>
      </c>
      <c r="AF163" t="s">
        <v>3104</v>
      </c>
      <c r="AG163" t="s">
        <v>688</v>
      </c>
      <c r="AH163" t="s">
        <v>2187</v>
      </c>
      <c r="AI163">
        <v>0</v>
      </c>
      <c r="AJ163" t="s">
        <v>3220</v>
      </c>
      <c r="AK163" t="s">
        <v>3221</v>
      </c>
      <c r="AL163" t="s">
        <v>3222</v>
      </c>
      <c r="AM163" s="176">
        <v>0</v>
      </c>
      <c r="AN163" s="176">
        <v>250000000</v>
      </c>
      <c r="AO163" s="176">
        <v>278505200</v>
      </c>
      <c r="AP163" s="176" t="s">
        <v>2736</v>
      </c>
      <c r="AQ163" s="176" t="s">
        <v>2737</v>
      </c>
      <c r="AR163" t="s">
        <v>678</v>
      </c>
      <c r="AS163" s="175">
        <v>5</v>
      </c>
    </row>
    <row r="164" spans="1:45" x14ac:dyDescent="0.25">
      <c r="A164">
        <v>2</v>
      </c>
      <c r="B164" t="s">
        <v>3255</v>
      </c>
      <c r="C164">
        <v>163</v>
      </c>
      <c r="D164" t="s">
        <v>224</v>
      </c>
      <c r="E164" t="s">
        <v>291</v>
      </c>
      <c r="F164" t="s">
        <v>2386</v>
      </c>
      <c r="G164" t="s">
        <v>926</v>
      </c>
      <c r="H164" t="s">
        <v>927</v>
      </c>
      <c r="I164" s="180" t="s">
        <v>928</v>
      </c>
      <c r="J164">
        <v>2018</v>
      </c>
      <c r="K164" t="s">
        <v>929</v>
      </c>
      <c r="L164" t="s">
        <v>930</v>
      </c>
      <c r="M164" t="s">
        <v>25</v>
      </c>
      <c r="N164" t="s">
        <v>931</v>
      </c>
      <c r="O164" t="s">
        <v>678</v>
      </c>
      <c r="P164">
        <v>17</v>
      </c>
      <c r="Q164" t="s">
        <v>680</v>
      </c>
      <c r="R164" s="175" t="s">
        <v>681</v>
      </c>
      <c r="S164" t="s">
        <v>682</v>
      </c>
      <c r="T164" s="175" t="s">
        <v>932</v>
      </c>
      <c r="U164" t="s">
        <v>683</v>
      </c>
      <c r="V164" t="s">
        <v>684</v>
      </c>
      <c r="W164" t="s">
        <v>685</v>
      </c>
      <c r="X164" s="175" t="s">
        <v>933</v>
      </c>
      <c r="Y164" t="s">
        <v>686</v>
      </c>
      <c r="Z164" t="s">
        <v>934</v>
      </c>
      <c r="AA164" t="s">
        <v>36</v>
      </c>
      <c r="AB164">
        <v>0</v>
      </c>
      <c r="AC164" t="s">
        <v>2185</v>
      </c>
      <c r="AD164" t="s">
        <v>2285</v>
      </c>
      <c r="AE164" t="s">
        <v>2284</v>
      </c>
      <c r="AF164" t="s">
        <v>3086</v>
      </c>
      <c r="AG164" t="s">
        <v>688</v>
      </c>
      <c r="AH164" t="s">
        <v>2187</v>
      </c>
      <c r="AI164">
        <v>0</v>
      </c>
      <c r="AJ164">
        <v>15</v>
      </c>
      <c r="AK164">
        <v>0</v>
      </c>
      <c r="AL164">
        <v>0</v>
      </c>
      <c r="AM164" s="176">
        <v>0</v>
      </c>
      <c r="AN164" s="176">
        <v>1500000000</v>
      </c>
      <c r="AO164" s="176">
        <v>0</v>
      </c>
      <c r="AP164" s="176">
        <v>0</v>
      </c>
      <c r="AQ164" s="176">
        <v>1500000000</v>
      </c>
      <c r="AR164" t="s">
        <v>678</v>
      </c>
      <c r="AS164" s="175">
        <v>5</v>
      </c>
    </row>
    <row r="165" spans="1:45" x14ac:dyDescent="0.25">
      <c r="A165">
        <v>2</v>
      </c>
      <c r="B165" t="s">
        <v>3254</v>
      </c>
      <c r="C165" s="193">
        <v>164</v>
      </c>
      <c r="D165" t="s">
        <v>224</v>
      </c>
      <c r="E165" t="s">
        <v>291</v>
      </c>
      <c r="F165" t="s">
        <v>2386</v>
      </c>
      <c r="G165" t="s">
        <v>3105</v>
      </c>
      <c r="H165" t="s">
        <v>936</v>
      </c>
      <c r="I165" s="180">
        <v>2.5999999999999999E-2</v>
      </c>
      <c r="J165">
        <v>2023</v>
      </c>
      <c r="K165" t="s">
        <v>937</v>
      </c>
      <c r="L165" t="s">
        <v>938</v>
      </c>
      <c r="M165" t="s">
        <v>25</v>
      </c>
      <c r="N165" t="s">
        <v>183</v>
      </c>
      <c r="O165" t="s">
        <v>2013</v>
      </c>
      <c r="P165">
        <v>45</v>
      </c>
      <c r="Q165" t="s">
        <v>786</v>
      </c>
      <c r="R165" s="175" t="s">
        <v>941</v>
      </c>
      <c r="S165" t="s">
        <v>942</v>
      </c>
      <c r="T165" s="175" t="s">
        <v>943</v>
      </c>
      <c r="U165" t="s">
        <v>201</v>
      </c>
      <c r="V165" t="s">
        <v>944</v>
      </c>
      <c r="W165" t="s">
        <v>2435</v>
      </c>
      <c r="X165" s="175">
        <v>450300200</v>
      </c>
      <c r="Y165" t="s">
        <v>297</v>
      </c>
      <c r="Z165" t="s">
        <v>945</v>
      </c>
      <c r="AA165" t="s">
        <v>36</v>
      </c>
      <c r="AB165">
        <v>0</v>
      </c>
      <c r="AC165" t="s">
        <v>2185</v>
      </c>
      <c r="AD165" t="s">
        <v>2218</v>
      </c>
      <c r="AE165" t="s">
        <v>2187</v>
      </c>
      <c r="AF165" t="s">
        <v>946</v>
      </c>
      <c r="AG165" t="s">
        <v>2212</v>
      </c>
      <c r="AH165" t="s">
        <v>2187</v>
      </c>
      <c r="AI165">
        <v>210</v>
      </c>
      <c r="AJ165">
        <v>210</v>
      </c>
      <c r="AK165">
        <v>210</v>
      </c>
      <c r="AL165">
        <v>210</v>
      </c>
      <c r="AM165" s="176">
        <v>363414301</v>
      </c>
      <c r="AN165" s="176">
        <v>384746720</v>
      </c>
      <c r="AO165" s="176">
        <v>399559469</v>
      </c>
      <c r="AP165" s="176">
        <v>414942509</v>
      </c>
      <c r="AQ165" s="176">
        <v>1562662999</v>
      </c>
      <c r="AR165" t="s">
        <v>939</v>
      </c>
      <c r="AS165" s="175">
        <v>1</v>
      </c>
    </row>
    <row r="166" spans="1:45" x14ac:dyDescent="0.25">
      <c r="A166">
        <v>2</v>
      </c>
      <c r="B166" t="s">
        <v>3254</v>
      </c>
      <c r="C166" s="193">
        <v>165</v>
      </c>
      <c r="D166" t="s">
        <v>224</v>
      </c>
      <c r="E166" t="s">
        <v>291</v>
      </c>
      <c r="F166" t="s">
        <v>2386</v>
      </c>
      <c r="G166" t="s">
        <v>3105</v>
      </c>
      <c r="H166" t="s">
        <v>936</v>
      </c>
      <c r="I166" s="180">
        <v>2.5999999999999999E-2</v>
      </c>
      <c r="J166">
        <v>2023</v>
      </c>
      <c r="K166" t="s">
        <v>937</v>
      </c>
      <c r="L166" t="s">
        <v>938</v>
      </c>
      <c r="M166" t="s">
        <v>25</v>
      </c>
      <c r="N166" t="s">
        <v>183</v>
      </c>
      <c r="O166" t="s">
        <v>2013</v>
      </c>
      <c r="P166">
        <v>45</v>
      </c>
      <c r="Q166" t="s">
        <v>786</v>
      </c>
      <c r="R166" s="175" t="s">
        <v>941</v>
      </c>
      <c r="S166" t="s">
        <v>942</v>
      </c>
      <c r="T166" s="175" t="s">
        <v>947</v>
      </c>
      <c r="U166" t="s">
        <v>232</v>
      </c>
      <c r="V166" t="s">
        <v>948</v>
      </c>
      <c r="W166" t="s">
        <v>949</v>
      </c>
      <c r="X166" s="175" t="s">
        <v>950</v>
      </c>
      <c r="Y166" t="s">
        <v>951</v>
      </c>
      <c r="Z166" t="s">
        <v>2050</v>
      </c>
      <c r="AA166" t="s">
        <v>36</v>
      </c>
      <c r="AB166">
        <v>42</v>
      </c>
      <c r="AC166" t="s">
        <v>2185</v>
      </c>
      <c r="AD166" t="s">
        <v>2218</v>
      </c>
      <c r="AE166" t="s">
        <v>2187</v>
      </c>
      <c r="AF166" t="s">
        <v>946</v>
      </c>
      <c r="AG166" t="s">
        <v>2212</v>
      </c>
      <c r="AH166" t="s">
        <v>2187</v>
      </c>
      <c r="AI166">
        <v>42</v>
      </c>
      <c r="AJ166">
        <v>42</v>
      </c>
      <c r="AK166">
        <v>42</v>
      </c>
      <c r="AL166">
        <v>42</v>
      </c>
      <c r="AM166" s="176">
        <v>166297379</v>
      </c>
      <c r="AN166" s="176">
        <v>176059035</v>
      </c>
      <c r="AO166" s="176">
        <v>182837308</v>
      </c>
      <c r="AP166" s="176">
        <v>189876544</v>
      </c>
      <c r="AQ166" s="176">
        <v>715070266</v>
      </c>
      <c r="AR166" t="s">
        <v>939</v>
      </c>
      <c r="AS166" s="175">
        <v>1</v>
      </c>
    </row>
    <row r="167" spans="1:45" x14ac:dyDescent="0.25">
      <c r="A167">
        <v>2</v>
      </c>
      <c r="B167" t="s">
        <v>3255</v>
      </c>
      <c r="C167">
        <v>166</v>
      </c>
      <c r="D167" t="s">
        <v>224</v>
      </c>
      <c r="E167" t="s">
        <v>291</v>
      </c>
      <c r="F167" t="s">
        <v>2386</v>
      </c>
      <c r="G167" t="s">
        <v>3105</v>
      </c>
      <c r="H167" t="s">
        <v>936</v>
      </c>
      <c r="I167" s="180">
        <v>2.5999999999999999E-2</v>
      </c>
      <c r="J167">
        <v>2023</v>
      </c>
      <c r="K167" t="s">
        <v>937</v>
      </c>
      <c r="L167" t="s">
        <v>938</v>
      </c>
      <c r="M167" t="s">
        <v>25</v>
      </c>
      <c r="N167" t="s">
        <v>183</v>
      </c>
      <c r="O167" t="s">
        <v>2013</v>
      </c>
      <c r="P167">
        <v>45</v>
      </c>
      <c r="Q167" t="s">
        <v>786</v>
      </c>
      <c r="R167" s="175" t="s">
        <v>941</v>
      </c>
      <c r="S167" t="s">
        <v>942</v>
      </c>
      <c r="T167" s="175" t="s">
        <v>952</v>
      </c>
      <c r="U167" t="s">
        <v>953</v>
      </c>
      <c r="V167" t="s">
        <v>954</v>
      </c>
      <c r="W167" t="s">
        <v>955</v>
      </c>
      <c r="X167" s="175">
        <v>450300400</v>
      </c>
      <c r="Y167" t="s">
        <v>956</v>
      </c>
      <c r="Z167" t="s">
        <v>957</v>
      </c>
      <c r="AA167" t="s">
        <v>36</v>
      </c>
      <c r="AB167">
        <v>42</v>
      </c>
      <c r="AC167" t="s">
        <v>2185</v>
      </c>
      <c r="AD167" t="s">
        <v>2218</v>
      </c>
      <c r="AE167" t="s">
        <v>2187</v>
      </c>
      <c r="AF167" t="s">
        <v>946</v>
      </c>
      <c r="AG167" t="s">
        <v>2191</v>
      </c>
      <c r="AH167" t="s">
        <v>2187</v>
      </c>
      <c r="AI167">
        <v>42</v>
      </c>
      <c r="AJ167">
        <v>42</v>
      </c>
      <c r="AK167">
        <v>42</v>
      </c>
      <c r="AL167">
        <v>42</v>
      </c>
      <c r="AM167" s="176">
        <v>1329860400</v>
      </c>
      <c r="AN167" s="176">
        <v>1407498205</v>
      </c>
      <c r="AO167" s="176">
        <v>1432487262</v>
      </c>
      <c r="AP167" s="176">
        <v>1457562408</v>
      </c>
      <c r="AQ167" s="176">
        <v>5627408275</v>
      </c>
      <c r="AR167" t="s">
        <v>939</v>
      </c>
      <c r="AS167" s="175">
        <v>1</v>
      </c>
    </row>
    <row r="168" spans="1:45" x14ac:dyDescent="0.25">
      <c r="A168">
        <v>2</v>
      </c>
      <c r="B168" t="s">
        <v>3255</v>
      </c>
      <c r="C168">
        <v>167</v>
      </c>
      <c r="D168" t="s">
        <v>224</v>
      </c>
      <c r="E168" t="s">
        <v>291</v>
      </c>
      <c r="F168" t="s">
        <v>2386</v>
      </c>
      <c r="G168" t="s">
        <v>3105</v>
      </c>
      <c r="H168" t="s">
        <v>936</v>
      </c>
      <c r="I168" s="180">
        <v>2.5999999999999999E-2</v>
      </c>
      <c r="J168">
        <v>2023</v>
      </c>
      <c r="K168" t="s">
        <v>937</v>
      </c>
      <c r="L168" t="s">
        <v>938</v>
      </c>
      <c r="M168" t="s">
        <v>25</v>
      </c>
      <c r="N168" t="s">
        <v>183</v>
      </c>
      <c r="O168" t="s">
        <v>2013</v>
      </c>
      <c r="P168">
        <v>45</v>
      </c>
      <c r="Q168" t="s">
        <v>786</v>
      </c>
      <c r="R168" s="175" t="s">
        <v>941</v>
      </c>
      <c r="S168" t="s">
        <v>942</v>
      </c>
      <c r="T168" s="175" t="s">
        <v>958</v>
      </c>
      <c r="U168" t="s">
        <v>959</v>
      </c>
      <c r="V168" t="s">
        <v>960</v>
      </c>
      <c r="W168" t="s">
        <v>961</v>
      </c>
      <c r="X168" s="175" t="s">
        <v>962</v>
      </c>
      <c r="Y168" t="s">
        <v>963</v>
      </c>
      <c r="Z168" t="s">
        <v>964</v>
      </c>
      <c r="AA168" t="s">
        <v>36</v>
      </c>
      <c r="AB168">
        <v>19</v>
      </c>
      <c r="AC168" t="s">
        <v>2185</v>
      </c>
      <c r="AD168" t="s">
        <v>2213</v>
      </c>
      <c r="AE168" t="s">
        <v>2187</v>
      </c>
      <c r="AF168" t="s">
        <v>946</v>
      </c>
      <c r="AG168" t="s">
        <v>2191</v>
      </c>
      <c r="AH168" t="s">
        <v>2187</v>
      </c>
      <c r="AI168">
        <v>7</v>
      </c>
      <c r="AJ168">
        <v>4</v>
      </c>
      <c r="AK168">
        <v>4</v>
      </c>
      <c r="AL168">
        <v>4</v>
      </c>
      <c r="AM168" s="176">
        <v>1029573541</v>
      </c>
      <c r="AN168" s="176" t="s">
        <v>2738</v>
      </c>
      <c r="AO168" s="176" t="s">
        <v>2739</v>
      </c>
      <c r="AP168" s="176" t="s">
        <v>2740</v>
      </c>
      <c r="AQ168" s="176" t="s">
        <v>2741</v>
      </c>
      <c r="AR168" t="s">
        <v>939</v>
      </c>
      <c r="AS168" s="175">
        <v>1</v>
      </c>
    </row>
    <row r="169" spans="1:45" x14ac:dyDescent="0.25">
      <c r="A169">
        <v>2</v>
      </c>
      <c r="B169" t="s">
        <v>3255</v>
      </c>
      <c r="C169">
        <v>168</v>
      </c>
      <c r="D169" t="s">
        <v>224</v>
      </c>
      <c r="E169" t="s">
        <v>291</v>
      </c>
      <c r="F169" t="s">
        <v>2386</v>
      </c>
      <c r="G169" t="s">
        <v>3105</v>
      </c>
      <c r="H169" t="s">
        <v>936</v>
      </c>
      <c r="I169" s="180">
        <v>2.5999999999999999E-2</v>
      </c>
      <c r="J169">
        <v>2023</v>
      </c>
      <c r="K169" t="s">
        <v>937</v>
      </c>
      <c r="L169" t="s">
        <v>938</v>
      </c>
      <c r="M169" t="s">
        <v>25</v>
      </c>
      <c r="N169" t="s">
        <v>183</v>
      </c>
      <c r="O169" t="s">
        <v>2013</v>
      </c>
      <c r="P169">
        <v>45</v>
      </c>
      <c r="Q169" t="s">
        <v>786</v>
      </c>
      <c r="R169" s="175" t="s">
        <v>941</v>
      </c>
      <c r="S169" t="s">
        <v>942</v>
      </c>
      <c r="T169" s="175" t="s">
        <v>958</v>
      </c>
      <c r="U169" t="s">
        <v>959</v>
      </c>
      <c r="V169" t="s">
        <v>960</v>
      </c>
      <c r="W169" t="s">
        <v>961</v>
      </c>
      <c r="X169" s="175" t="s">
        <v>962</v>
      </c>
      <c r="Y169" t="s">
        <v>963</v>
      </c>
      <c r="Z169" t="s">
        <v>2064</v>
      </c>
      <c r="AA169" t="s">
        <v>36</v>
      </c>
      <c r="AB169">
        <v>0</v>
      </c>
      <c r="AC169" t="s">
        <v>2185</v>
      </c>
      <c r="AD169" t="s">
        <v>2213</v>
      </c>
      <c r="AE169" t="s">
        <v>2187</v>
      </c>
      <c r="AF169" t="s">
        <v>946</v>
      </c>
      <c r="AG169" t="s">
        <v>2191</v>
      </c>
      <c r="AH169" t="s">
        <v>2187</v>
      </c>
      <c r="AI169">
        <v>1</v>
      </c>
      <c r="AJ169">
        <v>1</v>
      </c>
      <c r="AK169">
        <v>1</v>
      </c>
      <c r="AL169">
        <v>1</v>
      </c>
      <c r="AM169" s="176">
        <v>697682676</v>
      </c>
      <c r="AN169" s="176">
        <v>5938636649</v>
      </c>
      <c r="AO169" s="176">
        <v>767074160</v>
      </c>
      <c r="AP169" s="176">
        <v>796606515</v>
      </c>
      <c r="AQ169" s="176">
        <v>8200000000</v>
      </c>
      <c r="AR169" t="s">
        <v>939</v>
      </c>
      <c r="AS169" s="175">
        <v>1</v>
      </c>
    </row>
    <row r="170" spans="1:45" x14ac:dyDescent="0.25">
      <c r="A170">
        <v>2</v>
      </c>
      <c r="B170" t="s">
        <v>3255</v>
      </c>
      <c r="C170">
        <v>169</v>
      </c>
      <c r="D170" t="s">
        <v>224</v>
      </c>
      <c r="E170" t="s">
        <v>291</v>
      </c>
      <c r="F170" t="s">
        <v>2386</v>
      </c>
      <c r="G170" t="s">
        <v>3105</v>
      </c>
      <c r="H170" t="s">
        <v>936</v>
      </c>
      <c r="I170" s="180">
        <v>2.5999999999999999E-2</v>
      </c>
      <c r="J170">
        <v>2023</v>
      </c>
      <c r="K170" t="s">
        <v>937</v>
      </c>
      <c r="L170" t="s">
        <v>938</v>
      </c>
      <c r="M170" t="s">
        <v>25</v>
      </c>
      <c r="N170" t="s">
        <v>183</v>
      </c>
      <c r="O170" t="s">
        <v>2013</v>
      </c>
      <c r="P170">
        <v>45</v>
      </c>
      <c r="Q170" t="s">
        <v>786</v>
      </c>
      <c r="R170" s="175" t="s">
        <v>941</v>
      </c>
      <c r="S170" t="s">
        <v>942</v>
      </c>
      <c r="T170" s="175" t="s">
        <v>965</v>
      </c>
      <c r="U170" t="s">
        <v>966</v>
      </c>
      <c r="V170" t="s">
        <v>967</v>
      </c>
      <c r="W170" t="s">
        <v>968</v>
      </c>
      <c r="X170" s="175" t="s">
        <v>969</v>
      </c>
      <c r="Y170" t="s">
        <v>970</v>
      </c>
      <c r="Z170" t="s">
        <v>2051</v>
      </c>
      <c r="AA170" t="s">
        <v>36</v>
      </c>
      <c r="AB170">
        <v>0</v>
      </c>
      <c r="AC170" t="s">
        <v>2185</v>
      </c>
      <c r="AD170" t="s">
        <v>2213</v>
      </c>
      <c r="AE170" t="s">
        <v>2187</v>
      </c>
      <c r="AF170" t="s">
        <v>946</v>
      </c>
      <c r="AG170" t="s">
        <v>2212</v>
      </c>
      <c r="AH170" t="s">
        <v>2187</v>
      </c>
      <c r="AI170">
        <v>1</v>
      </c>
      <c r="AJ170">
        <v>1</v>
      </c>
      <c r="AK170">
        <v>1</v>
      </c>
      <c r="AL170">
        <v>1</v>
      </c>
      <c r="AM170" s="176">
        <v>2465121782</v>
      </c>
      <c r="AN170" s="176">
        <v>2609824433</v>
      </c>
      <c r="AO170" s="176">
        <v>2710302674</v>
      </c>
      <c r="AP170" s="176">
        <v>2814649327</v>
      </c>
      <c r="AQ170" s="176">
        <v>10599898216</v>
      </c>
      <c r="AR170" t="s">
        <v>939</v>
      </c>
      <c r="AS170" s="175">
        <v>1</v>
      </c>
    </row>
    <row r="171" spans="1:45" x14ac:dyDescent="0.25">
      <c r="A171">
        <v>2</v>
      </c>
      <c r="B171" t="s">
        <v>3255</v>
      </c>
      <c r="C171">
        <v>170</v>
      </c>
      <c r="D171" t="s">
        <v>224</v>
      </c>
      <c r="E171" t="s">
        <v>291</v>
      </c>
      <c r="F171" t="s">
        <v>2386</v>
      </c>
      <c r="G171" t="s">
        <v>3105</v>
      </c>
      <c r="H171" t="s">
        <v>936</v>
      </c>
      <c r="I171" s="180">
        <v>2.5999999999999999E-2</v>
      </c>
      <c r="J171">
        <v>2023</v>
      </c>
      <c r="K171" t="s">
        <v>937</v>
      </c>
      <c r="L171" t="s">
        <v>938</v>
      </c>
      <c r="M171" t="s">
        <v>25</v>
      </c>
      <c r="N171" t="s">
        <v>183</v>
      </c>
      <c r="O171" t="s">
        <v>2013</v>
      </c>
      <c r="P171">
        <v>45</v>
      </c>
      <c r="Q171" t="s">
        <v>786</v>
      </c>
      <c r="R171" s="175" t="s">
        <v>941</v>
      </c>
      <c r="S171" t="s">
        <v>942</v>
      </c>
      <c r="T171" s="175" t="s">
        <v>971</v>
      </c>
      <c r="U171" t="s">
        <v>768</v>
      </c>
      <c r="V171" t="s">
        <v>769</v>
      </c>
      <c r="W171" t="s">
        <v>500</v>
      </c>
      <c r="X171" s="175">
        <v>450302302</v>
      </c>
      <c r="Y171" t="s">
        <v>972</v>
      </c>
      <c r="Z171" t="s">
        <v>973</v>
      </c>
      <c r="AA171" t="s">
        <v>36</v>
      </c>
      <c r="AB171">
        <v>1</v>
      </c>
      <c r="AC171" t="s">
        <v>2192</v>
      </c>
      <c r="AD171" t="s">
        <v>2213</v>
      </c>
      <c r="AE171" t="s">
        <v>2187</v>
      </c>
      <c r="AF171" t="s">
        <v>946</v>
      </c>
      <c r="AG171" t="s">
        <v>2191</v>
      </c>
      <c r="AH171" t="s">
        <v>2187</v>
      </c>
      <c r="AI171">
        <v>1</v>
      </c>
      <c r="AJ171">
        <v>1</v>
      </c>
      <c r="AK171">
        <v>1</v>
      </c>
      <c r="AL171">
        <v>1</v>
      </c>
      <c r="AM171" s="176">
        <v>79227920</v>
      </c>
      <c r="AN171" s="176">
        <v>83878599</v>
      </c>
      <c r="AO171" s="176">
        <v>87107925</v>
      </c>
      <c r="AP171" s="176">
        <v>90461580</v>
      </c>
      <c r="AQ171" s="176">
        <v>340676024</v>
      </c>
      <c r="AR171" t="s">
        <v>939</v>
      </c>
      <c r="AS171" s="175">
        <v>1</v>
      </c>
    </row>
    <row r="172" spans="1:45" x14ac:dyDescent="0.25">
      <c r="A172">
        <v>2</v>
      </c>
      <c r="B172" t="s">
        <v>3255</v>
      </c>
      <c r="C172">
        <v>171</v>
      </c>
      <c r="D172" t="s">
        <v>224</v>
      </c>
      <c r="E172" t="s">
        <v>291</v>
      </c>
      <c r="F172" t="s">
        <v>2386</v>
      </c>
      <c r="G172" t="s">
        <v>3105</v>
      </c>
      <c r="H172" t="s">
        <v>936</v>
      </c>
      <c r="I172" s="180">
        <v>2.5999999999999999E-2</v>
      </c>
      <c r="J172">
        <v>2023</v>
      </c>
      <c r="K172" t="s">
        <v>937</v>
      </c>
      <c r="L172" t="s">
        <v>938</v>
      </c>
      <c r="M172" t="s">
        <v>25</v>
      </c>
      <c r="N172" t="s">
        <v>183</v>
      </c>
      <c r="O172" t="s">
        <v>2013</v>
      </c>
      <c r="P172" t="s">
        <v>785</v>
      </c>
      <c r="Q172" t="s">
        <v>786</v>
      </c>
      <c r="R172" s="175" t="s">
        <v>941</v>
      </c>
      <c r="S172" t="s">
        <v>942</v>
      </c>
      <c r="T172" s="175" t="s">
        <v>2052</v>
      </c>
      <c r="U172" t="s">
        <v>2053</v>
      </c>
      <c r="V172" t="s">
        <v>2054</v>
      </c>
      <c r="W172" t="s">
        <v>2055</v>
      </c>
      <c r="X172" s="175" t="s">
        <v>2056</v>
      </c>
      <c r="Y172" t="s">
        <v>2057</v>
      </c>
      <c r="Z172" t="s">
        <v>2058</v>
      </c>
      <c r="AA172" t="s">
        <v>36</v>
      </c>
      <c r="AB172">
        <v>0</v>
      </c>
      <c r="AC172" t="s">
        <v>2185</v>
      </c>
      <c r="AD172" t="s">
        <v>2213</v>
      </c>
      <c r="AE172" t="s">
        <v>2187</v>
      </c>
      <c r="AF172" t="s">
        <v>946</v>
      </c>
      <c r="AG172" t="s">
        <v>2212</v>
      </c>
      <c r="AH172" t="s">
        <v>2187</v>
      </c>
      <c r="AI172">
        <v>1</v>
      </c>
      <c r="AJ172">
        <v>1</v>
      </c>
      <c r="AK172">
        <v>1</v>
      </c>
      <c r="AL172">
        <v>1</v>
      </c>
      <c r="AM172" s="176">
        <v>1000000000</v>
      </c>
      <c r="AN172" s="176">
        <v>1058700000</v>
      </c>
      <c r="AO172" s="176">
        <v>1099459950</v>
      </c>
      <c r="AP172" s="176">
        <v>1141789158</v>
      </c>
      <c r="AQ172" s="176">
        <v>4299949108</v>
      </c>
      <c r="AR172" t="s">
        <v>939</v>
      </c>
      <c r="AS172" s="175">
        <v>1</v>
      </c>
    </row>
    <row r="173" spans="1:45" x14ac:dyDescent="0.25">
      <c r="A173">
        <v>2</v>
      </c>
      <c r="B173" t="s">
        <v>3255</v>
      </c>
      <c r="C173">
        <v>172</v>
      </c>
      <c r="D173" t="s">
        <v>224</v>
      </c>
      <c r="E173" t="s">
        <v>291</v>
      </c>
      <c r="F173" t="s">
        <v>2386</v>
      </c>
      <c r="G173" t="s">
        <v>3105</v>
      </c>
      <c r="H173" t="s">
        <v>936</v>
      </c>
      <c r="I173" s="180">
        <v>2.5999999999999999E-2</v>
      </c>
      <c r="J173">
        <v>2023</v>
      </c>
      <c r="K173" t="s">
        <v>937</v>
      </c>
      <c r="L173" t="s">
        <v>938</v>
      </c>
      <c r="M173" t="s">
        <v>25</v>
      </c>
      <c r="N173" t="s">
        <v>183</v>
      </c>
      <c r="O173" t="s">
        <v>2013</v>
      </c>
      <c r="P173" t="s">
        <v>785</v>
      </c>
      <c r="Q173" t="s">
        <v>786</v>
      </c>
      <c r="R173" s="175" t="s">
        <v>941</v>
      </c>
      <c r="S173" t="s">
        <v>942</v>
      </c>
      <c r="T173" s="175" t="s">
        <v>971</v>
      </c>
      <c r="U173" t="s">
        <v>768</v>
      </c>
      <c r="V173" t="s">
        <v>769</v>
      </c>
      <c r="W173" t="s">
        <v>500</v>
      </c>
      <c r="X173" s="175" t="s">
        <v>2059</v>
      </c>
      <c r="Y173" t="s">
        <v>771</v>
      </c>
      <c r="Z173" t="s">
        <v>2060</v>
      </c>
      <c r="AA173" t="s">
        <v>36</v>
      </c>
      <c r="AB173">
        <v>0</v>
      </c>
      <c r="AC173" t="s">
        <v>2185</v>
      </c>
      <c r="AD173" t="s">
        <v>2187</v>
      </c>
      <c r="AE173" t="s">
        <v>2187</v>
      </c>
      <c r="AF173" t="s">
        <v>2214</v>
      </c>
      <c r="AG173" t="s">
        <v>2212</v>
      </c>
      <c r="AH173" t="s">
        <v>2187</v>
      </c>
      <c r="AI173">
        <v>1</v>
      </c>
      <c r="AJ173">
        <v>1</v>
      </c>
      <c r="AK173">
        <v>1</v>
      </c>
      <c r="AL173">
        <v>1</v>
      </c>
      <c r="AM173" s="176">
        <v>30400000</v>
      </c>
      <c r="AN173" s="176">
        <v>66258189</v>
      </c>
      <c r="AO173" s="176">
        <v>68809129</v>
      </c>
      <c r="AP173" s="176">
        <v>71458281</v>
      </c>
      <c r="AQ173" s="176">
        <v>236925599</v>
      </c>
      <c r="AR173" t="s">
        <v>939</v>
      </c>
      <c r="AS173" s="175">
        <v>1</v>
      </c>
    </row>
    <row r="174" spans="1:45" x14ac:dyDescent="0.25">
      <c r="A174">
        <v>2</v>
      </c>
      <c r="B174" t="s">
        <v>3255</v>
      </c>
      <c r="C174">
        <v>173</v>
      </c>
      <c r="D174" t="s">
        <v>224</v>
      </c>
      <c r="E174" t="s">
        <v>291</v>
      </c>
      <c r="F174" t="s">
        <v>2386</v>
      </c>
      <c r="G174" t="s">
        <v>3105</v>
      </c>
      <c r="H174" t="s">
        <v>936</v>
      </c>
      <c r="I174" s="180">
        <v>2.5999999999999999E-2</v>
      </c>
      <c r="J174">
        <v>2023</v>
      </c>
      <c r="K174" t="s">
        <v>937</v>
      </c>
      <c r="L174" t="s">
        <v>938</v>
      </c>
      <c r="M174" t="s">
        <v>25</v>
      </c>
      <c r="N174" t="s">
        <v>183</v>
      </c>
      <c r="O174" t="s">
        <v>2013</v>
      </c>
      <c r="P174" t="s">
        <v>785</v>
      </c>
      <c r="Q174" t="s">
        <v>786</v>
      </c>
      <c r="R174" s="175" t="s">
        <v>941</v>
      </c>
      <c r="S174" t="s">
        <v>942</v>
      </c>
      <c r="T174" s="175" t="s">
        <v>2061</v>
      </c>
      <c r="U174" t="s">
        <v>1543</v>
      </c>
      <c r="V174" t="s">
        <v>2368</v>
      </c>
      <c r="W174" t="s">
        <v>500</v>
      </c>
      <c r="X174" s="175" t="s">
        <v>2062</v>
      </c>
      <c r="Y174" t="s">
        <v>1546</v>
      </c>
      <c r="Z174" t="s">
        <v>2063</v>
      </c>
      <c r="AA174" t="s">
        <v>36</v>
      </c>
      <c r="AB174">
        <v>0</v>
      </c>
      <c r="AC174" t="s">
        <v>2185</v>
      </c>
      <c r="AD174" t="s">
        <v>2187</v>
      </c>
      <c r="AE174" t="s">
        <v>2187</v>
      </c>
      <c r="AF174" t="s">
        <v>2214</v>
      </c>
      <c r="AG174" t="s">
        <v>2212</v>
      </c>
      <c r="AH174" t="s">
        <v>2187</v>
      </c>
      <c r="AI174">
        <v>1</v>
      </c>
      <c r="AJ174">
        <v>1</v>
      </c>
      <c r="AK174">
        <v>1</v>
      </c>
      <c r="AL174">
        <v>1</v>
      </c>
      <c r="AM174" s="176">
        <v>30400000</v>
      </c>
      <c r="AN174" s="176">
        <v>32184480</v>
      </c>
      <c r="AO174" s="176">
        <v>33423582</v>
      </c>
      <c r="AP174" s="176">
        <v>34710390</v>
      </c>
      <c r="AQ174" s="176">
        <v>130718452</v>
      </c>
      <c r="AR174" t="s">
        <v>939</v>
      </c>
      <c r="AS174" s="175">
        <v>1</v>
      </c>
    </row>
    <row r="175" spans="1:45" x14ac:dyDescent="0.25">
      <c r="A175">
        <v>2</v>
      </c>
      <c r="B175" t="s">
        <v>3254</v>
      </c>
      <c r="C175">
        <v>174</v>
      </c>
      <c r="D175" t="s">
        <v>224</v>
      </c>
      <c r="E175" t="s">
        <v>291</v>
      </c>
      <c r="F175" t="s">
        <v>2386</v>
      </c>
      <c r="G175" t="s">
        <v>3105</v>
      </c>
      <c r="H175" t="s">
        <v>936</v>
      </c>
      <c r="I175" s="180">
        <v>2.5999999999999999E-2</v>
      </c>
      <c r="J175">
        <v>2023</v>
      </c>
      <c r="K175" t="s">
        <v>937</v>
      </c>
      <c r="L175" t="s">
        <v>938</v>
      </c>
      <c r="M175" t="s">
        <v>25</v>
      </c>
      <c r="N175" t="s">
        <v>183</v>
      </c>
      <c r="O175" t="s">
        <v>2013</v>
      </c>
      <c r="P175">
        <v>45</v>
      </c>
      <c r="Q175" t="s">
        <v>786</v>
      </c>
      <c r="R175" s="175" t="s">
        <v>941</v>
      </c>
      <c r="S175" t="s">
        <v>942</v>
      </c>
      <c r="T175" s="175" t="s">
        <v>974</v>
      </c>
      <c r="U175" t="s">
        <v>975</v>
      </c>
      <c r="V175" t="s">
        <v>976</v>
      </c>
      <c r="W175" t="s">
        <v>203</v>
      </c>
      <c r="X175" s="175">
        <v>450302800</v>
      </c>
      <c r="Y175" t="s">
        <v>977</v>
      </c>
      <c r="Z175" t="s">
        <v>978</v>
      </c>
      <c r="AA175" t="s">
        <v>36</v>
      </c>
      <c r="AB175">
        <v>0</v>
      </c>
      <c r="AC175" t="s">
        <v>2185</v>
      </c>
      <c r="AD175" t="s">
        <v>2215</v>
      </c>
      <c r="AE175" t="s">
        <v>2187</v>
      </c>
      <c r="AF175" t="s">
        <v>2216</v>
      </c>
      <c r="AG175" t="s">
        <v>2217</v>
      </c>
      <c r="AH175" t="s">
        <v>2187</v>
      </c>
      <c r="AI175">
        <v>2500</v>
      </c>
      <c r="AJ175">
        <v>2500</v>
      </c>
      <c r="AK175">
        <v>2500</v>
      </c>
      <c r="AL175">
        <v>2500</v>
      </c>
      <c r="AM175" s="176">
        <v>689600000</v>
      </c>
      <c r="AN175" s="176">
        <v>724979521</v>
      </c>
      <c r="AO175" s="176">
        <v>752891233</v>
      </c>
      <c r="AP175" s="176">
        <v>781877545</v>
      </c>
      <c r="AQ175" s="176">
        <v>2949348299</v>
      </c>
      <c r="AR175" t="s">
        <v>939</v>
      </c>
      <c r="AS175" s="175">
        <v>1</v>
      </c>
    </row>
    <row r="176" spans="1:45" x14ac:dyDescent="0.25">
      <c r="A176">
        <v>2</v>
      </c>
      <c r="B176" t="s">
        <v>3255</v>
      </c>
      <c r="C176">
        <v>175</v>
      </c>
      <c r="D176" t="s">
        <v>224</v>
      </c>
      <c r="E176" t="s">
        <v>291</v>
      </c>
      <c r="F176" t="s">
        <v>2386</v>
      </c>
      <c r="G176" t="s">
        <v>891</v>
      </c>
      <c r="H176" t="s">
        <v>892</v>
      </c>
      <c r="I176" s="180" t="s">
        <v>893</v>
      </c>
      <c r="J176">
        <v>2018</v>
      </c>
      <c r="K176" t="s">
        <v>894</v>
      </c>
      <c r="L176" t="s">
        <v>895</v>
      </c>
      <c r="M176" t="s">
        <v>25</v>
      </c>
      <c r="N176" t="s">
        <v>3106</v>
      </c>
      <c r="O176" t="s">
        <v>678</v>
      </c>
      <c r="P176">
        <v>32</v>
      </c>
      <c r="Q176" t="s">
        <v>854</v>
      </c>
      <c r="R176" s="175">
        <v>3206</v>
      </c>
      <c r="S176" t="s">
        <v>898</v>
      </c>
      <c r="T176" s="175">
        <v>3206003</v>
      </c>
      <c r="U176" t="s">
        <v>980</v>
      </c>
      <c r="V176" t="s">
        <v>981</v>
      </c>
      <c r="W176" t="s">
        <v>982</v>
      </c>
      <c r="X176" s="175">
        <v>320600300</v>
      </c>
      <c r="Y176" t="s">
        <v>983</v>
      </c>
      <c r="Z176" t="s">
        <v>984</v>
      </c>
      <c r="AA176" t="s">
        <v>36</v>
      </c>
      <c r="AB176">
        <v>0</v>
      </c>
      <c r="AC176" t="s">
        <v>2185</v>
      </c>
      <c r="AD176" t="s">
        <v>2218</v>
      </c>
      <c r="AE176" t="s">
        <v>2187</v>
      </c>
      <c r="AF176" t="s">
        <v>985</v>
      </c>
      <c r="AG176" t="s">
        <v>2219</v>
      </c>
      <c r="AH176" t="s">
        <v>2187</v>
      </c>
      <c r="AI176">
        <v>1</v>
      </c>
      <c r="AJ176">
        <v>1</v>
      </c>
      <c r="AK176">
        <v>1</v>
      </c>
      <c r="AL176">
        <v>1</v>
      </c>
      <c r="AM176" s="176">
        <v>364000000</v>
      </c>
      <c r="AN176" s="176">
        <v>385366800</v>
      </c>
      <c r="AO176" s="176">
        <v>400203422</v>
      </c>
      <c r="AP176" s="176">
        <v>415611254</v>
      </c>
      <c r="AQ176" s="176">
        <v>1565181476</v>
      </c>
      <c r="AR176" t="s">
        <v>939</v>
      </c>
      <c r="AS176" s="175">
        <v>1</v>
      </c>
    </row>
    <row r="177" spans="1:45" x14ac:dyDescent="0.25">
      <c r="A177">
        <v>2</v>
      </c>
      <c r="B177" t="s">
        <v>3255</v>
      </c>
      <c r="C177">
        <v>176</v>
      </c>
      <c r="D177" t="s">
        <v>224</v>
      </c>
      <c r="E177" t="s">
        <v>291</v>
      </c>
      <c r="F177" t="s">
        <v>2386</v>
      </c>
      <c r="G177" t="s">
        <v>891</v>
      </c>
      <c r="H177" t="s">
        <v>892</v>
      </c>
      <c r="I177" s="180" t="s">
        <v>893</v>
      </c>
      <c r="J177">
        <v>2018</v>
      </c>
      <c r="K177" t="s">
        <v>894</v>
      </c>
      <c r="L177" t="s">
        <v>895</v>
      </c>
      <c r="M177" t="s">
        <v>25</v>
      </c>
      <c r="N177" t="s">
        <v>3106</v>
      </c>
      <c r="O177" t="s">
        <v>678</v>
      </c>
      <c r="P177">
        <v>32</v>
      </c>
      <c r="Q177" t="s">
        <v>854</v>
      </c>
      <c r="R177" s="175">
        <v>3206</v>
      </c>
      <c r="S177" t="s">
        <v>898</v>
      </c>
      <c r="T177" s="175">
        <v>3206004</v>
      </c>
      <c r="U177" t="s">
        <v>899</v>
      </c>
      <c r="V177" t="s">
        <v>900</v>
      </c>
      <c r="W177" t="s">
        <v>986</v>
      </c>
      <c r="X177" s="175">
        <v>320600400</v>
      </c>
      <c r="Y177" t="s">
        <v>902</v>
      </c>
      <c r="Z177" t="s">
        <v>987</v>
      </c>
      <c r="AA177" t="s">
        <v>36</v>
      </c>
      <c r="AB177">
        <v>0</v>
      </c>
      <c r="AC177" t="s">
        <v>2185</v>
      </c>
      <c r="AD177" t="s">
        <v>2218</v>
      </c>
      <c r="AE177" t="s">
        <v>2187</v>
      </c>
      <c r="AF177" t="s">
        <v>985</v>
      </c>
      <c r="AG177" t="s">
        <v>2219</v>
      </c>
      <c r="AH177" t="s">
        <v>2187</v>
      </c>
      <c r="AI177">
        <v>21</v>
      </c>
      <c r="AJ177">
        <v>21</v>
      </c>
      <c r="AK177">
        <v>21</v>
      </c>
      <c r="AL177">
        <v>21</v>
      </c>
      <c r="AM177" s="176">
        <v>30400000</v>
      </c>
      <c r="AN177" s="176">
        <v>32184480</v>
      </c>
      <c r="AO177" s="176">
        <v>33423582</v>
      </c>
      <c r="AP177" s="176">
        <v>34710390</v>
      </c>
      <c r="AQ177" s="176">
        <v>130718452</v>
      </c>
      <c r="AR177" t="s">
        <v>939</v>
      </c>
      <c r="AS177" s="175">
        <v>1</v>
      </c>
    </row>
    <row r="178" spans="1:45" x14ac:dyDescent="0.25">
      <c r="A178">
        <v>2</v>
      </c>
      <c r="B178" t="s">
        <v>3255</v>
      </c>
      <c r="C178">
        <v>177</v>
      </c>
      <c r="D178" t="s">
        <v>224</v>
      </c>
      <c r="E178" t="s">
        <v>291</v>
      </c>
      <c r="F178" t="s">
        <v>2386</v>
      </c>
      <c r="G178" t="s">
        <v>891</v>
      </c>
      <c r="H178" t="s">
        <v>892</v>
      </c>
      <c r="I178" s="180" t="s">
        <v>893</v>
      </c>
      <c r="J178">
        <v>2018</v>
      </c>
      <c r="K178" t="s">
        <v>894</v>
      </c>
      <c r="L178" t="s">
        <v>895</v>
      </c>
      <c r="M178" t="s">
        <v>25</v>
      </c>
      <c r="N178" t="s">
        <v>3106</v>
      </c>
      <c r="O178" t="s">
        <v>678</v>
      </c>
      <c r="P178">
        <v>32</v>
      </c>
      <c r="Q178" t="s">
        <v>854</v>
      </c>
      <c r="R178" s="175">
        <v>3206</v>
      </c>
      <c r="S178" t="s">
        <v>898</v>
      </c>
      <c r="T178" s="175">
        <v>3206008</v>
      </c>
      <c r="U178" t="s">
        <v>988</v>
      </c>
      <c r="V178" t="s">
        <v>989</v>
      </c>
      <c r="W178" t="s">
        <v>990</v>
      </c>
      <c r="X178" s="175">
        <v>320600800</v>
      </c>
      <c r="Y178" t="s">
        <v>991</v>
      </c>
      <c r="Z178" t="s">
        <v>992</v>
      </c>
      <c r="AA178" t="s">
        <v>36</v>
      </c>
      <c r="AB178">
        <v>0</v>
      </c>
      <c r="AC178" t="s">
        <v>2192</v>
      </c>
      <c r="AD178" t="s">
        <v>2218</v>
      </c>
      <c r="AE178" t="s">
        <v>2187</v>
      </c>
      <c r="AF178" t="s">
        <v>985</v>
      </c>
      <c r="AG178" t="s">
        <v>2219</v>
      </c>
      <c r="AH178" t="s">
        <v>2187</v>
      </c>
      <c r="AI178">
        <v>42</v>
      </c>
      <c r="AJ178">
        <v>42</v>
      </c>
      <c r="AK178">
        <v>42</v>
      </c>
      <c r="AL178">
        <v>42</v>
      </c>
      <c r="AM178" s="176">
        <v>30400000</v>
      </c>
      <c r="AN178" s="176">
        <v>32184480</v>
      </c>
      <c r="AO178" s="176">
        <v>33423582</v>
      </c>
      <c r="AP178" s="176">
        <v>34710390</v>
      </c>
      <c r="AQ178" s="176">
        <v>130718452</v>
      </c>
      <c r="AR178" t="s">
        <v>939</v>
      </c>
      <c r="AS178" s="175">
        <v>1</v>
      </c>
    </row>
    <row r="179" spans="1:45" x14ac:dyDescent="0.25">
      <c r="A179">
        <v>2</v>
      </c>
      <c r="B179" t="s">
        <v>3255</v>
      </c>
      <c r="C179">
        <v>178</v>
      </c>
      <c r="D179" t="s">
        <v>630</v>
      </c>
      <c r="E179" t="s">
        <v>314</v>
      </c>
      <c r="F179" t="s">
        <v>2385</v>
      </c>
      <c r="G179" t="s">
        <v>993</v>
      </c>
      <c r="H179" t="s">
        <v>994</v>
      </c>
      <c r="I179" s="189">
        <v>0.29299999999999998</v>
      </c>
      <c r="J179">
        <v>2022</v>
      </c>
      <c r="K179" t="s">
        <v>3107</v>
      </c>
      <c r="L179" t="s">
        <v>996</v>
      </c>
      <c r="M179" t="s">
        <v>25</v>
      </c>
      <c r="O179" t="s">
        <v>997</v>
      </c>
      <c r="P179" t="s">
        <v>2427</v>
      </c>
      <c r="Q179" t="s">
        <v>1890</v>
      </c>
      <c r="R179" s="175" t="s">
        <v>2429</v>
      </c>
      <c r="S179" t="s">
        <v>2430</v>
      </c>
      <c r="T179" s="175" t="s">
        <v>2436</v>
      </c>
      <c r="U179" t="s">
        <v>768</v>
      </c>
      <c r="V179" t="s">
        <v>769</v>
      </c>
      <c r="W179" t="s">
        <v>2437</v>
      </c>
      <c r="X179" s="175" t="s">
        <v>2438</v>
      </c>
      <c r="Y179" t="s">
        <v>771</v>
      </c>
      <c r="Z179" t="s">
        <v>998</v>
      </c>
      <c r="AA179" t="s">
        <v>36</v>
      </c>
      <c r="AB179">
        <v>1</v>
      </c>
      <c r="AC179" t="s">
        <v>2185</v>
      </c>
      <c r="AD179" t="s">
        <v>2184</v>
      </c>
      <c r="AE179" t="s">
        <v>2187</v>
      </c>
      <c r="AF179" t="s">
        <v>999</v>
      </c>
      <c r="AG179" t="s">
        <v>2329</v>
      </c>
      <c r="AH179" t="s">
        <v>2187</v>
      </c>
      <c r="AI179">
        <v>0</v>
      </c>
      <c r="AJ179">
        <v>1</v>
      </c>
      <c r="AK179">
        <v>0</v>
      </c>
      <c r="AL179">
        <v>0</v>
      </c>
      <c r="AM179" s="176">
        <v>0</v>
      </c>
      <c r="AN179" s="176">
        <v>21174000</v>
      </c>
      <c r="AO179" s="176">
        <v>0</v>
      </c>
      <c r="AP179" s="176">
        <v>0</v>
      </c>
      <c r="AQ179" s="176">
        <v>21174000</v>
      </c>
      <c r="AR179" t="s">
        <v>997</v>
      </c>
      <c r="AS179" s="175">
        <v>6</v>
      </c>
    </row>
    <row r="180" spans="1:45" x14ac:dyDescent="0.25">
      <c r="A180">
        <v>2</v>
      </c>
      <c r="B180" t="s">
        <v>3255</v>
      </c>
      <c r="C180">
        <v>179</v>
      </c>
      <c r="D180" t="s">
        <v>630</v>
      </c>
      <c r="E180" t="s">
        <v>314</v>
      </c>
      <c r="F180" t="s">
        <v>2385</v>
      </c>
      <c r="G180" t="s">
        <v>993</v>
      </c>
      <c r="H180" t="s">
        <v>994</v>
      </c>
      <c r="I180" s="189">
        <v>0.29299999999999998</v>
      </c>
      <c r="J180">
        <v>2022</v>
      </c>
      <c r="K180" t="s">
        <v>3107</v>
      </c>
      <c r="L180" t="s">
        <v>996</v>
      </c>
      <c r="M180" t="s">
        <v>25</v>
      </c>
      <c r="O180" t="s">
        <v>997</v>
      </c>
      <c r="P180" t="s">
        <v>2427</v>
      </c>
      <c r="Q180" t="s">
        <v>1890</v>
      </c>
      <c r="R180" s="175" t="s">
        <v>2439</v>
      </c>
      <c r="S180" t="s">
        <v>2440</v>
      </c>
      <c r="T180" s="175" t="s">
        <v>2441</v>
      </c>
      <c r="U180" t="s">
        <v>1000</v>
      </c>
      <c r="V180" t="s">
        <v>2442</v>
      </c>
      <c r="W180" t="s">
        <v>2437</v>
      </c>
      <c r="X180" s="175" t="s">
        <v>2443</v>
      </c>
      <c r="Y180" t="s">
        <v>829</v>
      </c>
      <c r="Z180" t="s">
        <v>1001</v>
      </c>
      <c r="AA180" t="s">
        <v>36</v>
      </c>
      <c r="AB180">
        <v>0</v>
      </c>
      <c r="AC180" t="s">
        <v>2185</v>
      </c>
      <c r="AD180" t="s">
        <v>2184</v>
      </c>
      <c r="AE180" t="s">
        <v>2187</v>
      </c>
      <c r="AF180" t="s">
        <v>999</v>
      </c>
      <c r="AG180" t="s">
        <v>2329</v>
      </c>
      <c r="AH180" t="s">
        <v>2187</v>
      </c>
      <c r="AI180">
        <v>0</v>
      </c>
      <c r="AJ180">
        <v>0</v>
      </c>
      <c r="AK180" t="s">
        <v>3200</v>
      </c>
      <c r="AL180" t="s">
        <v>3198</v>
      </c>
      <c r="AM180" s="176">
        <v>0</v>
      </c>
      <c r="AN180" s="176">
        <v>0</v>
      </c>
      <c r="AO180" s="176" t="s">
        <v>2742</v>
      </c>
      <c r="AP180" s="176" t="s">
        <v>2743</v>
      </c>
      <c r="AQ180" s="176" t="s">
        <v>2744</v>
      </c>
      <c r="AR180" t="s">
        <v>997</v>
      </c>
      <c r="AS180" s="175">
        <v>6</v>
      </c>
    </row>
    <row r="181" spans="1:45" x14ac:dyDescent="0.25">
      <c r="A181">
        <v>2</v>
      </c>
      <c r="B181" t="s">
        <v>3255</v>
      </c>
      <c r="C181">
        <v>180</v>
      </c>
      <c r="D181" t="s">
        <v>630</v>
      </c>
      <c r="E181" t="s">
        <v>314</v>
      </c>
      <c r="F181" t="s">
        <v>2385</v>
      </c>
      <c r="G181" t="s">
        <v>993</v>
      </c>
      <c r="H181" t="s">
        <v>994</v>
      </c>
      <c r="I181" s="189">
        <v>0.29299999999999998</v>
      </c>
      <c r="J181">
        <v>2022</v>
      </c>
      <c r="K181" t="s">
        <v>3107</v>
      </c>
      <c r="L181" t="s">
        <v>996</v>
      </c>
      <c r="M181" t="s">
        <v>25</v>
      </c>
      <c r="O181" t="s">
        <v>997</v>
      </c>
      <c r="P181" t="s">
        <v>2427</v>
      </c>
      <c r="Q181" t="s">
        <v>1890</v>
      </c>
      <c r="R181" s="175" t="s">
        <v>2439</v>
      </c>
      <c r="S181" t="s">
        <v>2440</v>
      </c>
      <c r="T181" s="175" t="s">
        <v>2444</v>
      </c>
      <c r="U181" t="s">
        <v>232</v>
      </c>
      <c r="V181" t="s">
        <v>2445</v>
      </c>
      <c r="W181" t="s">
        <v>1414</v>
      </c>
      <c r="X181" s="175" t="s">
        <v>2446</v>
      </c>
      <c r="Y181" t="s">
        <v>235</v>
      </c>
      <c r="Z181" t="s">
        <v>1002</v>
      </c>
      <c r="AA181" t="s">
        <v>36</v>
      </c>
      <c r="AB181">
        <v>16</v>
      </c>
      <c r="AC181" t="s">
        <v>2192</v>
      </c>
      <c r="AD181" t="s">
        <v>2184</v>
      </c>
      <c r="AE181" t="s">
        <v>2187</v>
      </c>
      <c r="AF181" t="s">
        <v>999</v>
      </c>
      <c r="AG181" t="s">
        <v>2329</v>
      </c>
      <c r="AH181" t="s">
        <v>2187</v>
      </c>
      <c r="AI181">
        <v>12</v>
      </c>
      <c r="AJ181">
        <v>12</v>
      </c>
      <c r="AK181">
        <v>12</v>
      </c>
      <c r="AL181">
        <v>12</v>
      </c>
      <c r="AM181" s="176">
        <v>54117400</v>
      </c>
      <c r="AN181" s="176" t="s">
        <v>2745</v>
      </c>
      <c r="AO181" s="176" t="s">
        <v>2746</v>
      </c>
      <c r="AP181" s="176" t="s">
        <v>2747</v>
      </c>
      <c r="AQ181" s="176" t="s">
        <v>2748</v>
      </c>
      <c r="AR181" t="s">
        <v>997</v>
      </c>
      <c r="AS181" s="175">
        <v>6</v>
      </c>
    </row>
    <row r="182" spans="1:45" x14ac:dyDescent="0.25">
      <c r="A182">
        <v>2</v>
      </c>
      <c r="B182" t="s">
        <v>3255</v>
      </c>
      <c r="C182">
        <v>181</v>
      </c>
      <c r="D182" t="s">
        <v>630</v>
      </c>
      <c r="E182" t="s">
        <v>314</v>
      </c>
      <c r="F182" t="s">
        <v>2385</v>
      </c>
      <c r="G182" t="s">
        <v>993</v>
      </c>
      <c r="H182" t="s">
        <v>994</v>
      </c>
      <c r="I182" s="189">
        <v>0.29299999999999998</v>
      </c>
      <c r="J182">
        <v>2022</v>
      </c>
      <c r="K182" t="s">
        <v>3107</v>
      </c>
      <c r="L182" t="s">
        <v>996</v>
      </c>
      <c r="M182" t="s">
        <v>25</v>
      </c>
      <c r="O182" t="s">
        <v>997</v>
      </c>
      <c r="P182" t="s">
        <v>2427</v>
      </c>
      <c r="Q182" t="s">
        <v>1890</v>
      </c>
      <c r="R182" s="175" t="s">
        <v>2439</v>
      </c>
      <c r="S182" t="s">
        <v>2440</v>
      </c>
      <c r="T182" s="175" t="s">
        <v>2447</v>
      </c>
      <c r="U182" t="s">
        <v>2448</v>
      </c>
      <c r="V182" t="s">
        <v>2449</v>
      </c>
      <c r="W182" t="s">
        <v>2450</v>
      </c>
      <c r="X182" s="175" t="s">
        <v>2451</v>
      </c>
      <c r="Y182" t="s">
        <v>2452</v>
      </c>
      <c r="Z182" t="s">
        <v>1003</v>
      </c>
      <c r="AA182" t="s">
        <v>36</v>
      </c>
      <c r="AB182">
        <v>0</v>
      </c>
      <c r="AC182" t="s">
        <v>2185</v>
      </c>
      <c r="AD182" t="s">
        <v>2184</v>
      </c>
      <c r="AE182" t="s">
        <v>2187</v>
      </c>
      <c r="AF182" t="s">
        <v>999</v>
      </c>
      <c r="AG182" t="s">
        <v>2329</v>
      </c>
      <c r="AH182" t="s">
        <v>2187</v>
      </c>
      <c r="AI182">
        <v>0</v>
      </c>
      <c r="AJ182" t="s">
        <v>3194</v>
      </c>
      <c r="AK182" t="s">
        <v>3194</v>
      </c>
      <c r="AL182">
        <v>0</v>
      </c>
      <c r="AM182" s="176">
        <v>0</v>
      </c>
      <c r="AN182" s="176">
        <v>5293500</v>
      </c>
      <c r="AO182" s="176">
        <v>5708946</v>
      </c>
      <c r="AP182" s="176">
        <v>0</v>
      </c>
      <c r="AQ182" s="176">
        <v>11002446</v>
      </c>
      <c r="AR182" t="s">
        <v>997</v>
      </c>
      <c r="AS182" s="175">
        <v>6</v>
      </c>
    </row>
    <row r="183" spans="1:45" x14ac:dyDescent="0.25">
      <c r="A183">
        <v>2</v>
      </c>
      <c r="B183" t="s">
        <v>3255</v>
      </c>
      <c r="C183">
        <v>182</v>
      </c>
      <c r="D183" t="s">
        <v>630</v>
      </c>
      <c r="E183" t="s">
        <v>314</v>
      </c>
      <c r="F183" t="s">
        <v>2385</v>
      </c>
      <c r="G183" t="s">
        <v>993</v>
      </c>
      <c r="H183" t="s">
        <v>994</v>
      </c>
      <c r="I183" s="189">
        <v>0.29299999999999998</v>
      </c>
      <c r="J183">
        <v>2022</v>
      </c>
      <c r="K183" t="s">
        <v>3107</v>
      </c>
      <c r="L183" t="s">
        <v>996</v>
      </c>
      <c r="M183" t="s">
        <v>25</v>
      </c>
      <c r="O183" t="s">
        <v>997</v>
      </c>
      <c r="P183" t="s">
        <v>2427</v>
      </c>
      <c r="Q183" t="s">
        <v>1890</v>
      </c>
      <c r="R183" s="175" t="s">
        <v>2429</v>
      </c>
      <c r="S183" t="s">
        <v>2430</v>
      </c>
      <c r="T183" s="175" t="s">
        <v>2453</v>
      </c>
      <c r="U183" t="s">
        <v>2454</v>
      </c>
      <c r="V183" t="s">
        <v>2455</v>
      </c>
      <c r="W183" t="s">
        <v>369</v>
      </c>
      <c r="X183" s="175" t="s">
        <v>2456</v>
      </c>
      <c r="Y183" t="s">
        <v>2457</v>
      </c>
      <c r="Z183" t="s">
        <v>1004</v>
      </c>
      <c r="AA183" t="s">
        <v>36</v>
      </c>
      <c r="AB183">
        <v>0</v>
      </c>
      <c r="AC183" t="s">
        <v>2185</v>
      </c>
      <c r="AD183" t="s">
        <v>2184</v>
      </c>
      <c r="AE183" t="s">
        <v>2187</v>
      </c>
      <c r="AF183" t="s">
        <v>999</v>
      </c>
      <c r="AG183" t="s">
        <v>2329</v>
      </c>
      <c r="AH183" t="s">
        <v>2187</v>
      </c>
      <c r="AI183">
        <v>1</v>
      </c>
      <c r="AJ183">
        <v>1</v>
      </c>
      <c r="AK183">
        <v>1</v>
      </c>
      <c r="AL183">
        <v>1</v>
      </c>
      <c r="AM183" s="176">
        <v>64000000</v>
      </c>
      <c r="AN183" s="176">
        <v>67756800</v>
      </c>
      <c r="AO183" s="176" t="s">
        <v>2749</v>
      </c>
      <c r="AP183" s="176" t="s">
        <v>2750</v>
      </c>
      <c r="AQ183" s="176" t="s">
        <v>2751</v>
      </c>
      <c r="AR183" t="s">
        <v>997</v>
      </c>
      <c r="AS183" s="175">
        <v>6</v>
      </c>
    </row>
    <row r="184" spans="1:45" x14ac:dyDescent="0.25">
      <c r="A184">
        <v>2</v>
      </c>
      <c r="B184" t="s">
        <v>3255</v>
      </c>
      <c r="C184">
        <v>183</v>
      </c>
      <c r="D184" t="s">
        <v>630</v>
      </c>
      <c r="E184" t="s">
        <v>314</v>
      </c>
      <c r="F184" t="s">
        <v>2385</v>
      </c>
      <c r="G184" t="s">
        <v>993</v>
      </c>
      <c r="H184" t="s">
        <v>994</v>
      </c>
      <c r="I184" s="189">
        <v>0.29299999999999998</v>
      </c>
      <c r="J184">
        <v>2022</v>
      </c>
      <c r="K184" t="s">
        <v>3107</v>
      </c>
      <c r="L184" t="s">
        <v>996</v>
      </c>
      <c r="M184" t="s">
        <v>25</v>
      </c>
      <c r="O184" t="s">
        <v>997</v>
      </c>
      <c r="P184" t="s">
        <v>2427</v>
      </c>
      <c r="Q184" t="s">
        <v>1890</v>
      </c>
      <c r="R184" s="175" t="s">
        <v>2429</v>
      </c>
      <c r="S184" t="s">
        <v>2430</v>
      </c>
      <c r="T184" s="175" t="s">
        <v>2458</v>
      </c>
      <c r="U184" t="s">
        <v>2459</v>
      </c>
      <c r="V184" t="s">
        <v>2460</v>
      </c>
      <c r="W184" t="s">
        <v>1009</v>
      </c>
      <c r="X184" s="175" t="s">
        <v>2461</v>
      </c>
      <c r="Y184" t="s">
        <v>2462</v>
      </c>
      <c r="Z184" t="s">
        <v>1005</v>
      </c>
      <c r="AA184" t="s">
        <v>36</v>
      </c>
      <c r="AB184">
        <v>2</v>
      </c>
      <c r="AC184" t="s">
        <v>2185</v>
      </c>
      <c r="AD184" t="s">
        <v>2184</v>
      </c>
      <c r="AE184" t="s">
        <v>2187</v>
      </c>
      <c r="AF184" t="s">
        <v>999</v>
      </c>
      <c r="AG184" t="s">
        <v>2329</v>
      </c>
      <c r="AH184" t="s">
        <v>2187</v>
      </c>
      <c r="AI184" t="s">
        <v>3204</v>
      </c>
      <c r="AJ184" t="s">
        <v>3223</v>
      </c>
      <c r="AK184">
        <v>1</v>
      </c>
      <c r="AL184">
        <v>1</v>
      </c>
      <c r="AM184" s="176">
        <v>20000000</v>
      </c>
      <c r="AN184" s="176">
        <v>21174000</v>
      </c>
      <c r="AO184" s="176">
        <v>21989199</v>
      </c>
      <c r="AP184" s="176" t="s">
        <v>2752</v>
      </c>
      <c r="AQ184" s="176" t="s">
        <v>2753</v>
      </c>
      <c r="AR184" t="s">
        <v>997</v>
      </c>
      <c r="AS184" s="175">
        <v>6</v>
      </c>
    </row>
    <row r="185" spans="1:45" x14ac:dyDescent="0.25">
      <c r="A185">
        <v>2</v>
      </c>
      <c r="B185" t="s">
        <v>3255</v>
      </c>
      <c r="C185">
        <v>184</v>
      </c>
      <c r="D185" t="s">
        <v>630</v>
      </c>
      <c r="E185" t="s">
        <v>314</v>
      </c>
      <c r="F185" t="s">
        <v>2385</v>
      </c>
      <c r="G185" t="s">
        <v>993</v>
      </c>
      <c r="H185" t="s">
        <v>994</v>
      </c>
      <c r="I185" s="189">
        <v>0.29299999999999998</v>
      </c>
      <c r="J185">
        <v>2022</v>
      </c>
      <c r="K185" t="s">
        <v>3107</v>
      </c>
      <c r="L185" t="s">
        <v>996</v>
      </c>
      <c r="M185" t="s">
        <v>25</v>
      </c>
      <c r="O185" t="s">
        <v>997</v>
      </c>
      <c r="P185">
        <v>39</v>
      </c>
      <c r="Q185" t="s">
        <v>1890</v>
      </c>
      <c r="R185" s="175">
        <v>3906</v>
      </c>
      <c r="S185" t="s">
        <v>1006</v>
      </c>
      <c r="T185" s="175">
        <v>3906006</v>
      </c>
      <c r="U185" t="s">
        <v>1007</v>
      </c>
      <c r="V185" t="s">
        <v>1008</v>
      </c>
      <c r="W185" t="s">
        <v>1009</v>
      </c>
      <c r="X185" s="175">
        <v>390600600</v>
      </c>
      <c r="Y185" t="s">
        <v>1010</v>
      </c>
      <c r="Z185" t="s">
        <v>1011</v>
      </c>
      <c r="AA185" t="s">
        <v>36</v>
      </c>
      <c r="AB185">
        <v>0</v>
      </c>
      <c r="AC185" t="s">
        <v>2185</v>
      </c>
      <c r="AD185" t="s">
        <v>2184</v>
      </c>
      <c r="AE185" t="s">
        <v>2187</v>
      </c>
      <c r="AF185" t="s">
        <v>999</v>
      </c>
      <c r="AG185" t="s">
        <v>2329</v>
      </c>
      <c r="AH185" t="s">
        <v>2187</v>
      </c>
      <c r="AI185">
        <v>0</v>
      </c>
      <c r="AJ185" t="s">
        <v>3204</v>
      </c>
      <c r="AK185" t="s">
        <v>3199</v>
      </c>
      <c r="AL185" t="s">
        <v>3204</v>
      </c>
      <c r="AM185" s="176">
        <v>0</v>
      </c>
      <c r="AN185" s="176">
        <v>52935000</v>
      </c>
      <c r="AO185" s="176" t="s">
        <v>2754</v>
      </c>
      <c r="AP185" s="176" t="s">
        <v>2743</v>
      </c>
      <c r="AQ185" s="176" t="s">
        <v>2755</v>
      </c>
      <c r="AR185" t="s">
        <v>997</v>
      </c>
      <c r="AS185" s="175">
        <v>6</v>
      </c>
    </row>
    <row r="186" spans="1:45" x14ac:dyDescent="0.25">
      <c r="A186">
        <v>2</v>
      </c>
      <c r="B186" t="s">
        <v>3255</v>
      </c>
      <c r="C186">
        <v>185</v>
      </c>
      <c r="D186" t="s">
        <v>630</v>
      </c>
      <c r="E186" t="s">
        <v>314</v>
      </c>
      <c r="F186" t="s">
        <v>2385</v>
      </c>
      <c r="G186" t="s">
        <v>993</v>
      </c>
      <c r="H186" t="s">
        <v>994</v>
      </c>
      <c r="I186" s="189">
        <v>0.29299999999999998</v>
      </c>
      <c r="J186">
        <v>2022</v>
      </c>
      <c r="K186" t="s">
        <v>3107</v>
      </c>
      <c r="L186" t="s">
        <v>996</v>
      </c>
      <c r="M186" t="s">
        <v>25</v>
      </c>
      <c r="O186" t="s">
        <v>997</v>
      </c>
      <c r="P186" t="s">
        <v>2427</v>
      </c>
      <c r="Q186" t="s">
        <v>1890</v>
      </c>
      <c r="R186" s="175" t="s">
        <v>2429</v>
      </c>
      <c r="S186" t="s">
        <v>2430</v>
      </c>
      <c r="T186" s="175" t="s">
        <v>2463</v>
      </c>
      <c r="U186" t="s">
        <v>2464</v>
      </c>
      <c r="V186" t="s">
        <v>2465</v>
      </c>
      <c r="W186" t="s">
        <v>324</v>
      </c>
      <c r="X186" s="175" t="s">
        <v>2466</v>
      </c>
      <c r="Y186" t="s">
        <v>2467</v>
      </c>
      <c r="Z186" t="s">
        <v>1012</v>
      </c>
      <c r="AA186" t="s">
        <v>36</v>
      </c>
      <c r="AB186">
        <v>0</v>
      </c>
      <c r="AC186" t="s">
        <v>2192</v>
      </c>
      <c r="AD186" t="s">
        <v>2184</v>
      </c>
      <c r="AE186" t="s">
        <v>2187</v>
      </c>
      <c r="AF186" t="s">
        <v>999</v>
      </c>
      <c r="AG186" t="s">
        <v>2329</v>
      </c>
      <c r="AH186" t="s">
        <v>2187</v>
      </c>
      <c r="AI186">
        <v>8</v>
      </c>
      <c r="AJ186">
        <v>8</v>
      </c>
      <c r="AK186">
        <v>8</v>
      </c>
      <c r="AL186">
        <v>8</v>
      </c>
      <c r="AM186" s="176">
        <v>50000000</v>
      </c>
      <c r="AN186" s="176">
        <v>52935000</v>
      </c>
      <c r="AO186" s="176" t="s">
        <v>2754</v>
      </c>
      <c r="AP186" s="176" t="s">
        <v>2743</v>
      </c>
      <c r="AQ186" s="176" t="s">
        <v>2756</v>
      </c>
      <c r="AR186" t="s">
        <v>997</v>
      </c>
      <c r="AS186" s="175">
        <v>6</v>
      </c>
    </row>
    <row r="187" spans="1:45" x14ac:dyDescent="0.25">
      <c r="A187">
        <v>2</v>
      </c>
      <c r="B187" t="s">
        <v>3255</v>
      </c>
      <c r="C187">
        <v>186</v>
      </c>
      <c r="D187" t="s">
        <v>630</v>
      </c>
      <c r="E187" t="s">
        <v>314</v>
      </c>
      <c r="F187" t="s">
        <v>2385</v>
      </c>
      <c r="G187" t="s">
        <v>993</v>
      </c>
      <c r="H187" t="s">
        <v>994</v>
      </c>
      <c r="I187" s="189">
        <v>0.29299999999999998</v>
      </c>
      <c r="J187">
        <v>2022</v>
      </c>
      <c r="K187" t="s">
        <v>3107</v>
      </c>
      <c r="L187" t="s">
        <v>996</v>
      </c>
      <c r="M187" t="s">
        <v>25</v>
      </c>
      <c r="O187" t="s">
        <v>997</v>
      </c>
      <c r="P187" t="s">
        <v>2427</v>
      </c>
      <c r="Q187" t="s">
        <v>1890</v>
      </c>
      <c r="R187" s="175" t="s">
        <v>2429</v>
      </c>
      <c r="S187" t="s">
        <v>2430</v>
      </c>
      <c r="T187" s="175" t="s">
        <v>2431</v>
      </c>
      <c r="U187" t="s">
        <v>2432</v>
      </c>
      <c r="V187" t="s">
        <v>2433</v>
      </c>
      <c r="W187" t="s">
        <v>1009</v>
      </c>
      <c r="X187" s="175" t="s">
        <v>2434</v>
      </c>
      <c r="Y187" t="s">
        <v>1010</v>
      </c>
      <c r="Z187" t="s">
        <v>1013</v>
      </c>
      <c r="AA187" t="s">
        <v>36</v>
      </c>
      <c r="AB187">
        <v>0</v>
      </c>
      <c r="AC187" t="s">
        <v>2185</v>
      </c>
      <c r="AD187" t="s">
        <v>2184</v>
      </c>
      <c r="AE187" t="s">
        <v>2187</v>
      </c>
      <c r="AF187" t="s">
        <v>999</v>
      </c>
      <c r="AG187" t="s">
        <v>2329</v>
      </c>
      <c r="AH187" t="s">
        <v>2187</v>
      </c>
      <c r="AI187" t="s">
        <v>3204</v>
      </c>
      <c r="AJ187" t="s">
        <v>3223</v>
      </c>
      <c r="AK187">
        <v>1</v>
      </c>
      <c r="AL187">
        <v>1</v>
      </c>
      <c r="AM187" s="176">
        <v>40000000</v>
      </c>
      <c r="AN187" s="176">
        <v>42348000</v>
      </c>
      <c r="AO187" s="176">
        <v>43978398</v>
      </c>
      <c r="AP187" s="176" t="s">
        <v>2757</v>
      </c>
      <c r="AQ187" s="176" t="s">
        <v>2758</v>
      </c>
      <c r="AR187" t="s">
        <v>997</v>
      </c>
      <c r="AS187" s="175">
        <v>6</v>
      </c>
    </row>
    <row r="188" spans="1:45" x14ac:dyDescent="0.25">
      <c r="A188">
        <v>2</v>
      </c>
      <c r="B188" t="s">
        <v>3255</v>
      </c>
      <c r="C188">
        <v>187</v>
      </c>
      <c r="D188" t="s">
        <v>630</v>
      </c>
      <c r="E188" t="s">
        <v>314</v>
      </c>
      <c r="F188" t="s">
        <v>2385</v>
      </c>
      <c r="G188" t="s">
        <v>315</v>
      </c>
      <c r="H188" t="s">
        <v>316</v>
      </c>
      <c r="I188" s="189">
        <v>3.6999999999999998E-2</v>
      </c>
      <c r="J188">
        <v>2023</v>
      </c>
      <c r="K188" t="s">
        <v>317</v>
      </c>
      <c r="L188" t="s">
        <v>1014</v>
      </c>
      <c r="M188" t="s">
        <v>25</v>
      </c>
      <c r="O188" t="s">
        <v>997</v>
      </c>
      <c r="P188">
        <v>35</v>
      </c>
      <c r="Q188" t="s">
        <v>319</v>
      </c>
      <c r="R188" s="175">
        <v>3502</v>
      </c>
      <c r="S188" t="s">
        <v>320</v>
      </c>
      <c r="T188" s="175">
        <v>3502017</v>
      </c>
      <c r="U188" t="s">
        <v>1015</v>
      </c>
      <c r="V188" t="s">
        <v>1016</v>
      </c>
      <c r="W188" t="s">
        <v>203</v>
      </c>
      <c r="X188" s="175">
        <v>350201700</v>
      </c>
      <c r="Y188" t="s">
        <v>1017</v>
      </c>
      <c r="Z188" t="s">
        <v>1018</v>
      </c>
      <c r="AA188" t="s">
        <v>36</v>
      </c>
      <c r="AB188">
        <v>7</v>
      </c>
      <c r="AC188" t="s">
        <v>2185</v>
      </c>
      <c r="AD188" t="s">
        <v>3108</v>
      </c>
      <c r="AE188" t="s">
        <v>2331</v>
      </c>
      <c r="AF188" t="s">
        <v>263</v>
      </c>
      <c r="AG188" t="s">
        <v>2329</v>
      </c>
      <c r="AH188" t="s">
        <v>2187</v>
      </c>
      <c r="AI188">
        <v>0</v>
      </c>
      <c r="AJ188">
        <v>3</v>
      </c>
      <c r="AK188">
        <v>3</v>
      </c>
      <c r="AL188">
        <v>4</v>
      </c>
      <c r="AM188" s="176">
        <v>0</v>
      </c>
      <c r="AN188" s="176">
        <v>100000000</v>
      </c>
      <c r="AO188" s="176">
        <v>103850000</v>
      </c>
      <c r="AP188" s="176">
        <v>107848225</v>
      </c>
      <c r="AQ188" s="176">
        <v>311698225</v>
      </c>
      <c r="AR188" t="s">
        <v>997</v>
      </c>
      <c r="AS188" s="175">
        <v>6</v>
      </c>
    </row>
    <row r="189" spans="1:45" x14ac:dyDescent="0.25">
      <c r="A189">
        <v>2</v>
      </c>
      <c r="B189" t="s">
        <v>3255</v>
      </c>
      <c r="C189">
        <v>188</v>
      </c>
      <c r="D189" t="s">
        <v>630</v>
      </c>
      <c r="E189" t="s">
        <v>314</v>
      </c>
      <c r="F189" t="s">
        <v>2385</v>
      </c>
      <c r="G189" t="s">
        <v>315</v>
      </c>
      <c r="H189" t="s">
        <v>316</v>
      </c>
      <c r="I189" s="189">
        <v>3.6999999999999998E-2</v>
      </c>
      <c r="J189">
        <v>2023</v>
      </c>
      <c r="K189" t="s">
        <v>317</v>
      </c>
      <c r="L189" t="s">
        <v>1014</v>
      </c>
      <c r="M189" t="s">
        <v>25</v>
      </c>
      <c r="N189" t="s">
        <v>679</v>
      </c>
      <c r="O189" t="s">
        <v>997</v>
      </c>
      <c r="P189">
        <v>41</v>
      </c>
      <c r="Q189" t="s">
        <v>2112</v>
      </c>
      <c r="R189" s="175">
        <v>4103</v>
      </c>
      <c r="S189" t="s">
        <v>830</v>
      </c>
      <c r="T189" s="175">
        <v>4103059</v>
      </c>
      <c r="U189" t="s">
        <v>1019</v>
      </c>
      <c r="V189" t="s">
        <v>1020</v>
      </c>
      <c r="W189" t="s">
        <v>834</v>
      </c>
      <c r="X189" s="175">
        <v>410305900</v>
      </c>
      <c r="Y189" t="s">
        <v>1021</v>
      </c>
      <c r="Z189" t="s">
        <v>3109</v>
      </c>
      <c r="AA189" t="s">
        <v>36</v>
      </c>
      <c r="AB189">
        <v>6</v>
      </c>
      <c r="AC189" t="s">
        <v>2185</v>
      </c>
      <c r="AD189" t="s">
        <v>3110</v>
      </c>
      <c r="AF189" t="s">
        <v>3111</v>
      </c>
      <c r="AG189" t="s">
        <v>2329</v>
      </c>
      <c r="AH189" t="s">
        <v>2191</v>
      </c>
      <c r="AI189">
        <v>4</v>
      </c>
      <c r="AJ189">
        <v>3</v>
      </c>
      <c r="AK189">
        <v>3</v>
      </c>
      <c r="AL189">
        <v>2</v>
      </c>
      <c r="AM189" s="176">
        <v>30000000</v>
      </c>
      <c r="AN189" s="176">
        <v>93465000</v>
      </c>
      <c r="AO189" s="176" t="s">
        <v>2759</v>
      </c>
      <c r="AP189" s="176" t="s">
        <v>2760</v>
      </c>
      <c r="AQ189" s="176" t="s">
        <v>2761</v>
      </c>
      <c r="AR189" t="s">
        <v>997</v>
      </c>
      <c r="AS189" s="175">
        <v>6</v>
      </c>
    </row>
    <row r="190" spans="1:45" x14ac:dyDescent="0.25">
      <c r="A190">
        <v>2</v>
      </c>
      <c r="B190" t="s">
        <v>3255</v>
      </c>
      <c r="C190">
        <v>189</v>
      </c>
      <c r="D190" t="s">
        <v>630</v>
      </c>
      <c r="E190" t="s">
        <v>314</v>
      </c>
      <c r="F190" t="s">
        <v>2385</v>
      </c>
      <c r="G190" t="s">
        <v>315</v>
      </c>
      <c r="H190" t="s">
        <v>316</v>
      </c>
      <c r="I190" s="189">
        <v>3.6999999999999998E-2</v>
      </c>
      <c r="J190">
        <v>2023</v>
      </c>
      <c r="K190" t="s">
        <v>317</v>
      </c>
      <c r="L190" t="s">
        <v>1014</v>
      </c>
      <c r="M190" t="s">
        <v>25</v>
      </c>
      <c r="N190" t="s">
        <v>679</v>
      </c>
      <c r="O190" t="s">
        <v>997</v>
      </c>
      <c r="P190">
        <v>36</v>
      </c>
      <c r="Q190" t="s">
        <v>1023</v>
      </c>
      <c r="R190" s="175">
        <v>3602</v>
      </c>
      <c r="S190" t="s">
        <v>1024</v>
      </c>
      <c r="T190" s="175">
        <v>3602032</v>
      </c>
      <c r="U190" t="s">
        <v>1025</v>
      </c>
      <c r="V190" t="s">
        <v>1026</v>
      </c>
      <c r="W190" t="s">
        <v>1027</v>
      </c>
      <c r="X190" s="175">
        <v>360203200</v>
      </c>
      <c r="Y190" t="s">
        <v>1028</v>
      </c>
      <c r="Z190" t="s">
        <v>1029</v>
      </c>
      <c r="AA190" t="s">
        <v>36</v>
      </c>
      <c r="AB190">
        <v>309</v>
      </c>
      <c r="AC190" t="s">
        <v>2192</v>
      </c>
      <c r="AD190" t="s">
        <v>3112</v>
      </c>
      <c r="AE190" t="s">
        <v>3113</v>
      </c>
      <c r="AF190" t="s">
        <v>263</v>
      </c>
      <c r="AG190" t="s">
        <v>2335</v>
      </c>
      <c r="AH190" t="s">
        <v>2187</v>
      </c>
      <c r="AI190">
        <v>300</v>
      </c>
      <c r="AJ190">
        <v>300</v>
      </c>
      <c r="AK190">
        <v>300</v>
      </c>
      <c r="AL190">
        <v>300</v>
      </c>
      <c r="AM190" s="176">
        <v>100000000</v>
      </c>
      <c r="AN190" s="176">
        <v>444654000</v>
      </c>
      <c r="AO190" s="176">
        <v>461773179</v>
      </c>
      <c r="AP190" s="176" t="s">
        <v>2762</v>
      </c>
      <c r="AQ190" s="176" t="s">
        <v>2763</v>
      </c>
      <c r="AR190" t="s">
        <v>997</v>
      </c>
      <c r="AS190" s="175">
        <v>6</v>
      </c>
    </row>
    <row r="191" spans="1:45" x14ac:dyDescent="0.25">
      <c r="A191">
        <v>2</v>
      </c>
      <c r="B191" t="s">
        <v>3255</v>
      </c>
      <c r="C191">
        <v>190</v>
      </c>
      <c r="D191" t="s">
        <v>630</v>
      </c>
      <c r="E191" t="s">
        <v>314</v>
      </c>
      <c r="F191" t="s">
        <v>2385</v>
      </c>
      <c r="G191" t="s">
        <v>315</v>
      </c>
      <c r="H191" t="s">
        <v>316</v>
      </c>
      <c r="I191" s="189">
        <v>3.6999999999999998E-2</v>
      </c>
      <c r="J191">
        <v>2023</v>
      </c>
      <c r="K191" t="s">
        <v>1030</v>
      </c>
      <c r="L191" t="s">
        <v>1014</v>
      </c>
      <c r="M191" t="s">
        <v>25</v>
      </c>
      <c r="O191" t="s">
        <v>997</v>
      </c>
      <c r="P191">
        <v>36</v>
      </c>
      <c r="Q191" t="s">
        <v>1023</v>
      </c>
      <c r="R191" s="175">
        <v>3604</v>
      </c>
      <c r="S191" t="s">
        <v>1031</v>
      </c>
      <c r="T191" s="175">
        <v>3604016</v>
      </c>
      <c r="U191" t="s">
        <v>619</v>
      </c>
      <c r="V191" t="s">
        <v>1032</v>
      </c>
      <c r="W191" t="s">
        <v>500</v>
      </c>
      <c r="X191" s="175" t="s">
        <v>1033</v>
      </c>
      <c r="Y191" t="s">
        <v>621</v>
      </c>
      <c r="Z191" t="s">
        <v>1034</v>
      </c>
      <c r="AA191" t="s">
        <v>36</v>
      </c>
      <c r="AB191">
        <v>0</v>
      </c>
      <c r="AC191" t="s">
        <v>2185</v>
      </c>
      <c r="AD191" t="s">
        <v>2184</v>
      </c>
      <c r="AE191" t="s">
        <v>2187</v>
      </c>
      <c r="AF191" t="s">
        <v>263</v>
      </c>
      <c r="AG191" t="s">
        <v>2335</v>
      </c>
      <c r="AH191" t="s">
        <v>2187</v>
      </c>
      <c r="AI191" t="s">
        <v>3206</v>
      </c>
      <c r="AJ191" t="s">
        <v>3199</v>
      </c>
      <c r="AK191">
        <v>0</v>
      </c>
      <c r="AL191">
        <v>0</v>
      </c>
      <c r="AM191" s="176">
        <v>15000000</v>
      </c>
      <c r="AN191" s="176">
        <v>15880500</v>
      </c>
      <c r="AO191" s="176">
        <v>0</v>
      </c>
      <c r="AP191" s="176">
        <v>0</v>
      </c>
      <c r="AQ191" s="176">
        <v>30880500</v>
      </c>
      <c r="AR191" t="s">
        <v>997</v>
      </c>
      <c r="AS191" s="175">
        <v>6</v>
      </c>
    </row>
    <row r="192" spans="1:45" x14ac:dyDescent="0.25">
      <c r="A192">
        <v>2</v>
      </c>
      <c r="B192" t="s">
        <v>3255</v>
      </c>
      <c r="C192">
        <v>191</v>
      </c>
      <c r="D192" t="s">
        <v>630</v>
      </c>
      <c r="E192" t="s">
        <v>314</v>
      </c>
      <c r="F192" t="s">
        <v>2385</v>
      </c>
      <c r="G192" t="s">
        <v>315</v>
      </c>
      <c r="H192" t="s">
        <v>316</v>
      </c>
      <c r="I192" s="189">
        <v>3.6999999999999998E-2</v>
      </c>
      <c r="J192">
        <v>2023</v>
      </c>
      <c r="K192" t="s">
        <v>1030</v>
      </c>
      <c r="L192" t="s">
        <v>1014</v>
      </c>
      <c r="M192" t="s">
        <v>25</v>
      </c>
      <c r="O192" t="s">
        <v>997</v>
      </c>
      <c r="P192">
        <v>21</v>
      </c>
      <c r="Q192" t="s">
        <v>1316</v>
      </c>
      <c r="R192" s="175">
        <v>2104</v>
      </c>
      <c r="S192" t="s">
        <v>1035</v>
      </c>
      <c r="T192" s="175">
        <v>2104010</v>
      </c>
      <c r="U192" t="s">
        <v>1036</v>
      </c>
      <c r="V192" t="s">
        <v>1037</v>
      </c>
      <c r="W192" t="s">
        <v>203</v>
      </c>
      <c r="X192" s="175">
        <v>210401000</v>
      </c>
      <c r="Y192" t="s">
        <v>1038</v>
      </c>
      <c r="Z192" t="s">
        <v>1039</v>
      </c>
      <c r="AA192" t="s">
        <v>36</v>
      </c>
      <c r="AB192">
        <v>1105</v>
      </c>
      <c r="AC192" t="s">
        <v>2185</v>
      </c>
      <c r="AD192" t="s">
        <v>3114</v>
      </c>
      <c r="AE192" t="s">
        <v>2187</v>
      </c>
      <c r="AF192" t="s">
        <v>999</v>
      </c>
      <c r="AG192" t="s">
        <v>2329</v>
      </c>
      <c r="AH192" t="s">
        <v>2187</v>
      </c>
      <c r="AI192">
        <v>130</v>
      </c>
      <c r="AJ192">
        <v>450</v>
      </c>
      <c r="AK192">
        <v>455</v>
      </c>
      <c r="AL192">
        <v>465</v>
      </c>
      <c r="AM192" s="176">
        <v>83700000</v>
      </c>
      <c r="AN192" s="176">
        <v>177226380</v>
      </c>
      <c r="AO192" s="176">
        <v>184049596</v>
      </c>
      <c r="AP192" s="176">
        <v>191135505</v>
      </c>
      <c r="AQ192" s="176">
        <v>636111481</v>
      </c>
      <c r="AR192" t="s">
        <v>997</v>
      </c>
      <c r="AS192" s="175">
        <v>6</v>
      </c>
    </row>
    <row r="193" spans="1:45" x14ac:dyDescent="0.25">
      <c r="A193">
        <v>2</v>
      </c>
      <c r="B193" t="s">
        <v>3255</v>
      </c>
      <c r="C193">
        <v>192</v>
      </c>
      <c r="D193" t="s">
        <v>630</v>
      </c>
      <c r="E193" t="s">
        <v>314</v>
      </c>
      <c r="F193" t="s">
        <v>2385</v>
      </c>
      <c r="G193" t="s">
        <v>1040</v>
      </c>
      <c r="H193" t="s">
        <v>1059</v>
      </c>
      <c r="I193" s="182">
        <v>1125</v>
      </c>
      <c r="J193">
        <v>2023</v>
      </c>
      <c r="K193" t="s">
        <v>1041</v>
      </c>
      <c r="L193" t="s">
        <v>1042</v>
      </c>
      <c r="M193" t="s">
        <v>36</v>
      </c>
      <c r="N193" t="s">
        <v>679</v>
      </c>
      <c r="O193" t="s">
        <v>997</v>
      </c>
      <c r="P193">
        <v>35</v>
      </c>
      <c r="Q193" t="s">
        <v>319</v>
      </c>
      <c r="R193" s="175" t="s">
        <v>1043</v>
      </c>
      <c r="S193" t="s">
        <v>320</v>
      </c>
      <c r="T193" s="175" t="s">
        <v>1044</v>
      </c>
      <c r="U193" t="s">
        <v>1045</v>
      </c>
      <c r="V193" t="s">
        <v>1046</v>
      </c>
      <c r="W193" t="s">
        <v>685</v>
      </c>
      <c r="X193" s="175" t="s">
        <v>1047</v>
      </c>
      <c r="Y193" t="s">
        <v>1048</v>
      </c>
      <c r="Z193" t="s">
        <v>2370</v>
      </c>
      <c r="AA193" t="s">
        <v>36</v>
      </c>
      <c r="AB193">
        <v>0</v>
      </c>
      <c r="AC193" t="s">
        <v>2336</v>
      </c>
      <c r="AD193" t="s">
        <v>3108</v>
      </c>
      <c r="AE193" t="s">
        <v>2187</v>
      </c>
      <c r="AF193" t="s">
        <v>263</v>
      </c>
      <c r="AG193" t="s">
        <v>2329</v>
      </c>
      <c r="AH193" t="s">
        <v>2187</v>
      </c>
      <c r="AI193" t="s">
        <v>3197</v>
      </c>
      <c r="AJ193" t="s">
        <v>3197</v>
      </c>
      <c r="AK193" t="s">
        <v>3197</v>
      </c>
      <c r="AL193" t="s">
        <v>3197</v>
      </c>
      <c r="AM193" s="176">
        <v>239600000</v>
      </c>
      <c r="AN193" s="176">
        <v>253664520</v>
      </c>
      <c r="AO193" s="176">
        <v>263430604</v>
      </c>
      <c r="AP193" s="176">
        <v>273572683</v>
      </c>
      <c r="AQ193" s="176">
        <v>1030267807</v>
      </c>
      <c r="AR193" t="s">
        <v>997</v>
      </c>
      <c r="AS193" s="175">
        <v>6</v>
      </c>
    </row>
    <row r="194" spans="1:45" x14ac:dyDescent="0.25">
      <c r="A194">
        <v>2</v>
      </c>
      <c r="B194" t="s">
        <v>3255</v>
      </c>
      <c r="C194">
        <v>193</v>
      </c>
      <c r="D194" t="s">
        <v>630</v>
      </c>
      <c r="E194" t="s">
        <v>314</v>
      </c>
      <c r="F194" t="s">
        <v>2385</v>
      </c>
      <c r="G194" t="s">
        <v>1040</v>
      </c>
      <c r="H194" t="s">
        <v>1059</v>
      </c>
      <c r="I194" s="182">
        <v>1125</v>
      </c>
      <c r="J194">
        <v>2023</v>
      </c>
      <c r="K194" t="s">
        <v>1041</v>
      </c>
      <c r="L194" t="s">
        <v>1042</v>
      </c>
      <c r="M194" t="s">
        <v>36</v>
      </c>
      <c r="N194" t="s">
        <v>679</v>
      </c>
      <c r="O194" t="s">
        <v>997</v>
      </c>
      <c r="P194">
        <v>35</v>
      </c>
      <c r="Q194" t="s">
        <v>319</v>
      </c>
      <c r="R194" s="175" t="s">
        <v>1043</v>
      </c>
      <c r="S194" t="s">
        <v>320</v>
      </c>
      <c r="T194" s="175" t="s">
        <v>1049</v>
      </c>
      <c r="U194" t="s">
        <v>1050</v>
      </c>
      <c r="V194" t="s">
        <v>1051</v>
      </c>
      <c r="W194" t="s">
        <v>1052</v>
      </c>
      <c r="X194" s="175" t="s">
        <v>1053</v>
      </c>
      <c r="Y194" t="s">
        <v>1054</v>
      </c>
      <c r="Z194" t="s">
        <v>2171</v>
      </c>
      <c r="AA194" t="s">
        <v>36</v>
      </c>
      <c r="AB194">
        <v>0</v>
      </c>
      <c r="AC194" t="s">
        <v>2336</v>
      </c>
      <c r="AD194" t="s">
        <v>3108</v>
      </c>
      <c r="AE194" t="s">
        <v>2187</v>
      </c>
      <c r="AF194" t="s">
        <v>263</v>
      </c>
      <c r="AG194" t="s">
        <v>2329</v>
      </c>
      <c r="AH194" t="s">
        <v>2187</v>
      </c>
      <c r="AI194">
        <v>2</v>
      </c>
      <c r="AJ194">
        <v>4</v>
      </c>
      <c r="AK194">
        <v>5</v>
      </c>
      <c r="AL194">
        <v>0</v>
      </c>
      <c r="AM194" s="176">
        <v>500000000</v>
      </c>
      <c r="AN194" s="176">
        <v>415400000</v>
      </c>
      <c r="AO194" s="176">
        <v>431392900</v>
      </c>
      <c r="AP194" s="176">
        <v>0</v>
      </c>
      <c r="AQ194" s="176">
        <v>1346792900</v>
      </c>
      <c r="AR194" t="s">
        <v>997</v>
      </c>
      <c r="AS194" s="175">
        <v>6</v>
      </c>
    </row>
    <row r="195" spans="1:45" x14ac:dyDescent="0.25">
      <c r="A195">
        <v>2</v>
      </c>
      <c r="B195" t="s">
        <v>3255</v>
      </c>
      <c r="C195">
        <v>194</v>
      </c>
      <c r="D195" t="s">
        <v>630</v>
      </c>
      <c r="E195" t="s">
        <v>314</v>
      </c>
      <c r="F195" t="s">
        <v>2385</v>
      </c>
      <c r="G195" t="s">
        <v>1040</v>
      </c>
      <c r="H195" t="s">
        <v>1059</v>
      </c>
      <c r="I195" s="182">
        <v>1125</v>
      </c>
      <c r="J195">
        <v>2023</v>
      </c>
      <c r="K195" t="s">
        <v>1041</v>
      </c>
      <c r="L195" t="s">
        <v>1042</v>
      </c>
      <c r="M195" t="s">
        <v>36</v>
      </c>
      <c r="O195" t="s">
        <v>997</v>
      </c>
      <c r="P195">
        <v>35</v>
      </c>
      <c r="Q195" t="s">
        <v>319</v>
      </c>
      <c r="R195" s="175">
        <v>3502</v>
      </c>
      <c r="S195" t="s">
        <v>320</v>
      </c>
      <c r="T195" s="175">
        <v>3502039</v>
      </c>
      <c r="U195" t="s">
        <v>1055</v>
      </c>
      <c r="V195" t="s">
        <v>1056</v>
      </c>
      <c r="W195" t="s">
        <v>156</v>
      </c>
      <c r="X195" s="175">
        <v>350203900</v>
      </c>
      <c r="Y195" t="s">
        <v>1057</v>
      </c>
      <c r="Z195" t="s">
        <v>1058</v>
      </c>
      <c r="AA195" t="s">
        <v>36</v>
      </c>
      <c r="AB195">
        <v>38</v>
      </c>
      <c r="AC195" t="s">
        <v>2336</v>
      </c>
      <c r="AD195" t="s">
        <v>3108</v>
      </c>
      <c r="AE195" t="s">
        <v>2331</v>
      </c>
      <c r="AF195" t="s">
        <v>263</v>
      </c>
      <c r="AG195" t="s">
        <v>2329</v>
      </c>
      <c r="AH195" t="s">
        <v>2187</v>
      </c>
      <c r="AI195">
        <v>0</v>
      </c>
      <c r="AJ195">
        <v>10</v>
      </c>
      <c r="AK195">
        <v>15</v>
      </c>
      <c r="AL195">
        <v>5</v>
      </c>
      <c r="AM195" s="176">
        <v>0</v>
      </c>
      <c r="AN195" s="176">
        <v>600257100</v>
      </c>
      <c r="AO195" s="176">
        <v>1215400000</v>
      </c>
      <c r="AP195" s="176">
        <v>431392900</v>
      </c>
      <c r="AQ195" s="176">
        <v>2247050000</v>
      </c>
      <c r="AR195" t="s">
        <v>997</v>
      </c>
      <c r="AS195" s="175">
        <v>6</v>
      </c>
    </row>
    <row r="196" spans="1:45" x14ac:dyDescent="0.25">
      <c r="A196">
        <v>2</v>
      </c>
      <c r="B196" t="s">
        <v>3255</v>
      </c>
      <c r="C196">
        <v>195</v>
      </c>
      <c r="D196" t="s">
        <v>630</v>
      </c>
      <c r="E196" t="s">
        <v>314</v>
      </c>
      <c r="F196" t="s">
        <v>2385</v>
      </c>
      <c r="G196" t="s">
        <v>1040</v>
      </c>
      <c r="H196" t="s">
        <v>1059</v>
      </c>
      <c r="I196" s="182">
        <v>1125</v>
      </c>
      <c r="J196">
        <v>2023</v>
      </c>
      <c r="K196" t="s">
        <v>1041</v>
      </c>
      <c r="L196" t="s">
        <v>1042</v>
      </c>
      <c r="M196" t="s">
        <v>36</v>
      </c>
      <c r="O196" t="s">
        <v>997</v>
      </c>
      <c r="P196">
        <v>35</v>
      </c>
      <c r="Q196" t="s">
        <v>319</v>
      </c>
      <c r="R196" s="175">
        <v>3502</v>
      </c>
      <c r="S196" t="s">
        <v>320</v>
      </c>
      <c r="T196" s="175">
        <v>3502045</v>
      </c>
      <c r="U196" t="s">
        <v>1060</v>
      </c>
      <c r="V196" t="s">
        <v>1061</v>
      </c>
      <c r="W196" t="s">
        <v>203</v>
      </c>
      <c r="X196" s="175">
        <v>350204500</v>
      </c>
      <c r="Y196" t="s">
        <v>297</v>
      </c>
      <c r="Z196" t="s">
        <v>2079</v>
      </c>
      <c r="AA196" t="s">
        <v>36</v>
      </c>
      <c r="AB196">
        <v>581</v>
      </c>
      <c r="AC196" t="s">
        <v>2336</v>
      </c>
      <c r="AD196" t="s">
        <v>3108</v>
      </c>
      <c r="AE196" t="s">
        <v>2331</v>
      </c>
      <c r="AF196" t="s">
        <v>263</v>
      </c>
      <c r="AG196" t="s">
        <v>2329</v>
      </c>
      <c r="AH196" t="s">
        <v>2187</v>
      </c>
      <c r="AI196">
        <v>50</v>
      </c>
      <c r="AJ196">
        <v>200</v>
      </c>
      <c r="AK196">
        <v>200</v>
      </c>
      <c r="AL196">
        <v>50</v>
      </c>
      <c r="AM196" s="176">
        <v>6600000</v>
      </c>
      <c r="AN196" s="176">
        <v>21000000</v>
      </c>
      <c r="AO196" s="176">
        <v>21808500</v>
      </c>
      <c r="AP196" s="176">
        <v>22648127</v>
      </c>
      <c r="AQ196" s="176">
        <v>72056627</v>
      </c>
      <c r="AR196" t="s">
        <v>997</v>
      </c>
      <c r="AS196" s="175">
        <v>6</v>
      </c>
    </row>
    <row r="197" spans="1:45" x14ac:dyDescent="0.25">
      <c r="A197">
        <v>2</v>
      </c>
      <c r="B197" t="s">
        <v>3255</v>
      </c>
      <c r="C197">
        <v>196</v>
      </c>
      <c r="D197" t="s">
        <v>630</v>
      </c>
      <c r="E197" t="s">
        <v>314</v>
      </c>
      <c r="F197" t="s">
        <v>2385</v>
      </c>
      <c r="G197" t="s">
        <v>1040</v>
      </c>
      <c r="H197" t="s">
        <v>1059</v>
      </c>
      <c r="I197" s="182">
        <v>1125</v>
      </c>
      <c r="J197">
        <v>2023</v>
      </c>
      <c r="K197" t="s">
        <v>1041</v>
      </c>
      <c r="L197" t="s">
        <v>1042</v>
      </c>
      <c r="M197" t="s">
        <v>36</v>
      </c>
      <c r="O197" t="s">
        <v>997</v>
      </c>
      <c r="P197">
        <v>35</v>
      </c>
      <c r="Q197" t="s">
        <v>319</v>
      </c>
      <c r="R197" s="175">
        <v>3502</v>
      </c>
      <c r="S197" t="s">
        <v>320</v>
      </c>
      <c r="T197" s="175">
        <v>3502046</v>
      </c>
      <c r="U197" t="s">
        <v>1062</v>
      </c>
      <c r="V197" t="s">
        <v>1063</v>
      </c>
      <c r="W197" t="s">
        <v>358</v>
      </c>
      <c r="X197" s="175">
        <v>350204600</v>
      </c>
      <c r="Y197" t="s">
        <v>883</v>
      </c>
      <c r="Z197" t="s">
        <v>2071</v>
      </c>
      <c r="AA197" t="s">
        <v>36</v>
      </c>
      <c r="AB197">
        <v>11</v>
      </c>
      <c r="AC197" t="s">
        <v>2336</v>
      </c>
      <c r="AD197" t="s">
        <v>3108</v>
      </c>
      <c r="AE197" t="s">
        <v>2331</v>
      </c>
      <c r="AF197" t="s">
        <v>263</v>
      </c>
      <c r="AG197" t="s">
        <v>2329</v>
      </c>
      <c r="AH197" t="s">
        <v>2187</v>
      </c>
      <c r="AI197">
        <v>1</v>
      </c>
      <c r="AJ197">
        <v>2</v>
      </c>
      <c r="AK197">
        <v>2</v>
      </c>
      <c r="AL197">
        <v>3</v>
      </c>
      <c r="AM197" s="176">
        <v>267400000</v>
      </c>
      <c r="AN197" s="176">
        <v>571356380</v>
      </c>
      <c r="AO197" s="176">
        <v>774103601</v>
      </c>
      <c r="AP197" s="176">
        <v>803906589</v>
      </c>
      <c r="AQ197" s="176">
        <v>2416766570</v>
      </c>
      <c r="AR197" t="s">
        <v>997</v>
      </c>
      <c r="AS197" s="175">
        <v>6</v>
      </c>
    </row>
    <row r="198" spans="1:45" x14ac:dyDescent="0.25">
      <c r="A198">
        <v>2</v>
      </c>
      <c r="B198" t="s">
        <v>3255</v>
      </c>
      <c r="C198">
        <v>197</v>
      </c>
      <c r="D198" t="s">
        <v>630</v>
      </c>
      <c r="E198" t="s">
        <v>314</v>
      </c>
      <c r="F198" t="s">
        <v>2385</v>
      </c>
      <c r="G198" t="s">
        <v>1040</v>
      </c>
      <c r="H198" t="s">
        <v>1059</v>
      </c>
      <c r="I198" s="182">
        <v>1125</v>
      </c>
      <c r="J198">
        <v>2023</v>
      </c>
      <c r="K198" t="s">
        <v>1041</v>
      </c>
      <c r="L198" t="s">
        <v>1042</v>
      </c>
      <c r="M198" t="s">
        <v>36</v>
      </c>
      <c r="N198" t="s">
        <v>679</v>
      </c>
      <c r="O198" t="s">
        <v>997</v>
      </c>
      <c r="P198">
        <v>35</v>
      </c>
      <c r="Q198" t="s">
        <v>319</v>
      </c>
      <c r="R198" s="175" t="s">
        <v>1043</v>
      </c>
      <c r="S198" t="s">
        <v>320</v>
      </c>
      <c r="T198" s="175" t="s">
        <v>1064</v>
      </c>
      <c r="U198" t="s">
        <v>1065</v>
      </c>
      <c r="V198" t="s">
        <v>1066</v>
      </c>
      <c r="W198" t="s">
        <v>1067</v>
      </c>
      <c r="X198" s="175">
        <v>350209300</v>
      </c>
      <c r="Y198" t="s">
        <v>1068</v>
      </c>
      <c r="Z198" t="s">
        <v>2072</v>
      </c>
      <c r="AA198" t="s">
        <v>36</v>
      </c>
      <c r="AB198">
        <v>0</v>
      </c>
      <c r="AC198" t="s">
        <v>2336</v>
      </c>
      <c r="AD198" t="s">
        <v>3108</v>
      </c>
      <c r="AE198" t="s">
        <v>2187</v>
      </c>
      <c r="AF198" t="s">
        <v>263</v>
      </c>
      <c r="AG198" t="s">
        <v>2329</v>
      </c>
      <c r="AH198" t="s">
        <v>2187</v>
      </c>
      <c r="AI198">
        <v>0</v>
      </c>
      <c r="AJ198" t="s">
        <v>3195</v>
      </c>
      <c r="AK198" t="s">
        <v>3195</v>
      </c>
      <c r="AL198" t="s">
        <v>3196</v>
      </c>
      <c r="AM198" s="176">
        <v>0</v>
      </c>
      <c r="AN198" s="176">
        <v>40000000</v>
      </c>
      <c r="AO198" s="176">
        <v>41540000</v>
      </c>
      <c r="AP198" s="176">
        <v>43139290</v>
      </c>
      <c r="AQ198" s="176">
        <v>124679290</v>
      </c>
      <c r="AR198" t="s">
        <v>997</v>
      </c>
      <c r="AS198" s="175">
        <v>6</v>
      </c>
    </row>
    <row r="199" spans="1:45" x14ac:dyDescent="0.25">
      <c r="A199">
        <v>2</v>
      </c>
      <c r="B199" t="s">
        <v>3255</v>
      </c>
      <c r="C199">
        <v>198</v>
      </c>
      <c r="D199" t="s">
        <v>630</v>
      </c>
      <c r="E199" t="s">
        <v>314</v>
      </c>
      <c r="F199" t="s">
        <v>2385</v>
      </c>
      <c r="G199" t="s">
        <v>1040</v>
      </c>
      <c r="H199" t="s">
        <v>1059</v>
      </c>
      <c r="I199" s="182">
        <v>1125</v>
      </c>
      <c r="J199">
        <v>2023</v>
      </c>
      <c r="K199" t="s">
        <v>1041</v>
      </c>
      <c r="L199" t="s">
        <v>1042</v>
      </c>
      <c r="M199" t="s">
        <v>36</v>
      </c>
      <c r="O199" t="s">
        <v>997</v>
      </c>
      <c r="P199">
        <v>35</v>
      </c>
      <c r="Q199" t="s">
        <v>319</v>
      </c>
      <c r="R199" s="175">
        <v>3502</v>
      </c>
      <c r="S199" t="s">
        <v>320</v>
      </c>
      <c r="T199" s="175">
        <v>3502047</v>
      </c>
      <c r="U199" t="s">
        <v>768</v>
      </c>
      <c r="V199" t="s">
        <v>1069</v>
      </c>
      <c r="W199" t="s">
        <v>500</v>
      </c>
      <c r="X199" s="175">
        <v>350204700</v>
      </c>
      <c r="Y199" t="s">
        <v>771</v>
      </c>
      <c r="Z199" t="s">
        <v>1070</v>
      </c>
      <c r="AA199" t="s">
        <v>36</v>
      </c>
      <c r="AB199">
        <v>36</v>
      </c>
      <c r="AC199" t="s">
        <v>2336</v>
      </c>
      <c r="AD199" t="s">
        <v>3108</v>
      </c>
      <c r="AE199" t="s">
        <v>2187</v>
      </c>
      <c r="AF199" t="s">
        <v>263</v>
      </c>
      <c r="AG199" t="s">
        <v>2329</v>
      </c>
      <c r="AH199" t="s">
        <v>2187</v>
      </c>
      <c r="AI199">
        <v>0</v>
      </c>
      <c r="AJ199">
        <v>5</v>
      </c>
      <c r="AK199">
        <v>5</v>
      </c>
      <c r="AL199">
        <v>5</v>
      </c>
      <c r="AM199" s="176">
        <v>0</v>
      </c>
      <c r="AN199" s="176">
        <v>105000000</v>
      </c>
      <c r="AO199" s="176">
        <v>109042500</v>
      </c>
      <c r="AP199" s="176">
        <v>113240637</v>
      </c>
      <c r="AQ199" s="176">
        <v>327283137</v>
      </c>
      <c r="AR199" t="s">
        <v>997</v>
      </c>
      <c r="AS199" s="175">
        <v>6</v>
      </c>
    </row>
    <row r="200" spans="1:45" x14ac:dyDescent="0.25">
      <c r="A200">
        <v>2</v>
      </c>
      <c r="B200" t="s">
        <v>3255</v>
      </c>
      <c r="C200">
        <v>199</v>
      </c>
      <c r="D200" t="s">
        <v>630</v>
      </c>
      <c r="E200" t="s">
        <v>314</v>
      </c>
      <c r="F200" t="s">
        <v>2385</v>
      </c>
      <c r="G200" t="s">
        <v>1040</v>
      </c>
      <c r="H200" t="s">
        <v>1059</v>
      </c>
      <c r="I200" s="182">
        <v>1125</v>
      </c>
      <c r="J200">
        <v>2023</v>
      </c>
      <c r="K200" t="s">
        <v>1041</v>
      </c>
      <c r="L200" t="s">
        <v>1042</v>
      </c>
      <c r="M200" t="s">
        <v>36</v>
      </c>
      <c r="O200" t="s">
        <v>997</v>
      </c>
      <c r="P200">
        <v>35</v>
      </c>
      <c r="Q200" t="s">
        <v>319</v>
      </c>
      <c r="R200" s="175">
        <v>3502</v>
      </c>
      <c r="S200" t="s">
        <v>320</v>
      </c>
      <c r="T200" s="175">
        <v>3502049</v>
      </c>
      <c r="U200" t="s">
        <v>1071</v>
      </c>
      <c r="V200" t="s">
        <v>1072</v>
      </c>
      <c r="W200" t="s">
        <v>1073</v>
      </c>
      <c r="X200" s="175">
        <v>350204900</v>
      </c>
      <c r="Y200" t="s">
        <v>1074</v>
      </c>
      <c r="Z200" t="s">
        <v>1075</v>
      </c>
      <c r="AA200" t="s">
        <v>36</v>
      </c>
      <c r="AB200">
        <v>0</v>
      </c>
      <c r="AC200" t="s">
        <v>2336</v>
      </c>
      <c r="AD200" t="s">
        <v>3108</v>
      </c>
      <c r="AE200" t="s">
        <v>2331</v>
      </c>
      <c r="AF200" t="s">
        <v>263</v>
      </c>
      <c r="AG200" t="s">
        <v>2329</v>
      </c>
      <c r="AH200" t="s">
        <v>2187</v>
      </c>
      <c r="AI200" t="s">
        <v>3194</v>
      </c>
      <c r="AJ200" t="s">
        <v>3201</v>
      </c>
      <c r="AK200">
        <v>3</v>
      </c>
      <c r="AL200">
        <v>2</v>
      </c>
      <c r="AM200" s="176">
        <v>298310673</v>
      </c>
      <c r="AN200" s="176">
        <v>1150000000</v>
      </c>
      <c r="AO200" s="176">
        <v>1551925000</v>
      </c>
      <c r="AP200" s="176">
        <v>1479924113</v>
      </c>
      <c r="AQ200" s="176">
        <v>4480159786</v>
      </c>
      <c r="AR200" t="s">
        <v>997</v>
      </c>
      <c r="AS200" s="175">
        <v>6</v>
      </c>
    </row>
    <row r="201" spans="1:45" x14ac:dyDescent="0.25">
      <c r="A201">
        <v>2</v>
      </c>
      <c r="B201" t="s">
        <v>3255</v>
      </c>
      <c r="C201">
        <v>200</v>
      </c>
      <c r="D201" t="s">
        <v>630</v>
      </c>
      <c r="E201" t="s">
        <v>314</v>
      </c>
      <c r="F201" t="s">
        <v>2385</v>
      </c>
      <c r="G201" t="s">
        <v>1040</v>
      </c>
      <c r="H201" t="s">
        <v>1059</v>
      </c>
      <c r="I201" s="182">
        <v>1125</v>
      </c>
      <c r="J201">
        <v>2023</v>
      </c>
      <c r="K201" t="s">
        <v>1041</v>
      </c>
      <c r="L201" t="s">
        <v>1042</v>
      </c>
      <c r="M201" t="s">
        <v>36</v>
      </c>
      <c r="N201" t="s">
        <v>679</v>
      </c>
      <c r="O201" t="s">
        <v>997</v>
      </c>
      <c r="P201">
        <v>35</v>
      </c>
      <c r="Q201" t="s">
        <v>319</v>
      </c>
      <c r="R201" s="175">
        <v>3502</v>
      </c>
      <c r="S201" t="s">
        <v>320</v>
      </c>
      <c r="T201" s="175">
        <v>3502110</v>
      </c>
      <c r="U201" t="s">
        <v>554</v>
      </c>
      <c r="V201" t="s">
        <v>1076</v>
      </c>
      <c r="W201" t="s">
        <v>188</v>
      </c>
      <c r="X201" s="175">
        <v>350211000</v>
      </c>
      <c r="Y201" t="s">
        <v>189</v>
      </c>
      <c r="Z201" t="s">
        <v>2134</v>
      </c>
      <c r="AA201" t="s">
        <v>36</v>
      </c>
      <c r="AB201">
        <v>0</v>
      </c>
      <c r="AC201" t="s">
        <v>2336</v>
      </c>
      <c r="AD201" t="s">
        <v>3108</v>
      </c>
      <c r="AE201" t="s">
        <v>2187</v>
      </c>
      <c r="AF201" t="s">
        <v>263</v>
      </c>
      <c r="AG201" t="s">
        <v>2329</v>
      </c>
      <c r="AH201" t="s">
        <v>2187</v>
      </c>
      <c r="AI201">
        <v>0</v>
      </c>
      <c r="AJ201">
        <v>2</v>
      </c>
      <c r="AK201">
        <v>2</v>
      </c>
      <c r="AL201">
        <v>1</v>
      </c>
      <c r="AM201" s="176">
        <v>0</v>
      </c>
      <c r="AN201" s="176">
        <v>600000000</v>
      </c>
      <c r="AO201" s="176">
        <v>603850000</v>
      </c>
      <c r="AP201" s="176">
        <v>107848225</v>
      </c>
      <c r="AQ201" s="176">
        <v>1311698225</v>
      </c>
      <c r="AR201" t="s">
        <v>997</v>
      </c>
      <c r="AS201" s="175">
        <v>6</v>
      </c>
    </row>
    <row r="202" spans="1:45" x14ac:dyDescent="0.25">
      <c r="A202">
        <v>2</v>
      </c>
      <c r="B202" t="s">
        <v>3255</v>
      </c>
      <c r="C202">
        <v>201</v>
      </c>
      <c r="D202" t="s">
        <v>630</v>
      </c>
      <c r="E202" t="s">
        <v>314</v>
      </c>
      <c r="F202" t="s">
        <v>2385</v>
      </c>
      <c r="G202" t="s">
        <v>1040</v>
      </c>
      <c r="H202" t="s">
        <v>1059</v>
      </c>
      <c r="I202" s="182">
        <v>1125</v>
      </c>
      <c r="J202">
        <v>2023</v>
      </c>
      <c r="K202" t="s">
        <v>1041</v>
      </c>
      <c r="L202" t="s">
        <v>1042</v>
      </c>
      <c r="M202" t="s">
        <v>36</v>
      </c>
      <c r="O202" t="s">
        <v>997</v>
      </c>
      <c r="P202">
        <v>35</v>
      </c>
      <c r="Q202" t="s">
        <v>319</v>
      </c>
      <c r="R202" s="175">
        <v>3502</v>
      </c>
      <c r="S202" t="s">
        <v>320</v>
      </c>
      <c r="T202" s="175">
        <v>3502017</v>
      </c>
      <c r="U202" t="s">
        <v>1015</v>
      </c>
      <c r="V202" t="s">
        <v>1016</v>
      </c>
      <c r="W202" t="s">
        <v>324</v>
      </c>
      <c r="X202" s="175">
        <v>350201703</v>
      </c>
      <c r="Y202" t="s">
        <v>1077</v>
      </c>
      <c r="Z202" t="s">
        <v>1078</v>
      </c>
      <c r="AA202" t="s">
        <v>36</v>
      </c>
      <c r="AB202">
        <v>30</v>
      </c>
      <c r="AC202" t="s">
        <v>2336</v>
      </c>
      <c r="AD202" t="s">
        <v>3115</v>
      </c>
      <c r="AE202" t="s">
        <v>3116</v>
      </c>
      <c r="AF202" t="s">
        <v>3111</v>
      </c>
      <c r="AG202" t="s">
        <v>2329</v>
      </c>
      <c r="AH202" t="s">
        <v>2187</v>
      </c>
      <c r="AI202">
        <v>14</v>
      </c>
      <c r="AJ202">
        <v>12</v>
      </c>
      <c r="AK202">
        <v>12</v>
      </c>
      <c r="AL202">
        <v>12</v>
      </c>
      <c r="AM202" s="176">
        <v>220000000</v>
      </c>
      <c r="AN202" s="176">
        <v>685410000</v>
      </c>
      <c r="AO202" s="176" t="s">
        <v>2764</v>
      </c>
      <c r="AP202" s="176" t="s">
        <v>2765</v>
      </c>
      <c r="AQ202" s="176" t="s">
        <v>2766</v>
      </c>
      <c r="AR202" t="s">
        <v>997</v>
      </c>
      <c r="AS202" s="175">
        <v>6</v>
      </c>
    </row>
    <row r="203" spans="1:45" x14ac:dyDescent="0.25">
      <c r="A203">
        <v>2</v>
      </c>
      <c r="B203" t="s">
        <v>3255</v>
      </c>
      <c r="C203">
        <v>202</v>
      </c>
      <c r="D203" t="s">
        <v>630</v>
      </c>
      <c r="E203" t="s">
        <v>314</v>
      </c>
      <c r="F203" t="s">
        <v>2385</v>
      </c>
      <c r="G203" t="s">
        <v>1040</v>
      </c>
      <c r="H203" t="s">
        <v>1059</v>
      </c>
      <c r="I203" s="182">
        <v>1125</v>
      </c>
      <c r="J203">
        <v>2023</v>
      </c>
      <c r="K203" t="s">
        <v>1041</v>
      </c>
      <c r="L203" t="s">
        <v>1042</v>
      </c>
      <c r="M203" t="s">
        <v>36</v>
      </c>
      <c r="O203" t="s">
        <v>318</v>
      </c>
      <c r="P203">
        <v>35</v>
      </c>
      <c r="Q203" t="s">
        <v>319</v>
      </c>
      <c r="R203" s="175">
        <v>3502</v>
      </c>
      <c r="S203" t="s">
        <v>320</v>
      </c>
      <c r="T203" s="175">
        <v>3502047</v>
      </c>
      <c r="U203" t="s">
        <v>768</v>
      </c>
      <c r="V203" t="s">
        <v>1079</v>
      </c>
      <c r="W203" t="s">
        <v>500</v>
      </c>
      <c r="X203" s="175">
        <v>350204700</v>
      </c>
      <c r="Y203" t="s">
        <v>771</v>
      </c>
      <c r="Z203" t="s">
        <v>2172</v>
      </c>
      <c r="AA203" t="s">
        <v>36</v>
      </c>
      <c r="AB203">
        <v>0</v>
      </c>
      <c r="AC203" t="s">
        <v>2185</v>
      </c>
      <c r="AD203" t="s">
        <v>3117</v>
      </c>
      <c r="AE203" t="s">
        <v>2187</v>
      </c>
      <c r="AF203" t="s">
        <v>263</v>
      </c>
      <c r="AG203" t="s">
        <v>2335</v>
      </c>
      <c r="AH203" t="s">
        <v>2187</v>
      </c>
      <c r="AI203">
        <v>0</v>
      </c>
      <c r="AJ203">
        <v>0</v>
      </c>
      <c r="AK203" t="s">
        <v>3194</v>
      </c>
      <c r="AL203" t="s">
        <v>3194</v>
      </c>
      <c r="AM203" s="176">
        <v>0</v>
      </c>
      <c r="AN203" s="176">
        <v>0</v>
      </c>
      <c r="AO203" s="176" t="s">
        <v>2767</v>
      </c>
      <c r="AP203" s="176" t="s">
        <v>2768</v>
      </c>
      <c r="AQ203" s="176" t="s">
        <v>2769</v>
      </c>
      <c r="AR203" t="s">
        <v>997</v>
      </c>
      <c r="AS203" s="175">
        <v>6</v>
      </c>
    </row>
    <row r="204" spans="1:45" x14ac:dyDescent="0.25">
      <c r="A204">
        <v>2</v>
      </c>
      <c r="B204" t="s">
        <v>3255</v>
      </c>
      <c r="C204">
        <v>203</v>
      </c>
      <c r="D204" t="s">
        <v>630</v>
      </c>
      <c r="E204" t="s">
        <v>314</v>
      </c>
      <c r="F204" t="s">
        <v>2385</v>
      </c>
      <c r="G204" t="s">
        <v>1040</v>
      </c>
      <c r="H204" t="s">
        <v>1059</v>
      </c>
      <c r="I204" s="182">
        <v>1125</v>
      </c>
      <c r="J204">
        <v>2023</v>
      </c>
      <c r="K204" t="s">
        <v>1041</v>
      </c>
      <c r="L204" t="s">
        <v>1042</v>
      </c>
      <c r="M204" t="s">
        <v>36</v>
      </c>
      <c r="O204" t="s">
        <v>318</v>
      </c>
      <c r="P204">
        <v>35</v>
      </c>
      <c r="Q204" t="s">
        <v>319</v>
      </c>
      <c r="R204" s="175">
        <v>3502</v>
      </c>
      <c r="S204" t="s">
        <v>320</v>
      </c>
      <c r="T204" s="175">
        <v>3502010</v>
      </c>
      <c r="U204" t="s">
        <v>1080</v>
      </c>
      <c r="V204" t="s">
        <v>1081</v>
      </c>
      <c r="W204" t="s">
        <v>685</v>
      </c>
      <c r="X204" s="175">
        <v>350201000</v>
      </c>
      <c r="Y204" t="s">
        <v>1082</v>
      </c>
      <c r="Z204" t="s">
        <v>1083</v>
      </c>
      <c r="AA204" t="s">
        <v>36</v>
      </c>
      <c r="AB204">
        <v>0</v>
      </c>
      <c r="AC204" t="s">
        <v>2339</v>
      </c>
      <c r="AD204" t="s">
        <v>3118</v>
      </c>
      <c r="AE204" t="s">
        <v>3119</v>
      </c>
      <c r="AF204" t="s">
        <v>3111</v>
      </c>
      <c r="AG204" t="s">
        <v>2329</v>
      </c>
      <c r="AH204" t="s">
        <v>2191</v>
      </c>
      <c r="AI204">
        <v>0</v>
      </c>
      <c r="AJ204">
        <v>1</v>
      </c>
      <c r="AK204">
        <v>1</v>
      </c>
      <c r="AL204">
        <v>1</v>
      </c>
      <c r="AM204" s="176">
        <v>0</v>
      </c>
      <c r="AN204" s="176">
        <v>300000000</v>
      </c>
      <c r="AO204" s="176">
        <v>315590000</v>
      </c>
      <c r="AP204" s="176">
        <v>327740215</v>
      </c>
      <c r="AQ204" s="176">
        <v>943330215</v>
      </c>
      <c r="AR204" t="s">
        <v>997</v>
      </c>
      <c r="AS204" s="175">
        <v>6</v>
      </c>
    </row>
    <row r="205" spans="1:45" x14ac:dyDescent="0.25">
      <c r="A205">
        <v>2</v>
      </c>
      <c r="B205" t="s">
        <v>3255</v>
      </c>
      <c r="C205">
        <v>204</v>
      </c>
      <c r="D205" t="s">
        <v>630</v>
      </c>
      <c r="E205" t="s">
        <v>314</v>
      </c>
      <c r="F205" t="s">
        <v>2385</v>
      </c>
      <c r="G205" t="s">
        <v>1040</v>
      </c>
      <c r="H205" t="s">
        <v>1059</v>
      </c>
      <c r="I205" s="182">
        <v>1125</v>
      </c>
      <c r="J205">
        <v>2023</v>
      </c>
      <c r="K205" t="s">
        <v>1041</v>
      </c>
      <c r="L205" t="s">
        <v>1042</v>
      </c>
      <c r="M205" t="s">
        <v>36</v>
      </c>
      <c r="N205" t="s">
        <v>679</v>
      </c>
      <c r="O205" t="s">
        <v>997</v>
      </c>
      <c r="P205">
        <v>41</v>
      </c>
      <c r="Q205" t="s">
        <v>2112</v>
      </c>
      <c r="R205" s="175">
        <v>4103</v>
      </c>
      <c r="S205" t="s">
        <v>830</v>
      </c>
      <c r="T205" s="175">
        <v>4103059</v>
      </c>
      <c r="U205" t="s">
        <v>1019</v>
      </c>
      <c r="V205" t="s">
        <v>1020</v>
      </c>
      <c r="W205" t="s">
        <v>834</v>
      </c>
      <c r="X205" s="175">
        <v>410305900</v>
      </c>
      <c r="Y205" t="s">
        <v>1021</v>
      </c>
      <c r="Z205" t="s">
        <v>1084</v>
      </c>
      <c r="AA205" t="s">
        <v>36</v>
      </c>
      <c r="AB205">
        <v>4</v>
      </c>
      <c r="AC205" t="s">
        <v>2185</v>
      </c>
      <c r="AD205" t="s">
        <v>3120</v>
      </c>
      <c r="AF205" t="s">
        <v>3111</v>
      </c>
      <c r="AG205" t="s">
        <v>2329</v>
      </c>
      <c r="AH205" t="s">
        <v>2187</v>
      </c>
      <c r="AI205">
        <v>2</v>
      </c>
      <c r="AJ205">
        <v>2</v>
      </c>
      <c r="AK205">
        <v>2</v>
      </c>
      <c r="AL205">
        <v>1</v>
      </c>
      <c r="AM205" s="176">
        <v>132000000</v>
      </c>
      <c r="AN205" s="176">
        <v>137082000</v>
      </c>
      <c r="AO205" s="176" t="s">
        <v>2770</v>
      </c>
      <c r="AP205" s="176" t="s">
        <v>2771</v>
      </c>
      <c r="AQ205" s="176" t="s">
        <v>2772</v>
      </c>
      <c r="AR205" t="s">
        <v>997</v>
      </c>
      <c r="AS205" s="175">
        <v>6</v>
      </c>
    </row>
    <row r="206" spans="1:45" x14ac:dyDescent="0.25">
      <c r="A206">
        <v>2</v>
      </c>
      <c r="B206" t="s">
        <v>3255</v>
      </c>
      <c r="C206">
        <v>205</v>
      </c>
      <c r="D206" t="s">
        <v>630</v>
      </c>
      <c r="E206" t="s">
        <v>314</v>
      </c>
      <c r="F206" t="s">
        <v>2385</v>
      </c>
      <c r="G206" t="s">
        <v>1040</v>
      </c>
      <c r="H206" t="s">
        <v>1059</v>
      </c>
      <c r="I206" s="182">
        <v>1125</v>
      </c>
      <c r="J206">
        <v>2023</v>
      </c>
      <c r="K206" t="s">
        <v>1041</v>
      </c>
      <c r="L206" t="s">
        <v>1042</v>
      </c>
      <c r="M206" t="s">
        <v>36</v>
      </c>
      <c r="O206" t="s">
        <v>997</v>
      </c>
      <c r="P206">
        <v>35</v>
      </c>
      <c r="Q206" t="s">
        <v>319</v>
      </c>
      <c r="R206" s="175">
        <v>3502</v>
      </c>
      <c r="S206" t="s">
        <v>320</v>
      </c>
      <c r="T206" s="175">
        <v>3502007</v>
      </c>
      <c r="U206" t="s">
        <v>1085</v>
      </c>
      <c r="V206" t="s">
        <v>1086</v>
      </c>
      <c r="W206" t="s">
        <v>1087</v>
      </c>
      <c r="X206" s="175">
        <v>350200700</v>
      </c>
      <c r="Y206" t="s">
        <v>1088</v>
      </c>
      <c r="Z206" t="s">
        <v>1089</v>
      </c>
      <c r="AA206" t="s">
        <v>36</v>
      </c>
      <c r="AB206">
        <v>0</v>
      </c>
      <c r="AC206" t="s">
        <v>2185</v>
      </c>
      <c r="AD206" t="s">
        <v>2184</v>
      </c>
      <c r="AE206" t="s">
        <v>2187</v>
      </c>
      <c r="AF206" t="s">
        <v>3121</v>
      </c>
      <c r="AG206" t="s">
        <v>2329</v>
      </c>
      <c r="AH206" t="s">
        <v>2187</v>
      </c>
      <c r="AI206">
        <v>0</v>
      </c>
      <c r="AJ206">
        <v>2</v>
      </c>
      <c r="AK206">
        <v>1</v>
      </c>
      <c r="AL206">
        <v>0</v>
      </c>
      <c r="AM206" s="176">
        <v>0</v>
      </c>
      <c r="AN206" s="176">
        <v>101150315</v>
      </c>
      <c r="AO206" s="176" t="s">
        <v>2773</v>
      </c>
      <c r="AP206" s="176">
        <v>0</v>
      </c>
      <c r="AQ206" s="176" t="s">
        <v>2774</v>
      </c>
      <c r="AR206" t="s">
        <v>997</v>
      </c>
      <c r="AS206" s="175">
        <v>6</v>
      </c>
    </row>
    <row r="207" spans="1:45" x14ac:dyDescent="0.25">
      <c r="A207">
        <v>2</v>
      </c>
      <c r="B207" t="s">
        <v>3255</v>
      </c>
      <c r="C207">
        <v>206</v>
      </c>
      <c r="D207" t="s">
        <v>630</v>
      </c>
      <c r="E207" t="s">
        <v>314</v>
      </c>
      <c r="F207" t="s">
        <v>2385</v>
      </c>
      <c r="G207" t="s">
        <v>1040</v>
      </c>
      <c r="H207" t="s">
        <v>1059</v>
      </c>
      <c r="I207" s="182">
        <v>1125</v>
      </c>
      <c r="J207">
        <v>2023</v>
      </c>
      <c r="K207" t="s">
        <v>1041</v>
      </c>
      <c r="L207" t="s">
        <v>1042</v>
      </c>
      <c r="M207" t="s">
        <v>36</v>
      </c>
      <c r="O207" t="s">
        <v>997</v>
      </c>
      <c r="P207">
        <v>35</v>
      </c>
      <c r="Q207" t="s">
        <v>319</v>
      </c>
      <c r="R207" s="175">
        <v>3502</v>
      </c>
      <c r="S207" t="s">
        <v>320</v>
      </c>
      <c r="T207" s="175">
        <v>3502008</v>
      </c>
      <c r="U207" t="s">
        <v>1090</v>
      </c>
      <c r="V207" t="s">
        <v>1091</v>
      </c>
      <c r="W207" t="s">
        <v>685</v>
      </c>
      <c r="X207" s="175">
        <v>350200800</v>
      </c>
      <c r="Y207" t="s">
        <v>1092</v>
      </c>
      <c r="Z207" t="s">
        <v>1093</v>
      </c>
      <c r="AA207" t="s">
        <v>36</v>
      </c>
      <c r="AB207">
        <v>0</v>
      </c>
      <c r="AC207" t="s">
        <v>2185</v>
      </c>
      <c r="AD207" t="s">
        <v>2184</v>
      </c>
      <c r="AE207" t="s">
        <v>2187</v>
      </c>
      <c r="AF207" t="s">
        <v>3121</v>
      </c>
      <c r="AG207" t="s">
        <v>2329</v>
      </c>
      <c r="AH207" t="s">
        <v>2187</v>
      </c>
      <c r="AI207">
        <v>0</v>
      </c>
      <c r="AJ207" t="s">
        <v>3204</v>
      </c>
      <c r="AK207" t="s">
        <v>3199</v>
      </c>
      <c r="AL207" t="s">
        <v>3204</v>
      </c>
      <c r="AM207" s="176">
        <v>0</v>
      </c>
      <c r="AN207" s="176">
        <v>69632464</v>
      </c>
      <c r="AO207" s="176" t="s">
        <v>2775</v>
      </c>
      <c r="AP207" s="176" t="s">
        <v>2776</v>
      </c>
      <c r="AQ207" s="176" t="s">
        <v>2777</v>
      </c>
      <c r="AR207" t="s">
        <v>997</v>
      </c>
      <c r="AS207" s="175">
        <v>6</v>
      </c>
    </row>
    <row r="208" spans="1:45" x14ac:dyDescent="0.25">
      <c r="A208">
        <v>2</v>
      </c>
      <c r="B208" t="s">
        <v>3255</v>
      </c>
      <c r="C208">
        <v>207</v>
      </c>
      <c r="D208" t="s">
        <v>630</v>
      </c>
      <c r="E208" t="s">
        <v>314</v>
      </c>
      <c r="F208" t="s">
        <v>2385</v>
      </c>
      <c r="G208" t="s">
        <v>1040</v>
      </c>
      <c r="H208" t="s">
        <v>1059</v>
      </c>
      <c r="I208" s="182">
        <v>1125</v>
      </c>
      <c r="J208">
        <v>2023</v>
      </c>
      <c r="K208" t="s">
        <v>1041</v>
      </c>
      <c r="L208" t="s">
        <v>1042</v>
      </c>
      <c r="M208" t="s">
        <v>36</v>
      </c>
      <c r="O208" t="s">
        <v>997</v>
      </c>
      <c r="P208">
        <v>35</v>
      </c>
      <c r="Q208" t="s">
        <v>319</v>
      </c>
      <c r="R208" s="175">
        <v>3502</v>
      </c>
      <c r="S208" t="s">
        <v>320</v>
      </c>
      <c r="T208" s="175">
        <v>3502004</v>
      </c>
      <c r="U208" t="s">
        <v>322</v>
      </c>
      <c r="V208" t="s">
        <v>323</v>
      </c>
      <c r="W208" t="s">
        <v>324</v>
      </c>
      <c r="X208" s="175">
        <v>350200400</v>
      </c>
      <c r="Y208" t="s">
        <v>326</v>
      </c>
      <c r="Z208" t="s">
        <v>1094</v>
      </c>
      <c r="AA208" t="s">
        <v>36</v>
      </c>
      <c r="AB208">
        <v>0</v>
      </c>
      <c r="AC208" t="s">
        <v>2185</v>
      </c>
      <c r="AD208" t="s">
        <v>2184</v>
      </c>
      <c r="AE208" t="s">
        <v>2187</v>
      </c>
      <c r="AF208" t="s">
        <v>263</v>
      </c>
      <c r="AG208" t="s">
        <v>2329</v>
      </c>
      <c r="AH208" t="s">
        <v>2187</v>
      </c>
      <c r="AI208">
        <v>10</v>
      </c>
      <c r="AJ208">
        <v>30</v>
      </c>
      <c r="AK208">
        <v>30</v>
      </c>
      <c r="AL208">
        <v>30</v>
      </c>
      <c r="AM208" s="176">
        <v>80000000</v>
      </c>
      <c r="AN208" s="176">
        <v>84696000</v>
      </c>
      <c r="AO208" s="176">
        <v>87956796</v>
      </c>
      <c r="AP208" s="176" t="s">
        <v>2778</v>
      </c>
      <c r="AQ208" s="176" t="s">
        <v>2779</v>
      </c>
      <c r="AR208" t="s">
        <v>997</v>
      </c>
      <c r="AS208" s="175">
        <v>6</v>
      </c>
    </row>
    <row r="209" spans="1:45" x14ac:dyDescent="0.25">
      <c r="A209">
        <v>2</v>
      </c>
      <c r="B209" t="s">
        <v>3255</v>
      </c>
      <c r="C209">
        <v>208</v>
      </c>
      <c r="D209" t="s">
        <v>630</v>
      </c>
      <c r="E209" t="s">
        <v>314</v>
      </c>
      <c r="F209" t="s">
        <v>2385</v>
      </c>
      <c r="G209" t="s">
        <v>1040</v>
      </c>
      <c r="H209" t="s">
        <v>1059</v>
      </c>
      <c r="I209" s="182">
        <v>1125</v>
      </c>
      <c r="J209">
        <v>2023</v>
      </c>
      <c r="K209" t="s">
        <v>1041</v>
      </c>
      <c r="L209" t="s">
        <v>1042</v>
      </c>
      <c r="M209" t="s">
        <v>36</v>
      </c>
      <c r="O209" t="s">
        <v>997</v>
      </c>
      <c r="P209">
        <v>35</v>
      </c>
      <c r="Q209" t="s">
        <v>319</v>
      </c>
      <c r="R209" s="175">
        <v>3502</v>
      </c>
      <c r="S209" t="s">
        <v>320</v>
      </c>
      <c r="T209" s="175">
        <v>3502009</v>
      </c>
      <c r="U209" t="s">
        <v>1095</v>
      </c>
      <c r="V209" t="s">
        <v>1096</v>
      </c>
      <c r="W209" t="s">
        <v>1097</v>
      </c>
      <c r="X209" s="175">
        <v>350200900</v>
      </c>
      <c r="Y209" t="s">
        <v>1098</v>
      </c>
      <c r="Z209" t="s">
        <v>1099</v>
      </c>
      <c r="AA209" t="s">
        <v>36</v>
      </c>
      <c r="AB209">
        <v>114</v>
      </c>
      <c r="AC209" t="s">
        <v>2185</v>
      </c>
      <c r="AD209" t="s">
        <v>3122</v>
      </c>
      <c r="AE209" t="s">
        <v>2187</v>
      </c>
      <c r="AF209" t="s">
        <v>263</v>
      </c>
      <c r="AG209" t="s">
        <v>2329</v>
      </c>
      <c r="AH209" t="s">
        <v>2187</v>
      </c>
      <c r="AI209">
        <v>4</v>
      </c>
      <c r="AJ209">
        <v>32</v>
      </c>
      <c r="AK209">
        <v>32</v>
      </c>
      <c r="AL209">
        <v>32</v>
      </c>
      <c r="AM209" s="176">
        <v>121600000</v>
      </c>
      <c r="AN209" s="176">
        <v>1048600000</v>
      </c>
      <c r="AO209" s="176">
        <v>1088971100</v>
      </c>
      <c r="AP209" s="176" t="s">
        <v>2780</v>
      </c>
      <c r="AQ209" s="176" t="s">
        <v>2781</v>
      </c>
      <c r="AR209" t="s">
        <v>997</v>
      </c>
      <c r="AS209" s="175">
        <v>6</v>
      </c>
    </row>
    <row r="210" spans="1:45" x14ac:dyDescent="0.25">
      <c r="A210">
        <v>2</v>
      </c>
      <c r="B210" t="s">
        <v>3255</v>
      </c>
      <c r="C210">
        <v>209</v>
      </c>
      <c r="D210" t="s">
        <v>630</v>
      </c>
      <c r="E210" t="s">
        <v>314</v>
      </c>
      <c r="F210" t="s">
        <v>2385</v>
      </c>
      <c r="G210" t="s">
        <v>1040</v>
      </c>
      <c r="H210" t="s">
        <v>1059</v>
      </c>
      <c r="I210" s="182">
        <v>1125</v>
      </c>
      <c r="J210">
        <v>2023</v>
      </c>
      <c r="K210" t="s">
        <v>1041</v>
      </c>
      <c r="L210" t="s">
        <v>1042</v>
      </c>
      <c r="M210" t="s">
        <v>36</v>
      </c>
      <c r="O210" t="s">
        <v>997</v>
      </c>
      <c r="P210">
        <v>35</v>
      </c>
      <c r="Q210" t="s">
        <v>319</v>
      </c>
      <c r="R210" s="175">
        <v>3502</v>
      </c>
      <c r="S210" t="s">
        <v>320</v>
      </c>
      <c r="T210" s="175">
        <v>3502021</v>
      </c>
      <c r="U210" t="s">
        <v>1100</v>
      </c>
      <c r="V210" t="s">
        <v>1101</v>
      </c>
      <c r="W210" t="s">
        <v>1097</v>
      </c>
      <c r="X210" s="175">
        <v>350202100</v>
      </c>
      <c r="Y210" t="s">
        <v>1102</v>
      </c>
      <c r="Z210" t="s">
        <v>1103</v>
      </c>
      <c r="AA210" t="s">
        <v>36</v>
      </c>
      <c r="AB210">
        <v>180</v>
      </c>
      <c r="AC210" t="s">
        <v>2192</v>
      </c>
      <c r="AD210" t="s">
        <v>2344</v>
      </c>
      <c r="AE210" t="s">
        <v>2187</v>
      </c>
      <c r="AF210" t="s">
        <v>263</v>
      </c>
      <c r="AG210" t="s">
        <v>2329</v>
      </c>
      <c r="AH210" t="s">
        <v>2187</v>
      </c>
      <c r="AI210">
        <v>200</v>
      </c>
      <c r="AJ210">
        <v>200</v>
      </c>
      <c r="AK210">
        <v>200</v>
      </c>
      <c r="AL210">
        <v>200</v>
      </c>
      <c r="AM210" s="176">
        <v>180000000</v>
      </c>
      <c r="AN210" s="176">
        <v>317610000</v>
      </c>
      <c r="AO210" s="176">
        <v>329837985</v>
      </c>
      <c r="AP210" s="176" t="s">
        <v>2782</v>
      </c>
      <c r="AQ210" s="176" t="s">
        <v>2783</v>
      </c>
      <c r="AR210" t="s">
        <v>997</v>
      </c>
      <c r="AS210" s="175">
        <v>6</v>
      </c>
    </row>
    <row r="211" spans="1:45" x14ac:dyDescent="0.25">
      <c r="A211">
        <v>2</v>
      </c>
      <c r="B211" t="s">
        <v>3255</v>
      </c>
      <c r="C211">
        <v>210</v>
      </c>
      <c r="D211" t="s">
        <v>630</v>
      </c>
      <c r="E211" t="s">
        <v>314</v>
      </c>
      <c r="F211" t="s">
        <v>2385</v>
      </c>
      <c r="G211" t="s">
        <v>1040</v>
      </c>
      <c r="H211" t="s">
        <v>1059</v>
      </c>
      <c r="I211" s="182">
        <v>1125</v>
      </c>
      <c r="J211">
        <v>2023</v>
      </c>
      <c r="K211" t="s">
        <v>1041</v>
      </c>
      <c r="L211" t="s">
        <v>1042</v>
      </c>
      <c r="M211" t="s">
        <v>36</v>
      </c>
      <c r="O211" t="s">
        <v>997</v>
      </c>
      <c r="P211">
        <v>35</v>
      </c>
      <c r="Q211" t="s">
        <v>319</v>
      </c>
      <c r="R211" s="175">
        <v>3502</v>
      </c>
      <c r="S211" t="s">
        <v>320</v>
      </c>
      <c r="T211" s="175">
        <v>3502022</v>
      </c>
      <c r="U211" t="s">
        <v>1104</v>
      </c>
      <c r="V211" t="s">
        <v>1105</v>
      </c>
      <c r="W211" t="s">
        <v>324</v>
      </c>
      <c r="X211" s="175">
        <v>350202200</v>
      </c>
      <c r="Y211" t="s">
        <v>1017</v>
      </c>
      <c r="Z211" t="s">
        <v>1106</v>
      </c>
      <c r="AA211" t="s">
        <v>36</v>
      </c>
      <c r="AB211">
        <v>0</v>
      </c>
      <c r="AC211" t="s">
        <v>2185</v>
      </c>
      <c r="AD211" t="s">
        <v>2184</v>
      </c>
      <c r="AE211" t="s">
        <v>2187</v>
      </c>
      <c r="AF211" t="s">
        <v>263</v>
      </c>
      <c r="AG211" t="s">
        <v>2329</v>
      </c>
      <c r="AH211" t="s">
        <v>2187</v>
      </c>
      <c r="AI211">
        <v>4</v>
      </c>
      <c r="AJ211">
        <v>12</v>
      </c>
      <c r="AK211">
        <v>12</v>
      </c>
      <c r="AL211">
        <v>12</v>
      </c>
      <c r="AM211" s="176">
        <v>110000000</v>
      </c>
      <c r="AN211" s="176">
        <v>116457000</v>
      </c>
      <c r="AO211" s="176" t="s">
        <v>2784</v>
      </c>
      <c r="AP211" s="176" t="s">
        <v>2785</v>
      </c>
      <c r="AQ211" s="176" t="s">
        <v>2786</v>
      </c>
      <c r="AR211" t="s">
        <v>997</v>
      </c>
      <c r="AS211" s="175">
        <v>6</v>
      </c>
    </row>
    <row r="212" spans="1:45" x14ac:dyDescent="0.25">
      <c r="A212">
        <v>2</v>
      </c>
      <c r="B212" t="s">
        <v>3255</v>
      </c>
      <c r="C212">
        <v>211</v>
      </c>
      <c r="D212" t="s">
        <v>630</v>
      </c>
      <c r="E212" t="s">
        <v>314</v>
      </c>
      <c r="F212" t="s">
        <v>2385</v>
      </c>
      <c r="G212" t="s">
        <v>1040</v>
      </c>
      <c r="H212" t="s">
        <v>1059</v>
      </c>
      <c r="I212" s="182">
        <v>1125</v>
      </c>
      <c r="J212">
        <v>2023</v>
      </c>
      <c r="K212" t="s">
        <v>1041</v>
      </c>
      <c r="L212" t="s">
        <v>1042</v>
      </c>
      <c r="M212" t="s">
        <v>36</v>
      </c>
      <c r="N212" t="s">
        <v>679</v>
      </c>
      <c r="O212" t="s">
        <v>997</v>
      </c>
      <c r="P212">
        <v>35</v>
      </c>
      <c r="Q212" t="s">
        <v>319</v>
      </c>
      <c r="R212" s="175">
        <v>3502</v>
      </c>
      <c r="S212" t="s">
        <v>320</v>
      </c>
      <c r="T212" s="175" t="s">
        <v>1107</v>
      </c>
      <c r="U212" t="s">
        <v>1108</v>
      </c>
      <c r="V212" t="s">
        <v>1109</v>
      </c>
      <c r="W212" t="s">
        <v>1110</v>
      </c>
      <c r="X212" s="175" t="s">
        <v>1111</v>
      </c>
      <c r="Y212" t="s">
        <v>1112</v>
      </c>
      <c r="Z212" t="s">
        <v>1113</v>
      </c>
      <c r="AA212" t="s">
        <v>36</v>
      </c>
      <c r="AB212">
        <v>0</v>
      </c>
      <c r="AC212" t="s">
        <v>2185</v>
      </c>
      <c r="AD212" t="s">
        <v>2184</v>
      </c>
      <c r="AE212" t="s">
        <v>2187</v>
      </c>
      <c r="AF212" t="s">
        <v>263</v>
      </c>
      <c r="AG212" t="s">
        <v>2329</v>
      </c>
      <c r="AH212" t="s">
        <v>2187</v>
      </c>
      <c r="AI212">
        <v>1</v>
      </c>
      <c r="AJ212">
        <v>1</v>
      </c>
      <c r="AK212">
        <v>1</v>
      </c>
      <c r="AL212">
        <v>1</v>
      </c>
      <c r="AM212" s="176">
        <v>70000000</v>
      </c>
      <c r="AN212" s="176">
        <v>74109000</v>
      </c>
      <c r="AO212" s="176" t="s">
        <v>2787</v>
      </c>
      <c r="AP212" s="176" t="s">
        <v>2788</v>
      </c>
      <c r="AQ212" s="176" t="s">
        <v>2789</v>
      </c>
      <c r="AR212" t="s">
        <v>997</v>
      </c>
      <c r="AS212" s="175">
        <v>6</v>
      </c>
    </row>
    <row r="213" spans="1:45" x14ac:dyDescent="0.25">
      <c r="A213">
        <v>2</v>
      </c>
      <c r="B213" t="s">
        <v>3255</v>
      </c>
      <c r="C213">
        <v>212</v>
      </c>
      <c r="D213" t="s">
        <v>630</v>
      </c>
      <c r="E213" t="s">
        <v>314</v>
      </c>
      <c r="F213" t="s">
        <v>2385</v>
      </c>
      <c r="G213" t="s">
        <v>1040</v>
      </c>
      <c r="H213" t="s">
        <v>1059</v>
      </c>
      <c r="I213" s="182">
        <v>1125</v>
      </c>
      <c r="J213">
        <v>2023</v>
      </c>
      <c r="K213" t="s">
        <v>1041</v>
      </c>
      <c r="L213" t="s">
        <v>1042</v>
      </c>
      <c r="M213" t="s">
        <v>36</v>
      </c>
      <c r="N213" t="s">
        <v>679</v>
      </c>
      <c r="O213" t="s">
        <v>997</v>
      </c>
      <c r="P213">
        <v>35</v>
      </c>
      <c r="Q213" t="s">
        <v>319</v>
      </c>
      <c r="R213" s="175">
        <v>3502</v>
      </c>
      <c r="S213" t="s">
        <v>320</v>
      </c>
      <c r="T213" s="175" t="s">
        <v>1114</v>
      </c>
      <c r="U213" t="s">
        <v>619</v>
      </c>
      <c r="V213" t="s">
        <v>823</v>
      </c>
      <c r="W213" t="s">
        <v>500</v>
      </c>
      <c r="X213" s="175" t="s">
        <v>1115</v>
      </c>
      <c r="Y213" t="s">
        <v>824</v>
      </c>
      <c r="Z213" t="s">
        <v>1116</v>
      </c>
      <c r="AA213" t="s">
        <v>36</v>
      </c>
      <c r="AB213">
        <v>0</v>
      </c>
      <c r="AC213" t="s">
        <v>2185</v>
      </c>
      <c r="AD213" t="s">
        <v>2344</v>
      </c>
      <c r="AE213" t="s">
        <v>2187</v>
      </c>
      <c r="AF213" t="s">
        <v>3121</v>
      </c>
      <c r="AG213" t="s">
        <v>2329</v>
      </c>
      <c r="AH213" t="s">
        <v>2187</v>
      </c>
      <c r="AI213" t="s">
        <v>3202</v>
      </c>
      <c r="AJ213" t="s">
        <v>3203</v>
      </c>
      <c r="AK213">
        <v>0</v>
      </c>
      <c r="AL213">
        <v>0</v>
      </c>
      <c r="AM213" s="176">
        <v>20000000</v>
      </c>
      <c r="AN213" s="176">
        <v>21989199</v>
      </c>
      <c r="AO213" s="176">
        <v>0</v>
      </c>
      <c r="AP213" s="176">
        <v>0</v>
      </c>
      <c r="AQ213" s="176">
        <v>41989199</v>
      </c>
      <c r="AR213" t="s">
        <v>997</v>
      </c>
      <c r="AS213" s="175">
        <v>6</v>
      </c>
    </row>
    <row r="214" spans="1:45" x14ac:dyDescent="0.25">
      <c r="A214">
        <v>2</v>
      </c>
      <c r="B214" t="s">
        <v>3255</v>
      </c>
      <c r="C214">
        <v>213</v>
      </c>
      <c r="D214" t="s">
        <v>630</v>
      </c>
      <c r="E214" t="s">
        <v>314</v>
      </c>
      <c r="F214" t="s">
        <v>2385</v>
      </c>
      <c r="G214" t="s">
        <v>1040</v>
      </c>
      <c r="H214" t="s">
        <v>1059</v>
      </c>
      <c r="I214" s="182">
        <v>1125</v>
      </c>
      <c r="J214">
        <v>2023</v>
      </c>
      <c r="K214" t="s">
        <v>1041</v>
      </c>
      <c r="L214" t="s">
        <v>1042</v>
      </c>
      <c r="M214" t="s">
        <v>36</v>
      </c>
      <c r="N214" t="s">
        <v>679</v>
      </c>
      <c r="O214" t="s">
        <v>997</v>
      </c>
      <c r="P214">
        <v>36</v>
      </c>
      <c r="Q214" t="s">
        <v>1023</v>
      </c>
      <c r="R214" s="175">
        <v>3602</v>
      </c>
      <c r="S214" t="s">
        <v>1024</v>
      </c>
      <c r="T214" s="175">
        <v>3602027</v>
      </c>
      <c r="U214" t="s">
        <v>1117</v>
      </c>
      <c r="V214" t="s">
        <v>1118</v>
      </c>
      <c r="W214" t="s">
        <v>369</v>
      </c>
      <c r="X214" s="175">
        <v>360202700</v>
      </c>
      <c r="Y214" t="s">
        <v>1119</v>
      </c>
      <c r="Z214" t="s">
        <v>1120</v>
      </c>
      <c r="AA214" t="s">
        <v>36</v>
      </c>
      <c r="AB214">
        <v>0</v>
      </c>
      <c r="AC214" t="s">
        <v>2185</v>
      </c>
      <c r="AD214" t="s">
        <v>3123</v>
      </c>
      <c r="AE214" t="s">
        <v>3124</v>
      </c>
      <c r="AF214" t="s">
        <v>3111</v>
      </c>
      <c r="AG214" t="s">
        <v>2188</v>
      </c>
      <c r="AH214" t="s">
        <v>2219</v>
      </c>
      <c r="AI214">
        <v>1</v>
      </c>
      <c r="AJ214">
        <v>1</v>
      </c>
      <c r="AK214">
        <v>1</v>
      </c>
      <c r="AL214">
        <v>1</v>
      </c>
      <c r="AM214" s="176">
        <v>150000000</v>
      </c>
      <c r="AN214" s="176">
        <v>168566900</v>
      </c>
      <c r="AO214" s="176" t="s">
        <v>2790</v>
      </c>
      <c r="AP214" s="176" t="s">
        <v>2791</v>
      </c>
      <c r="AQ214" s="176" t="s">
        <v>2792</v>
      </c>
      <c r="AR214" t="s">
        <v>997</v>
      </c>
      <c r="AS214" s="175">
        <v>6</v>
      </c>
    </row>
    <row r="215" spans="1:45" x14ac:dyDescent="0.25">
      <c r="A215">
        <v>2</v>
      </c>
      <c r="B215" t="s">
        <v>3255</v>
      </c>
      <c r="C215">
        <v>214</v>
      </c>
      <c r="D215" t="s">
        <v>630</v>
      </c>
      <c r="E215" t="s">
        <v>314</v>
      </c>
      <c r="F215" t="s">
        <v>2385</v>
      </c>
      <c r="G215" t="s">
        <v>1040</v>
      </c>
      <c r="H215" t="s">
        <v>1059</v>
      </c>
      <c r="I215" s="182">
        <v>1125</v>
      </c>
      <c r="J215">
        <v>2023</v>
      </c>
      <c r="K215" t="s">
        <v>1041</v>
      </c>
      <c r="L215" t="s">
        <v>1042</v>
      </c>
      <c r="M215" t="s">
        <v>36</v>
      </c>
      <c r="N215" t="s">
        <v>679</v>
      </c>
      <c r="O215" t="s">
        <v>997</v>
      </c>
      <c r="P215">
        <v>36</v>
      </c>
      <c r="Q215" t="s">
        <v>1023</v>
      </c>
      <c r="R215" s="175">
        <v>3602</v>
      </c>
      <c r="S215" t="s">
        <v>1024</v>
      </c>
      <c r="T215" s="175">
        <v>3602003</v>
      </c>
      <c r="U215" t="s">
        <v>1121</v>
      </c>
      <c r="V215" t="s">
        <v>1122</v>
      </c>
      <c r="W215" t="s">
        <v>1123</v>
      </c>
      <c r="X215" s="175">
        <v>360200300</v>
      </c>
      <c r="Y215" t="s">
        <v>1124</v>
      </c>
      <c r="Z215" t="s">
        <v>1125</v>
      </c>
      <c r="AA215" t="s">
        <v>36</v>
      </c>
      <c r="AB215">
        <v>1838</v>
      </c>
      <c r="AC215" t="s">
        <v>2185</v>
      </c>
      <c r="AD215" t="s">
        <v>3125</v>
      </c>
      <c r="AE215" t="s">
        <v>3126</v>
      </c>
      <c r="AF215" t="s">
        <v>263</v>
      </c>
      <c r="AG215" t="s">
        <v>2335</v>
      </c>
      <c r="AH215" t="s">
        <v>2187</v>
      </c>
      <c r="AI215">
        <v>50</v>
      </c>
      <c r="AJ215">
        <v>650</v>
      </c>
      <c r="AK215">
        <v>600</v>
      </c>
      <c r="AL215">
        <v>300</v>
      </c>
      <c r="AM215" s="176">
        <v>1879551230</v>
      </c>
      <c r="AN215" s="176">
        <v>2944750000</v>
      </c>
      <c r="AO215" s="176">
        <v>2981122875</v>
      </c>
      <c r="AP215" s="176" t="s">
        <v>2793</v>
      </c>
      <c r="AQ215" s="176" t="s">
        <v>2794</v>
      </c>
      <c r="AR215" t="s">
        <v>997</v>
      </c>
      <c r="AS215" s="175">
        <v>6</v>
      </c>
    </row>
    <row r="216" spans="1:45" x14ac:dyDescent="0.25">
      <c r="A216">
        <v>2</v>
      </c>
      <c r="B216" t="s">
        <v>3255</v>
      </c>
      <c r="C216">
        <v>215</v>
      </c>
      <c r="D216" t="s">
        <v>630</v>
      </c>
      <c r="E216" t="s">
        <v>314</v>
      </c>
      <c r="F216" t="s">
        <v>2385</v>
      </c>
      <c r="G216" t="s">
        <v>1040</v>
      </c>
      <c r="H216" t="s">
        <v>1059</v>
      </c>
      <c r="I216" s="182">
        <v>1125</v>
      </c>
      <c r="J216">
        <v>2023</v>
      </c>
      <c r="K216" t="s">
        <v>1041</v>
      </c>
      <c r="L216" t="s">
        <v>1042</v>
      </c>
      <c r="M216" t="s">
        <v>36</v>
      </c>
      <c r="O216" t="s">
        <v>997</v>
      </c>
      <c r="P216">
        <v>21</v>
      </c>
      <c r="Q216" t="s">
        <v>1316</v>
      </c>
      <c r="R216" s="175">
        <v>2104</v>
      </c>
      <c r="S216" t="s">
        <v>1035</v>
      </c>
      <c r="T216" s="175">
        <v>2104012</v>
      </c>
      <c r="U216" t="s">
        <v>1126</v>
      </c>
      <c r="V216" t="s">
        <v>1127</v>
      </c>
      <c r="W216" t="s">
        <v>1128</v>
      </c>
      <c r="X216" s="175">
        <v>210401200</v>
      </c>
      <c r="Y216" t="s">
        <v>1129</v>
      </c>
      <c r="Z216" t="s">
        <v>1130</v>
      </c>
      <c r="AA216" t="s">
        <v>36</v>
      </c>
      <c r="AB216">
        <v>0</v>
      </c>
      <c r="AC216" t="s">
        <v>2185</v>
      </c>
      <c r="AD216" t="s">
        <v>3114</v>
      </c>
      <c r="AE216" t="s">
        <v>2187</v>
      </c>
      <c r="AF216" t="s">
        <v>999</v>
      </c>
      <c r="AG216" t="s">
        <v>2329</v>
      </c>
      <c r="AH216" t="s">
        <v>2187</v>
      </c>
      <c r="AI216">
        <v>4</v>
      </c>
      <c r="AJ216">
        <v>12</v>
      </c>
      <c r="AK216">
        <v>12</v>
      </c>
      <c r="AL216">
        <v>12</v>
      </c>
      <c r="AM216" s="176">
        <v>28700000</v>
      </c>
      <c r="AN216" s="176">
        <v>60769380</v>
      </c>
      <c r="AO216" s="176">
        <v>63109001</v>
      </c>
      <c r="AP216" s="176">
        <v>65538698</v>
      </c>
      <c r="AQ216" s="176">
        <v>218117079</v>
      </c>
      <c r="AR216" t="s">
        <v>997</v>
      </c>
      <c r="AS216" s="175">
        <v>6</v>
      </c>
    </row>
    <row r="217" spans="1:45" x14ac:dyDescent="0.25">
      <c r="A217">
        <v>2</v>
      </c>
      <c r="B217" t="s">
        <v>3255</v>
      </c>
      <c r="C217">
        <v>216</v>
      </c>
      <c r="D217" t="s">
        <v>630</v>
      </c>
      <c r="E217" t="s">
        <v>314</v>
      </c>
      <c r="F217" t="s">
        <v>2385</v>
      </c>
      <c r="G217" t="s">
        <v>1040</v>
      </c>
      <c r="H217" t="s">
        <v>1059</v>
      </c>
      <c r="I217" s="182">
        <v>1125</v>
      </c>
      <c r="J217">
        <v>2023</v>
      </c>
      <c r="K217" t="s">
        <v>1041</v>
      </c>
      <c r="L217" t="s">
        <v>1042</v>
      </c>
      <c r="M217" t="s">
        <v>36</v>
      </c>
      <c r="O217" t="s">
        <v>997</v>
      </c>
      <c r="P217">
        <v>21</v>
      </c>
      <c r="Q217" t="s">
        <v>1316</v>
      </c>
      <c r="R217" s="175">
        <v>2104</v>
      </c>
      <c r="S217" t="s">
        <v>1035</v>
      </c>
      <c r="T217" s="175">
        <v>2104018</v>
      </c>
      <c r="U217" t="s">
        <v>1131</v>
      </c>
      <c r="V217" t="s">
        <v>1132</v>
      </c>
      <c r="W217" t="s">
        <v>1133</v>
      </c>
      <c r="X217" s="175">
        <v>210401800</v>
      </c>
      <c r="Y217" t="s">
        <v>1134</v>
      </c>
      <c r="Z217" t="s">
        <v>1135</v>
      </c>
      <c r="AA217" t="s">
        <v>36</v>
      </c>
      <c r="AB217">
        <v>0</v>
      </c>
      <c r="AC217" t="s">
        <v>2336</v>
      </c>
      <c r="AD217" t="s">
        <v>3114</v>
      </c>
      <c r="AE217" t="s">
        <v>2187</v>
      </c>
      <c r="AF217" t="s">
        <v>999</v>
      </c>
      <c r="AG217" t="s">
        <v>2329</v>
      </c>
      <c r="AH217" t="s">
        <v>2187</v>
      </c>
      <c r="AI217">
        <v>4</v>
      </c>
      <c r="AJ217">
        <v>12</v>
      </c>
      <c r="AK217">
        <v>12</v>
      </c>
      <c r="AL217">
        <v>12</v>
      </c>
      <c r="AM217" s="176">
        <v>107600000</v>
      </c>
      <c r="AN217" s="176">
        <v>327832240</v>
      </c>
      <c r="AO217" s="176">
        <v>236603781</v>
      </c>
      <c r="AP217" s="176">
        <v>245713027</v>
      </c>
      <c r="AQ217" s="176">
        <v>917749048</v>
      </c>
      <c r="AR217" t="s">
        <v>997</v>
      </c>
      <c r="AS217" s="175">
        <v>6</v>
      </c>
    </row>
    <row r="218" spans="1:45" x14ac:dyDescent="0.25">
      <c r="A218">
        <v>2</v>
      </c>
      <c r="B218" t="s">
        <v>3255</v>
      </c>
      <c r="C218">
        <v>217</v>
      </c>
      <c r="D218" t="s">
        <v>630</v>
      </c>
      <c r="E218" t="s">
        <v>314</v>
      </c>
      <c r="F218" t="s">
        <v>2385</v>
      </c>
      <c r="G218" t="s">
        <v>1040</v>
      </c>
      <c r="H218" t="s">
        <v>1059</v>
      </c>
      <c r="I218" s="182">
        <v>1125</v>
      </c>
      <c r="J218">
        <v>2023</v>
      </c>
      <c r="K218" t="s">
        <v>1041</v>
      </c>
      <c r="L218" t="s">
        <v>1042</v>
      </c>
      <c r="M218" t="s">
        <v>36</v>
      </c>
      <c r="O218" t="s">
        <v>997</v>
      </c>
      <c r="P218">
        <v>21</v>
      </c>
      <c r="Q218" t="s">
        <v>1316</v>
      </c>
      <c r="R218" s="175">
        <v>2104</v>
      </c>
      <c r="S218" t="s">
        <v>1035</v>
      </c>
      <c r="T218" s="175">
        <v>2104022</v>
      </c>
      <c r="U218" t="s">
        <v>1136</v>
      </c>
      <c r="V218" t="s">
        <v>1137</v>
      </c>
      <c r="W218" t="s">
        <v>203</v>
      </c>
      <c r="X218" s="175">
        <v>210402200</v>
      </c>
      <c r="Y218" t="s">
        <v>275</v>
      </c>
      <c r="Z218" t="s">
        <v>1138</v>
      </c>
      <c r="AA218" t="s">
        <v>36</v>
      </c>
      <c r="AB218">
        <v>0</v>
      </c>
      <c r="AC218" t="s">
        <v>2336</v>
      </c>
      <c r="AD218" t="s">
        <v>3114</v>
      </c>
      <c r="AE218" t="s">
        <v>2187</v>
      </c>
      <c r="AF218" t="s">
        <v>999</v>
      </c>
      <c r="AG218" t="s">
        <v>2329</v>
      </c>
      <c r="AH218" t="s">
        <v>2187</v>
      </c>
      <c r="AI218">
        <v>0</v>
      </c>
      <c r="AJ218">
        <v>30</v>
      </c>
      <c r="AK218">
        <v>70</v>
      </c>
      <c r="AL218">
        <v>0</v>
      </c>
      <c r="AM218" s="176">
        <v>0</v>
      </c>
      <c r="AN218" s="176">
        <v>1000000000</v>
      </c>
      <c r="AO218" s="176">
        <v>2335402610</v>
      </c>
      <c r="AP218" s="176">
        <v>0</v>
      </c>
      <c r="AQ218" s="176">
        <v>3335402610</v>
      </c>
      <c r="AR218" t="s">
        <v>997</v>
      </c>
      <c r="AS218" s="175">
        <v>6</v>
      </c>
    </row>
    <row r="219" spans="1:45" x14ac:dyDescent="0.25">
      <c r="A219">
        <v>2</v>
      </c>
      <c r="B219" t="s">
        <v>3255</v>
      </c>
      <c r="C219">
        <v>218</v>
      </c>
      <c r="D219" t="s">
        <v>630</v>
      </c>
      <c r="E219" t="s">
        <v>314</v>
      </c>
      <c r="F219" t="s">
        <v>2385</v>
      </c>
      <c r="G219" t="s">
        <v>1040</v>
      </c>
      <c r="H219" t="s">
        <v>1059</v>
      </c>
      <c r="I219" s="182">
        <v>1125</v>
      </c>
      <c r="J219">
        <v>2023</v>
      </c>
      <c r="K219" t="s">
        <v>1041</v>
      </c>
      <c r="L219" t="s">
        <v>1042</v>
      </c>
      <c r="M219" t="s">
        <v>36</v>
      </c>
      <c r="O219" t="s">
        <v>997</v>
      </c>
      <c r="P219">
        <v>21</v>
      </c>
      <c r="Q219" t="s">
        <v>1316</v>
      </c>
      <c r="R219" s="175">
        <v>2104</v>
      </c>
      <c r="S219" t="s">
        <v>1035</v>
      </c>
      <c r="T219" s="175">
        <v>2104027</v>
      </c>
      <c r="U219" t="s">
        <v>1139</v>
      </c>
      <c r="V219" t="s">
        <v>1140</v>
      </c>
      <c r="W219" t="s">
        <v>839</v>
      </c>
      <c r="X219" s="175">
        <v>210402700</v>
      </c>
      <c r="Y219" t="s">
        <v>1141</v>
      </c>
      <c r="Z219" t="s">
        <v>1142</v>
      </c>
      <c r="AA219" t="s">
        <v>36</v>
      </c>
      <c r="AB219">
        <v>0</v>
      </c>
      <c r="AC219" t="s">
        <v>2336</v>
      </c>
      <c r="AD219" t="s">
        <v>3114</v>
      </c>
      <c r="AE219" t="s">
        <v>2187</v>
      </c>
      <c r="AF219" t="s">
        <v>999</v>
      </c>
      <c r="AG219" t="s">
        <v>2329</v>
      </c>
      <c r="AH219" t="s">
        <v>2187</v>
      </c>
      <c r="AI219">
        <v>2</v>
      </c>
      <c r="AJ219">
        <v>6</v>
      </c>
      <c r="AK219">
        <v>6</v>
      </c>
      <c r="AL219">
        <v>6</v>
      </c>
      <c r="AM219" s="176">
        <v>76000000</v>
      </c>
      <c r="AN219" s="176">
        <v>80461200</v>
      </c>
      <c r="AO219" s="176" t="s">
        <v>2795</v>
      </c>
      <c r="AP219" s="176" t="s">
        <v>2796</v>
      </c>
      <c r="AQ219" s="176" t="s">
        <v>2797</v>
      </c>
      <c r="AR219" t="s">
        <v>997</v>
      </c>
      <c r="AS219" s="175">
        <v>6</v>
      </c>
    </row>
    <row r="220" spans="1:45" x14ac:dyDescent="0.25">
      <c r="A220">
        <v>2</v>
      </c>
      <c r="B220" t="s">
        <v>3255</v>
      </c>
      <c r="C220">
        <v>219</v>
      </c>
      <c r="D220" t="s">
        <v>630</v>
      </c>
      <c r="E220" t="s">
        <v>314</v>
      </c>
      <c r="F220" t="s">
        <v>2385</v>
      </c>
      <c r="G220" t="s">
        <v>1040</v>
      </c>
      <c r="H220" t="s">
        <v>1059</v>
      </c>
      <c r="I220" s="182">
        <v>1125</v>
      </c>
      <c r="J220">
        <v>2023</v>
      </c>
      <c r="K220" t="s">
        <v>1041</v>
      </c>
      <c r="L220" t="s">
        <v>1042</v>
      </c>
      <c r="M220" t="s">
        <v>36</v>
      </c>
      <c r="N220" t="s">
        <v>679</v>
      </c>
      <c r="O220" t="s">
        <v>997</v>
      </c>
      <c r="P220">
        <v>45</v>
      </c>
      <c r="Q220" t="s">
        <v>786</v>
      </c>
      <c r="R220" s="175">
        <v>4599</v>
      </c>
      <c r="S220" t="s">
        <v>1143</v>
      </c>
      <c r="T220" s="175">
        <v>4599025</v>
      </c>
      <c r="U220" t="s">
        <v>1144</v>
      </c>
      <c r="V220" t="s">
        <v>1145</v>
      </c>
      <c r="W220" t="s">
        <v>301</v>
      </c>
      <c r="X220" s="175">
        <v>459902500</v>
      </c>
      <c r="Y220" t="s">
        <v>1146</v>
      </c>
      <c r="Z220" t="s">
        <v>3127</v>
      </c>
      <c r="AA220" t="s">
        <v>36</v>
      </c>
      <c r="AB220">
        <v>0</v>
      </c>
      <c r="AC220" t="s">
        <v>2185</v>
      </c>
      <c r="AD220" t="s">
        <v>2184</v>
      </c>
      <c r="AE220" t="s">
        <v>2187</v>
      </c>
      <c r="AF220" t="s">
        <v>263</v>
      </c>
      <c r="AG220" t="s">
        <v>2219</v>
      </c>
      <c r="AH220" t="s">
        <v>2188</v>
      </c>
      <c r="AI220">
        <v>0</v>
      </c>
      <c r="AJ220" t="s">
        <v>3199</v>
      </c>
      <c r="AK220" t="s">
        <v>3204</v>
      </c>
      <c r="AL220" t="s">
        <v>3204</v>
      </c>
      <c r="AM220" s="176">
        <v>0</v>
      </c>
      <c r="AN220" s="176">
        <v>55000000</v>
      </c>
      <c r="AO220" s="176">
        <v>57117500</v>
      </c>
      <c r="AP220" s="176" t="s">
        <v>2798</v>
      </c>
      <c r="AQ220" s="176" t="s">
        <v>2799</v>
      </c>
      <c r="AR220" t="s">
        <v>997</v>
      </c>
      <c r="AS220" s="175">
        <v>6</v>
      </c>
    </row>
    <row r="221" spans="1:45" x14ac:dyDescent="0.25">
      <c r="A221">
        <v>2</v>
      </c>
      <c r="B221" t="s">
        <v>3255</v>
      </c>
      <c r="C221">
        <v>220</v>
      </c>
      <c r="D221" t="s">
        <v>630</v>
      </c>
      <c r="E221" t="s">
        <v>314</v>
      </c>
      <c r="F221" t="s">
        <v>2385</v>
      </c>
      <c r="G221" t="s">
        <v>1040</v>
      </c>
      <c r="H221" t="s">
        <v>1059</v>
      </c>
      <c r="I221" s="182">
        <v>1125</v>
      </c>
      <c r="J221">
        <v>2023</v>
      </c>
      <c r="K221" t="s">
        <v>1041</v>
      </c>
      <c r="L221" t="s">
        <v>1042</v>
      </c>
      <c r="M221" t="s">
        <v>36</v>
      </c>
      <c r="O221" t="s">
        <v>997</v>
      </c>
      <c r="P221">
        <v>35</v>
      </c>
      <c r="Q221" t="s">
        <v>319</v>
      </c>
      <c r="R221" s="175">
        <v>3502</v>
      </c>
      <c r="S221" t="s">
        <v>320</v>
      </c>
      <c r="T221" s="175">
        <v>3502112</v>
      </c>
      <c r="U221" t="s">
        <v>1147</v>
      </c>
      <c r="V221" t="s">
        <v>1148</v>
      </c>
      <c r="W221" t="s">
        <v>500</v>
      </c>
      <c r="X221" s="175">
        <v>350211200</v>
      </c>
      <c r="Y221" t="s">
        <v>1149</v>
      </c>
      <c r="Z221" t="s">
        <v>3128</v>
      </c>
      <c r="AA221" t="s">
        <v>36</v>
      </c>
      <c r="AB221">
        <v>2</v>
      </c>
      <c r="AC221" t="s">
        <v>2185</v>
      </c>
      <c r="AD221" t="s">
        <v>2184</v>
      </c>
      <c r="AE221" t="s">
        <v>2187</v>
      </c>
      <c r="AF221" t="s">
        <v>3121</v>
      </c>
      <c r="AG221" t="s">
        <v>2219</v>
      </c>
      <c r="AH221" t="s">
        <v>2188</v>
      </c>
      <c r="AI221">
        <v>3</v>
      </c>
      <c r="AJ221">
        <v>8</v>
      </c>
      <c r="AK221">
        <v>4</v>
      </c>
      <c r="AL221">
        <v>3</v>
      </c>
      <c r="AM221" s="176">
        <v>80000000</v>
      </c>
      <c r="AN221" s="176">
        <v>84696000</v>
      </c>
      <c r="AO221" s="176">
        <v>87956796</v>
      </c>
      <c r="AP221" s="176" t="s">
        <v>2778</v>
      </c>
      <c r="AQ221" s="176" t="s">
        <v>2779</v>
      </c>
      <c r="AR221" t="s">
        <v>997</v>
      </c>
      <c r="AS221" s="175">
        <v>6</v>
      </c>
    </row>
    <row r="222" spans="1:45" x14ac:dyDescent="0.25">
      <c r="A222">
        <v>2</v>
      </c>
      <c r="B222" t="s">
        <v>3255</v>
      </c>
      <c r="C222">
        <v>221</v>
      </c>
      <c r="D222" t="s">
        <v>630</v>
      </c>
      <c r="E222" t="s">
        <v>314</v>
      </c>
      <c r="F222" t="s">
        <v>2385</v>
      </c>
      <c r="G222" t="s">
        <v>1152</v>
      </c>
      <c r="H222" t="s">
        <v>1153</v>
      </c>
      <c r="I222" s="180">
        <v>4.07E-2</v>
      </c>
      <c r="J222">
        <v>2023</v>
      </c>
      <c r="K222" t="s">
        <v>3129</v>
      </c>
      <c r="L222" t="s">
        <v>1155</v>
      </c>
      <c r="M222" t="s">
        <v>25</v>
      </c>
      <c r="N222" t="s">
        <v>27</v>
      </c>
      <c r="O222" t="s">
        <v>1156</v>
      </c>
      <c r="P222">
        <v>40</v>
      </c>
      <c r="Q222" t="s">
        <v>1923</v>
      </c>
      <c r="R222" s="175" t="s">
        <v>1158</v>
      </c>
      <c r="S222" t="s">
        <v>1159</v>
      </c>
      <c r="T222" s="175" t="s">
        <v>1160</v>
      </c>
      <c r="U222" t="s">
        <v>1161</v>
      </c>
      <c r="V222" t="s">
        <v>1162</v>
      </c>
      <c r="W222" t="s">
        <v>1163</v>
      </c>
      <c r="X222" s="175" t="s">
        <v>1164</v>
      </c>
      <c r="Y222" t="s">
        <v>1161</v>
      </c>
      <c r="Z222" t="s">
        <v>1165</v>
      </c>
      <c r="AA222" t="s">
        <v>36</v>
      </c>
      <c r="AB222">
        <v>426</v>
      </c>
      <c r="AC222" t="s">
        <v>2185</v>
      </c>
      <c r="AD222" t="s">
        <v>2322</v>
      </c>
      <c r="AE222" t="s">
        <v>3130</v>
      </c>
      <c r="AF222" t="s">
        <v>2324</v>
      </c>
      <c r="AG222" t="s">
        <v>2188</v>
      </c>
      <c r="AH222" t="s">
        <v>2191</v>
      </c>
      <c r="AI222">
        <v>0</v>
      </c>
      <c r="AJ222">
        <v>362</v>
      </c>
      <c r="AK222">
        <v>399</v>
      </c>
      <c r="AL222">
        <v>439</v>
      </c>
      <c r="AM222" s="176">
        <v>0</v>
      </c>
      <c r="AN222" s="176">
        <v>51480000000</v>
      </c>
      <c r="AO222" s="176">
        <v>56628000000</v>
      </c>
      <c r="AP222" s="176">
        <v>62291000000</v>
      </c>
      <c r="AQ222" s="176">
        <v>170399000000</v>
      </c>
      <c r="AR222" t="s">
        <v>1156</v>
      </c>
      <c r="AS222" s="175">
        <v>10</v>
      </c>
    </row>
    <row r="223" spans="1:45" x14ac:dyDescent="0.25">
      <c r="A223">
        <v>2</v>
      </c>
      <c r="B223" t="s">
        <v>3255</v>
      </c>
      <c r="C223">
        <v>222</v>
      </c>
      <c r="D223" t="s">
        <v>630</v>
      </c>
      <c r="E223" t="s">
        <v>314</v>
      </c>
      <c r="F223" t="s">
        <v>2385</v>
      </c>
      <c r="G223" t="s">
        <v>1166</v>
      </c>
      <c r="H223" t="s">
        <v>1167</v>
      </c>
      <c r="I223" s="180">
        <v>0.1656</v>
      </c>
      <c r="J223">
        <v>2023</v>
      </c>
      <c r="K223" t="s">
        <v>3129</v>
      </c>
      <c r="L223" t="s">
        <v>1168</v>
      </c>
      <c r="M223" t="s">
        <v>25</v>
      </c>
      <c r="N223" t="s">
        <v>27</v>
      </c>
      <c r="O223" t="s">
        <v>1156</v>
      </c>
      <c r="P223">
        <v>40</v>
      </c>
      <c r="Q223" t="s">
        <v>1923</v>
      </c>
      <c r="R223" s="175" t="s">
        <v>1158</v>
      </c>
      <c r="S223" t="s">
        <v>1159</v>
      </c>
      <c r="T223" s="175" t="s">
        <v>1169</v>
      </c>
      <c r="U223" t="s">
        <v>1170</v>
      </c>
      <c r="V223" t="s">
        <v>1171</v>
      </c>
      <c r="W223" t="s">
        <v>1163</v>
      </c>
      <c r="X223" s="175" t="s">
        <v>1172</v>
      </c>
      <c r="Y223" t="s">
        <v>1173</v>
      </c>
      <c r="Z223" t="s">
        <v>2091</v>
      </c>
      <c r="AA223" t="s">
        <v>36</v>
      </c>
      <c r="AB223">
        <v>456.221</v>
      </c>
      <c r="AC223" t="s">
        <v>2185</v>
      </c>
      <c r="AD223" t="s">
        <v>2322</v>
      </c>
      <c r="AE223" t="s">
        <v>3130</v>
      </c>
      <c r="AF223" t="s">
        <v>2324</v>
      </c>
      <c r="AG223" t="s">
        <v>2188</v>
      </c>
      <c r="AH223" t="s">
        <v>2191</v>
      </c>
      <c r="AI223">
        <v>67</v>
      </c>
      <c r="AJ223">
        <v>74</v>
      </c>
      <c r="AK223">
        <v>81</v>
      </c>
      <c r="AL223">
        <v>78</v>
      </c>
      <c r="AM223" s="176">
        <v>2479220945</v>
      </c>
      <c r="AN223" s="176">
        <v>2724831398</v>
      </c>
      <c r="AO223" s="176">
        <v>2971881354</v>
      </c>
      <c r="AP223" s="176">
        <v>2882997013</v>
      </c>
      <c r="AQ223" s="176">
        <v>11058930710</v>
      </c>
      <c r="AR223" t="s">
        <v>1156</v>
      </c>
      <c r="AS223" s="175">
        <v>10</v>
      </c>
    </row>
    <row r="224" spans="1:45" x14ac:dyDescent="0.25">
      <c r="A224">
        <v>2</v>
      </c>
      <c r="B224" t="s">
        <v>3255</v>
      </c>
      <c r="C224">
        <v>223</v>
      </c>
      <c r="D224" t="s">
        <v>630</v>
      </c>
      <c r="E224" t="s">
        <v>314</v>
      </c>
      <c r="F224" t="s">
        <v>2385</v>
      </c>
      <c r="G224" t="s">
        <v>1174</v>
      </c>
      <c r="H224" t="s">
        <v>1175</v>
      </c>
      <c r="I224" s="180">
        <v>0.40839999999999999</v>
      </c>
      <c r="J224">
        <v>2023</v>
      </c>
      <c r="K224" t="s">
        <v>1176</v>
      </c>
      <c r="L224" t="s">
        <v>1177</v>
      </c>
      <c r="M224" t="s">
        <v>25</v>
      </c>
      <c r="N224" t="s">
        <v>1178</v>
      </c>
      <c r="O224" t="s">
        <v>1156</v>
      </c>
      <c r="P224">
        <v>24</v>
      </c>
      <c r="Q224" t="s">
        <v>1179</v>
      </c>
      <c r="R224" s="175">
        <v>2401</v>
      </c>
      <c r="S224" t="s">
        <v>1180</v>
      </c>
      <c r="T224" s="175" t="s">
        <v>1181</v>
      </c>
      <c r="U224" t="s">
        <v>1182</v>
      </c>
      <c r="V224" t="s">
        <v>1183</v>
      </c>
      <c r="W224" t="s">
        <v>1184</v>
      </c>
      <c r="X224" s="175" t="s">
        <v>1185</v>
      </c>
      <c r="Y224" t="s">
        <v>1186</v>
      </c>
      <c r="Z224" t="s">
        <v>1187</v>
      </c>
      <c r="AA224" t="s">
        <v>1188</v>
      </c>
      <c r="AB224">
        <v>0</v>
      </c>
      <c r="AC224" t="s">
        <v>2185</v>
      </c>
      <c r="AD224" t="s">
        <v>2322</v>
      </c>
      <c r="AE224" t="s">
        <v>3130</v>
      </c>
      <c r="AF224" t="s">
        <v>2374</v>
      </c>
      <c r="AG224" t="s">
        <v>2191</v>
      </c>
      <c r="AH224" t="s">
        <v>2188</v>
      </c>
      <c r="AI224">
        <v>1</v>
      </c>
      <c r="AJ224">
        <v>3</v>
      </c>
      <c r="AK224">
        <v>3</v>
      </c>
      <c r="AL224">
        <v>3</v>
      </c>
      <c r="AM224" s="176">
        <v>10000000000</v>
      </c>
      <c r="AN224" s="176">
        <v>30000000000</v>
      </c>
      <c r="AO224" s="176">
        <v>30000000000</v>
      </c>
      <c r="AP224" s="176">
        <v>30000000000</v>
      </c>
      <c r="AQ224" s="176">
        <v>100000000000</v>
      </c>
      <c r="AR224" t="s">
        <v>1156</v>
      </c>
      <c r="AS224" s="175">
        <v>10</v>
      </c>
    </row>
    <row r="225" spans="1:45" x14ac:dyDescent="0.25">
      <c r="A225">
        <v>2</v>
      </c>
      <c r="B225" t="s">
        <v>3255</v>
      </c>
      <c r="C225">
        <v>224</v>
      </c>
      <c r="D225" t="s">
        <v>630</v>
      </c>
      <c r="E225" t="s">
        <v>314</v>
      </c>
      <c r="F225" t="s">
        <v>2385</v>
      </c>
      <c r="G225" t="s">
        <v>1174</v>
      </c>
      <c r="H225" t="s">
        <v>1175</v>
      </c>
      <c r="I225" s="180">
        <v>0.40839999999999999</v>
      </c>
      <c r="J225">
        <v>2023</v>
      </c>
      <c r="K225" t="s">
        <v>1176</v>
      </c>
      <c r="L225" t="s">
        <v>1177</v>
      </c>
      <c r="M225" t="s">
        <v>25</v>
      </c>
      <c r="N225" t="s">
        <v>1178</v>
      </c>
      <c r="O225" t="s">
        <v>1156</v>
      </c>
      <c r="P225">
        <v>24</v>
      </c>
      <c r="Q225" t="s">
        <v>1179</v>
      </c>
      <c r="R225" s="175" t="s">
        <v>1189</v>
      </c>
      <c r="S225" t="s">
        <v>1190</v>
      </c>
      <c r="T225" s="175" t="s">
        <v>1191</v>
      </c>
      <c r="U225" t="s">
        <v>1192</v>
      </c>
      <c r="V225" t="s">
        <v>1193</v>
      </c>
      <c r="W225" t="s">
        <v>1194</v>
      </c>
      <c r="X225" s="175" t="s">
        <v>1195</v>
      </c>
      <c r="Y225" t="s">
        <v>1196</v>
      </c>
      <c r="Z225" t="s">
        <v>1197</v>
      </c>
      <c r="AA225" t="s">
        <v>1188</v>
      </c>
      <c r="AB225">
        <v>0</v>
      </c>
      <c r="AC225" t="s">
        <v>2185</v>
      </c>
      <c r="AD225" t="s">
        <v>2322</v>
      </c>
      <c r="AE225" t="s">
        <v>3130</v>
      </c>
      <c r="AF225" t="s">
        <v>2374</v>
      </c>
      <c r="AG225" t="s">
        <v>2191</v>
      </c>
      <c r="AH225" t="s">
        <v>2188</v>
      </c>
      <c r="AI225">
        <v>0</v>
      </c>
      <c r="AJ225">
        <v>12</v>
      </c>
      <c r="AK225">
        <v>8</v>
      </c>
      <c r="AL225">
        <v>0</v>
      </c>
      <c r="AM225" s="176">
        <v>0</v>
      </c>
      <c r="AN225" s="176">
        <v>69600000000</v>
      </c>
      <c r="AO225" s="176">
        <v>50400000000</v>
      </c>
      <c r="AP225" s="176">
        <v>0</v>
      </c>
      <c r="AQ225" s="176">
        <v>120000000000</v>
      </c>
      <c r="AR225" t="s">
        <v>1156</v>
      </c>
      <c r="AS225" s="175">
        <v>10</v>
      </c>
    </row>
    <row r="226" spans="1:45" x14ac:dyDescent="0.25">
      <c r="A226">
        <v>2</v>
      </c>
      <c r="B226" t="s">
        <v>3254</v>
      </c>
      <c r="C226">
        <v>225</v>
      </c>
      <c r="D226" t="s">
        <v>630</v>
      </c>
      <c r="E226" t="s">
        <v>314</v>
      </c>
      <c r="F226" t="s">
        <v>2385</v>
      </c>
      <c r="G226" t="s">
        <v>1174</v>
      </c>
      <c r="H226" t="s">
        <v>1175</v>
      </c>
      <c r="I226" s="180">
        <v>0.40839999999999999</v>
      </c>
      <c r="J226">
        <v>2023</v>
      </c>
      <c r="K226" t="s">
        <v>1176</v>
      </c>
      <c r="L226" t="s">
        <v>1177</v>
      </c>
      <c r="M226" t="s">
        <v>25</v>
      </c>
      <c r="N226" t="s">
        <v>1178</v>
      </c>
      <c r="O226" t="s">
        <v>1156</v>
      </c>
      <c r="P226">
        <v>24</v>
      </c>
      <c r="Q226" t="s">
        <v>1179</v>
      </c>
      <c r="R226" s="175" t="s">
        <v>1189</v>
      </c>
      <c r="S226" t="s">
        <v>1190</v>
      </c>
      <c r="T226" s="175" t="s">
        <v>1198</v>
      </c>
      <c r="U226" t="s">
        <v>1199</v>
      </c>
      <c r="V226" t="s">
        <v>1200</v>
      </c>
      <c r="W226" t="s">
        <v>1194</v>
      </c>
      <c r="X226" s="175" t="s">
        <v>1201</v>
      </c>
      <c r="Y226" t="s">
        <v>1199</v>
      </c>
      <c r="Z226" t="s">
        <v>2092</v>
      </c>
      <c r="AA226" t="s">
        <v>1188</v>
      </c>
      <c r="AB226">
        <v>35.36</v>
      </c>
      <c r="AC226" t="s">
        <v>2185</v>
      </c>
      <c r="AD226" t="s">
        <v>2322</v>
      </c>
      <c r="AE226" t="s">
        <v>3130</v>
      </c>
      <c r="AF226" t="s">
        <v>2374</v>
      </c>
      <c r="AG226" t="s">
        <v>2191</v>
      </c>
      <c r="AH226" t="s">
        <v>2188</v>
      </c>
      <c r="AI226">
        <v>0</v>
      </c>
      <c r="AJ226" t="s">
        <v>3224</v>
      </c>
      <c r="AK226">
        <v>0</v>
      </c>
      <c r="AL226">
        <v>0</v>
      </c>
      <c r="AM226" s="176">
        <v>0</v>
      </c>
      <c r="AN226" s="176">
        <v>32975655588</v>
      </c>
      <c r="AO226" s="176">
        <v>0</v>
      </c>
      <c r="AP226" s="176">
        <v>0</v>
      </c>
      <c r="AQ226" s="176">
        <v>32975655588</v>
      </c>
      <c r="AR226" t="s">
        <v>1156</v>
      </c>
      <c r="AS226" s="175">
        <v>10</v>
      </c>
    </row>
    <row r="227" spans="1:45" x14ac:dyDescent="0.25">
      <c r="A227">
        <v>2</v>
      </c>
      <c r="B227" t="s">
        <v>3254</v>
      </c>
      <c r="C227">
        <v>226</v>
      </c>
      <c r="D227" t="s">
        <v>630</v>
      </c>
      <c r="E227" t="s">
        <v>314</v>
      </c>
      <c r="F227" t="s">
        <v>2385</v>
      </c>
      <c r="G227" t="s">
        <v>1174</v>
      </c>
      <c r="H227" t="s">
        <v>1175</v>
      </c>
      <c r="I227" s="180">
        <v>0.40839999999999999</v>
      </c>
      <c r="J227">
        <v>2023</v>
      </c>
      <c r="K227" t="s">
        <v>1176</v>
      </c>
      <c r="L227" t="s">
        <v>1177</v>
      </c>
      <c r="M227" t="s">
        <v>25</v>
      </c>
      <c r="N227" t="s">
        <v>1178</v>
      </c>
      <c r="O227" t="s">
        <v>1156</v>
      </c>
      <c r="P227">
        <v>24</v>
      </c>
      <c r="Q227" t="s">
        <v>1179</v>
      </c>
      <c r="R227" s="175" t="s">
        <v>1189</v>
      </c>
      <c r="S227" t="s">
        <v>1190</v>
      </c>
      <c r="T227" s="175" t="s">
        <v>1202</v>
      </c>
      <c r="U227" t="s">
        <v>1203</v>
      </c>
      <c r="V227" t="s">
        <v>1204</v>
      </c>
      <c r="W227" t="s">
        <v>1194</v>
      </c>
      <c r="X227" s="175" t="s">
        <v>1205</v>
      </c>
      <c r="Y227" t="s">
        <v>1206</v>
      </c>
      <c r="Z227" t="s">
        <v>2093</v>
      </c>
      <c r="AA227" t="s">
        <v>1188</v>
      </c>
      <c r="AB227">
        <v>170.03</v>
      </c>
      <c r="AC227" t="s">
        <v>2185</v>
      </c>
      <c r="AD227" t="s">
        <v>2322</v>
      </c>
      <c r="AE227" t="s">
        <v>3130</v>
      </c>
      <c r="AF227" t="s">
        <v>2374</v>
      </c>
      <c r="AG227" t="s">
        <v>2191</v>
      </c>
      <c r="AH227" t="s">
        <v>2188</v>
      </c>
      <c r="AI227">
        <v>2</v>
      </c>
      <c r="AJ227">
        <v>4</v>
      </c>
      <c r="AK227">
        <v>4</v>
      </c>
      <c r="AL227">
        <v>0</v>
      </c>
      <c r="AM227" s="176">
        <v>10000000000</v>
      </c>
      <c r="AN227" s="176">
        <v>20000000000</v>
      </c>
      <c r="AO227" s="176">
        <v>20000000000</v>
      </c>
      <c r="AP227" s="176">
        <v>0</v>
      </c>
      <c r="AQ227" s="176">
        <v>50000000000</v>
      </c>
      <c r="AR227" t="s">
        <v>1156</v>
      </c>
      <c r="AS227" s="175">
        <v>10</v>
      </c>
    </row>
    <row r="228" spans="1:45" x14ac:dyDescent="0.25">
      <c r="A228">
        <v>2</v>
      </c>
      <c r="B228" t="s">
        <v>3255</v>
      </c>
      <c r="C228">
        <v>227</v>
      </c>
      <c r="D228" t="s">
        <v>630</v>
      </c>
      <c r="E228" t="s">
        <v>314</v>
      </c>
      <c r="F228" t="s">
        <v>2385</v>
      </c>
      <c r="G228" t="s">
        <v>1174</v>
      </c>
      <c r="H228" t="s">
        <v>1175</v>
      </c>
      <c r="I228" s="180">
        <v>0.40839999999999999</v>
      </c>
      <c r="J228">
        <v>2023</v>
      </c>
      <c r="K228" t="s">
        <v>1176</v>
      </c>
      <c r="L228" t="s">
        <v>1177</v>
      </c>
      <c r="M228" t="s">
        <v>25</v>
      </c>
      <c r="N228" t="s">
        <v>1178</v>
      </c>
      <c r="O228" t="s">
        <v>1156</v>
      </c>
      <c r="P228">
        <v>24</v>
      </c>
      <c r="Q228" t="s">
        <v>1179</v>
      </c>
      <c r="R228" s="175" t="s">
        <v>1189</v>
      </c>
      <c r="S228" t="s">
        <v>1190</v>
      </c>
      <c r="T228" s="175" t="s">
        <v>1207</v>
      </c>
      <c r="U228" t="s">
        <v>1208</v>
      </c>
      <c r="V228" t="s">
        <v>1209</v>
      </c>
      <c r="W228" t="s">
        <v>1194</v>
      </c>
      <c r="X228" s="175" t="s">
        <v>1210</v>
      </c>
      <c r="Y228" t="s">
        <v>1208</v>
      </c>
      <c r="Z228" t="s">
        <v>1211</v>
      </c>
      <c r="AA228" t="s">
        <v>1188</v>
      </c>
      <c r="AB228">
        <v>4112</v>
      </c>
      <c r="AC228" t="s">
        <v>2185</v>
      </c>
      <c r="AD228" t="s">
        <v>2322</v>
      </c>
      <c r="AE228" t="s">
        <v>3130</v>
      </c>
      <c r="AF228" t="s">
        <v>2374</v>
      </c>
      <c r="AG228" t="s">
        <v>2191</v>
      </c>
      <c r="AH228" t="s">
        <v>2188</v>
      </c>
      <c r="AI228">
        <v>448</v>
      </c>
      <c r="AJ228">
        <v>793</v>
      </c>
      <c r="AK228">
        <v>846</v>
      </c>
      <c r="AL228">
        <v>913</v>
      </c>
      <c r="AM228" s="176">
        <v>3689392447</v>
      </c>
      <c r="AN228" s="176">
        <v>6538076079</v>
      </c>
      <c r="AO228" s="176">
        <v>6967495544</v>
      </c>
      <c r="AP228" s="176">
        <v>7528000767</v>
      </c>
      <c r="AQ228" s="176">
        <v>24722964837</v>
      </c>
      <c r="AR228" t="s">
        <v>1156</v>
      </c>
      <c r="AS228" s="175">
        <v>10</v>
      </c>
    </row>
    <row r="229" spans="1:45" x14ac:dyDescent="0.25">
      <c r="A229">
        <v>2</v>
      </c>
      <c r="B229" t="s">
        <v>3255</v>
      </c>
      <c r="C229">
        <v>228</v>
      </c>
      <c r="D229" t="s">
        <v>630</v>
      </c>
      <c r="E229" t="s">
        <v>314</v>
      </c>
      <c r="F229" t="s">
        <v>2385</v>
      </c>
      <c r="G229" t="s">
        <v>1174</v>
      </c>
      <c r="H229" t="s">
        <v>1175</v>
      </c>
      <c r="I229" s="180">
        <v>0.40839999999999999</v>
      </c>
      <c r="J229">
        <v>2023</v>
      </c>
      <c r="K229" t="s">
        <v>1176</v>
      </c>
      <c r="L229" t="s">
        <v>1177</v>
      </c>
      <c r="M229" t="s">
        <v>25</v>
      </c>
      <c r="N229" t="s">
        <v>1178</v>
      </c>
      <c r="O229" t="s">
        <v>1156</v>
      </c>
      <c r="P229">
        <v>24</v>
      </c>
      <c r="Q229" t="s">
        <v>1179</v>
      </c>
      <c r="R229" s="175" t="s">
        <v>1189</v>
      </c>
      <c r="S229" t="s">
        <v>1190</v>
      </c>
      <c r="T229" s="175" t="s">
        <v>1212</v>
      </c>
      <c r="U229" t="s">
        <v>1213</v>
      </c>
      <c r="V229" t="s">
        <v>1214</v>
      </c>
      <c r="W229" t="s">
        <v>1194</v>
      </c>
      <c r="X229" s="175" t="s">
        <v>1215</v>
      </c>
      <c r="Y229" t="s">
        <v>1216</v>
      </c>
      <c r="Z229" t="s">
        <v>1217</v>
      </c>
      <c r="AA229" t="s">
        <v>1188</v>
      </c>
      <c r="AB229">
        <v>0</v>
      </c>
      <c r="AC229" t="s">
        <v>2185</v>
      </c>
      <c r="AD229" t="s">
        <v>2322</v>
      </c>
      <c r="AE229" t="s">
        <v>3130</v>
      </c>
      <c r="AF229" t="s">
        <v>2374</v>
      </c>
      <c r="AG229" t="s">
        <v>2191</v>
      </c>
      <c r="AH229" t="s">
        <v>2188</v>
      </c>
      <c r="AI229">
        <v>65</v>
      </c>
      <c r="AJ229">
        <v>71</v>
      </c>
      <c r="AK229">
        <v>78</v>
      </c>
      <c r="AL229">
        <v>86</v>
      </c>
      <c r="AM229" s="176">
        <v>400000000</v>
      </c>
      <c r="AN229" s="176">
        <v>440000000</v>
      </c>
      <c r="AO229" s="176">
        <v>484000000</v>
      </c>
      <c r="AP229" s="176">
        <v>532400000</v>
      </c>
      <c r="AQ229" s="176">
        <v>1856400000</v>
      </c>
      <c r="AR229" t="s">
        <v>1156</v>
      </c>
      <c r="AS229" s="175">
        <v>10</v>
      </c>
    </row>
    <row r="230" spans="1:45" x14ac:dyDescent="0.25">
      <c r="A230">
        <v>2</v>
      </c>
      <c r="B230" t="s">
        <v>3255</v>
      </c>
      <c r="C230">
        <v>229</v>
      </c>
      <c r="D230" t="s">
        <v>630</v>
      </c>
      <c r="E230" t="s">
        <v>314</v>
      </c>
      <c r="F230" t="s">
        <v>2385</v>
      </c>
      <c r="G230" t="s">
        <v>1174</v>
      </c>
      <c r="H230" t="s">
        <v>1175</v>
      </c>
      <c r="I230" s="180">
        <v>0.40839999999999999</v>
      </c>
      <c r="J230">
        <v>2023</v>
      </c>
      <c r="K230" t="s">
        <v>1176</v>
      </c>
      <c r="L230" t="s">
        <v>1177</v>
      </c>
      <c r="M230" t="s">
        <v>25</v>
      </c>
      <c r="N230" t="s">
        <v>1178</v>
      </c>
      <c r="O230" t="s">
        <v>1156</v>
      </c>
      <c r="P230">
        <v>24</v>
      </c>
      <c r="Q230" t="s">
        <v>1179</v>
      </c>
      <c r="R230" s="175" t="s">
        <v>1189</v>
      </c>
      <c r="S230" t="s">
        <v>1190</v>
      </c>
      <c r="T230" s="175" t="s">
        <v>1218</v>
      </c>
      <c r="U230" t="s">
        <v>2497</v>
      </c>
      <c r="V230" t="s">
        <v>1219</v>
      </c>
      <c r="W230" t="s">
        <v>1220</v>
      </c>
      <c r="X230" s="175">
        <v>240203800</v>
      </c>
      <c r="Y230" t="s">
        <v>2498</v>
      </c>
      <c r="Z230" t="s">
        <v>1221</v>
      </c>
      <c r="AA230" t="s">
        <v>36</v>
      </c>
      <c r="AB230">
        <v>330.12349999999998</v>
      </c>
      <c r="AC230" t="s">
        <v>2185</v>
      </c>
      <c r="AD230" t="s">
        <v>2322</v>
      </c>
      <c r="AE230" t="s">
        <v>3130</v>
      </c>
      <c r="AF230" t="s">
        <v>2374</v>
      </c>
      <c r="AG230" t="s">
        <v>2191</v>
      </c>
      <c r="AH230" t="s">
        <v>2188</v>
      </c>
      <c r="AI230">
        <v>22</v>
      </c>
      <c r="AJ230">
        <v>24</v>
      </c>
      <c r="AK230">
        <v>26</v>
      </c>
      <c r="AL230">
        <v>28</v>
      </c>
      <c r="AM230" s="176">
        <v>142968456</v>
      </c>
      <c r="AN230" s="176">
        <v>157265301</v>
      </c>
      <c r="AO230" s="176">
        <v>171922147</v>
      </c>
      <c r="AP230" s="176">
        <v>186974993</v>
      </c>
      <c r="AQ230" s="176">
        <v>659130897</v>
      </c>
      <c r="AR230" t="s">
        <v>1156</v>
      </c>
      <c r="AS230" s="175">
        <v>10</v>
      </c>
    </row>
    <row r="231" spans="1:45" x14ac:dyDescent="0.25">
      <c r="A231">
        <v>2</v>
      </c>
      <c r="B231" t="s">
        <v>3255</v>
      </c>
      <c r="C231">
        <v>230</v>
      </c>
      <c r="D231" t="s">
        <v>630</v>
      </c>
      <c r="E231" t="s">
        <v>314</v>
      </c>
      <c r="F231" t="s">
        <v>2385</v>
      </c>
      <c r="G231" t="s">
        <v>1174</v>
      </c>
      <c r="H231" t="s">
        <v>1175</v>
      </c>
      <c r="I231" s="180">
        <v>0.40839999999999999</v>
      </c>
      <c r="J231">
        <v>2023</v>
      </c>
      <c r="K231" t="s">
        <v>1176</v>
      </c>
      <c r="L231" t="s">
        <v>1177</v>
      </c>
      <c r="M231" t="s">
        <v>25</v>
      </c>
      <c r="N231" t="s">
        <v>1178</v>
      </c>
      <c r="O231" t="s">
        <v>1156</v>
      </c>
      <c r="P231">
        <v>24</v>
      </c>
      <c r="Q231" t="s">
        <v>1179</v>
      </c>
      <c r="R231" s="175" t="s">
        <v>1189</v>
      </c>
      <c r="S231" t="s">
        <v>1190</v>
      </c>
      <c r="T231" s="175" t="s">
        <v>1222</v>
      </c>
      <c r="U231" t="s">
        <v>1223</v>
      </c>
      <c r="V231" t="s">
        <v>1224</v>
      </c>
      <c r="W231" t="s">
        <v>1225</v>
      </c>
      <c r="X231" s="175" t="s">
        <v>1226</v>
      </c>
      <c r="Y231" t="s">
        <v>1223</v>
      </c>
      <c r="Z231" t="s">
        <v>2094</v>
      </c>
      <c r="AA231" t="s">
        <v>1188</v>
      </c>
      <c r="AB231">
        <v>149.874</v>
      </c>
      <c r="AC231" t="s">
        <v>2185</v>
      </c>
      <c r="AD231" t="s">
        <v>2322</v>
      </c>
      <c r="AE231" t="s">
        <v>3130</v>
      </c>
      <c r="AF231" t="s">
        <v>2374</v>
      </c>
      <c r="AG231" t="s">
        <v>2191</v>
      </c>
      <c r="AH231" t="s">
        <v>2188</v>
      </c>
      <c r="AI231" t="s">
        <v>3225</v>
      </c>
      <c r="AJ231" t="s">
        <v>3226</v>
      </c>
      <c r="AK231">
        <v>25</v>
      </c>
      <c r="AL231" t="s">
        <v>3227</v>
      </c>
      <c r="AM231" s="176">
        <v>18861401302</v>
      </c>
      <c r="AN231" s="176">
        <v>99484952782</v>
      </c>
      <c r="AO231" s="176">
        <v>100414908072</v>
      </c>
      <c r="AP231" s="176">
        <v>34525387798</v>
      </c>
      <c r="AQ231" s="176">
        <v>253286649954</v>
      </c>
      <c r="AR231" t="s">
        <v>1156</v>
      </c>
      <c r="AS231" s="175">
        <v>10</v>
      </c>
    </row>
    <row r="232" spans="1:45" x14ac:dyDescent="0.25">
      <c r="A232">
        <v>2</v>
      </c>
      <c r="B232" t="s">
        <v>3255</v>
      </c>
      <c r="C232">
        <v>231</v>
      </c>
      <c r="D232" t="s">
        <v>630</v>
      </c>
      <c r="E232" t="s">
        <v>314</v>
      </c>
      <c r="F232" t="s">
        <v>2385</v>
      </c>
      <c r="G232" t="s">
        <v>1174</v>
      </c>
      <c r="H232" t="s">
        <v>1175</v>
      </c>
      <c r="I232" s="180">
        <v>0.40839999999999999</v>
      </c>
      <c r="J232">
        <v>2023</v>
      </c>
      <c r="K232" t="s">
        <v>1176</v>
      </c>
      <c r="L232" t="s">
        <v>1177</v>
      </c>
      <c r="M232" t="s">
        <v>25</v>
      </c>
      <c r="N232" t="s">
        <v>1178</v>
      </c>
      <c r="O232" t="s">
        <v>1156</v>
      </c>
      <c r="P232">
        <v>24</v>
      </c>
      <c r="Q232" t="s">
        <v>1179</v>
      </c>
      <c r="R232" s="175" t="s">
        <v>1189</v>
      </c>
      <c r="S232" t="s">
        <v>1190</v>
      </c>
      <c r="T232" s="175" t="s">
        <v>1227</v>
      </c>
      <c r="U232" t="s">
        <v>1228</v>
      </c>
      <c r="V232" t="s">
        <v>1229</v>
      </c>
      <c r="W232" t="s">
        <v>1225</v>
      </c>
      <c r="X232" s="175">
        <v>240211200</v>
      </c>
      <c r="Y232" t="s">
        <v>2499</v>
      </c>
      <c r="Z232" t="s">
        <v>1230</v>
      </c>
      <c r="AA232" t="s">
        <v>1188</v>
      </c>
      <c r="AB232">
        <v>6585</v>
      </c>
      <c r="AC232" t="s">
        <v>2185</v>
      </c>
      <c r="AD232" t="s">
        <v>2322</v>
      </c>
      <c r="AE232" t="s">
        <v>3130</v>
      </c>
      <c r="AF232" t="s">
        <v>2374</v>
      </c>
      <c r="AG232" t="s">
        <v>2191</v>
      </c>
      <c r="AH232" t="s">
        <v>2188</v>
      </c>
      <c r="AI232">
        <v>729</v>
      </c>
      <c r="AJ232">
        <v>1166</v>
      </c>
      <c r="AK232">
        <v>1250</v>
      </c>
      <c r="AL232">
        <v>1355</v>
      </c>
      <c r="AM232" s="176" t="s">
        <v>2800</v>
      </c>
      <c r="AN232" s="176">
        <v>11911152452</v>
      </c>
      <c r="AO232" s="176">
        <v>12765685482</v>
      </c>
      <c r="AP232" s="176">
        <v>13837887533</v>
      </c>
      <c r="AQ232" s="176" t="s">
        <v>2801</v>
      </c>
      <c r="AR232" t="s">
        <v>1156</v>
      </c>
      <c r="AS232" s="175">
        <v>10</v>
      </c>
    </row>
    <row r="233" spans="1:45" x14ac:dyDescent="0.25">
      <c r="A233">
        <v>2</v>
      </c>
      <c r="B233" t="s">
        <v>3255</v>
      </c>
      <c r="C233">
        <v>232</v>
      </c>
      <c r="D233" t="s">
        <v>630</v>
      </c>
      <c r="E233" t="s">
        <v>314</v>
      </c>
      <c r="F233" t="s">
        <v>2385</v>
      </c>
      <c r="G233" t="s">
        <v>1174</v>
      </c>
      <c r="H233" t="s">
        <v>1175</v>
      </c>
      <c r="I233" s="180">
        <v>0.40839999999999999</v>
      </c>
      <c r="J233">
        <v>2023</v>
      </c>
      <c r="K233" t="s">
        <v>1176</v>
      </c>
      <c r="L233" t="s">
        <v>1177</v>
      </c>
      <c r="M233" t="s">
        <v>25</v>
      </c>
      <c r="N233" t="s">
        <v>1178</v>
      </c>
      <c r="O233" t="s">
        <v>1156</v>
      </c>
      <c r="P233">
        <v>24</v>
      </c>
      <c r="Q233" t="s">
        <v>1179</v>
      </c>
      <c r="R233" s="175" t="s">
        <v>1189</v>
      </c>
      <c r="S233" t="s">
        <v>1190</v>
      </c>
      <c r="T233" s="175" t="s">
        <v>1231</v>
      </c>
      <c r="U233" t="s">
        <v>1232</v>
      </c>
      <c r="V233" t="s">
        <v>1233</v>
      </c>
      <c r="W233" t="s">
        <v>1225</v>
      </c>
      <c r="X233" s="175" t="s">
        <v>1234</v>
      </c>
      <c r="Y233" t="s">
        <v>1235</v>
      </c>
      <c r="Z233" t="s">
        <v>1236</v>
      </c>
      <c r="AA233" t="s">
        <v>1188</v>
      </c>
      <c r="AB233">
        <v>0</v>
      </c>
      <c r="AC233" t="s">
        <v>2185</v>
      </c>
      <c r="AD233" t="s">
        <v>2322</v>
      </c>
      <c r="AE233" t="s">
        <v>3130</v>
      </c>
      <c r="AF233" t="s">
        <v>2374</v>
      </c>
      <c r="AG233" t="s">
        <v>2191</v>
      </c>
      <c r="AH233" t="s">
        <v>2188</v>
      </c>
      <c r="AI233">
        <v>97</v>
      </c>
      <c r="AJ233">
        <v>107</v>
      </c>
      <c r="AK233">
        <v>117</v>
      </c>
      <c r="AL233">
        <v>129</v>
      </c>
      <c r="AM233" s="176">
        <v>600000000</v>
      </c>
      <c r="AN233" s="176">
        <v>660000000</v>
      </c>
      <c r="AO233" s="176">
        <v>726000000</v>
      </c>
      <c r="AP233" s="176">
        <v>798600000</v>
      </c>
      <c r="AQ233" s="176">
        <v>2784600000</v>
      </c>
      <c r="AR233" t="s">
        <v>1156</v>
      </c>
      <c r="AS233" s="175">
        <v>10</v>
      </c>
    </row>
    <row r="234" spans="1:45" x14ac:dyDescent="0.25">
      <c r="A234">
        <v>2</v>
      </c>
      <c r="B234" t="s">
        <v>3255</v>
      </c>
      <c r="C234">
        <v>233</v>
      </c>
      <c r="D234" t="s">
        <v>630</v>
      </c>
      <c r="E234" t="s">
        <v>314</v>
      </c>
      <c r="F234" t="s">
        <v>2385</v>
      </c>
      <c r="G234" t="s">
        <v>1174</v>
      </c>
      <c r="H234" t="s">
        <v>1175</v>
      </c>
      <c r="I234" s="180">
        <v>0.40839999999999999</v>
      </c>
      <c r="J234">
        <v>2023</v>
      </c>
      <c r="K234" t="s">
        <v>1176</v>
      </c>
      <c r="L234" t="s">
        <v>1177</v>
      </c>
      <c r="M234" t="s">
        <v>25</v>
      </c>
      <c r="N234" t="s">
        <v>1178</v>
      </c>
      <c r="O234" t="s">
        <v>1156</v>
      </c>
      <c r="P234">
        <v>24</v>
      </c>
      <c r="Q234" t="s">
        <v>1179</v>
      </c>
      <c r="R234" s="175" t="s">
        <v>1189</v>
      </c>
      <c r="S234" t="s">
        <v>1190</v>
      </c>
      <c r="T234" s="175" t="s">
        <v>1237</v>
      </c>
      <c r="U234" t="s">
        <v>1238</v>
      </c>
      <c r="V234" t="s">
        <v>1239</v>
      </c>
      <c r="W234" t="s">
        <v>1220</v>
      </c>
      <c r="X234" s="175" t="s">
        <v>1240</v>
      </c>
      <c r="Y234" t="s">
        <v>1238</v>
      </c>
      <c r="Z234" t="s">
        <v>1241</v>
      </c>
      <c r="AA234" t="s">
        <v>36</v>
      </c>
      <c r="AB234">
        <v>0</v>
      </c>
      <c r="AC234" t="s">
        <v>2185</v>
      </c>
      <c r="AD234" t="s">
        <v>2325</v>
      </c>
      <c r="AE234" t="s">
        <v>3130</v>
      </c>
      <c r="AF234" t="s">
        <v>2374</v>
      </c>
      <c r="AG234" t="s">
        <v>2191</v>
      </c>
      <c r="AH234" t="s">
        <v>2188</v>
      </c>
      <c r="AI234">
        <v>40</v>
      </c>
      <c r="AJ234">
        <v>33</v>
      </c>
      <c r="AK234">
        <v>37</v>
      </c>
      <c r="AL234">
        <v>40</v>
      </c>
      <c r="AM234" s="176">
        <v>214000000</v>
      </c>
      <c r="AN234" s="176">
        <v>177065301</v>
      </c>
      <c r="AO234" s="176">
        <v>193702147</v>
      </c>
      <c r="AP234" s="176">
        <v>210932993</v>
      </c>
      <c r="AQ234" s="176">
        <v>795700441</v>
      </c>
      <c r="AR234" t="s">
        <v>1156</v>
      </c>
      <c r="AS234" s="175">
        <v>10</v>
      </c>
    </row>
    <row r="235" spans="1:45" x14ac:dyDescent="0.25">
      <c r="A235">
        <v>2</v>
      </c>
      <c r="B235" t="s">
        <v>3255</v>
      </c>
      <c r="C235">
        <v>234</v>
      </c>
      <c r="D235" t="s">
        <v>630</v>
      </c>
      <c r="E235" t="s">
        <v>314</v>
      </c>
      <c r="F235" t="s">
        <v>2385</v>
      </c>
      <c r="G235" t="s">
        <v>1174</v>
      </c>
      <c r="H235" t="s">
        <v>1175</v>
      </c>
      <c r="I235" s="180">
        <v>0.40839999999999999</v>
      </c>
      <c r="J235">
        <v>2023</v>
      </c>
      <c r="K235" t="s">
        <v>1176</v>
      </c>
      <c r="L235" t="s">
        <v>1177</v>
      </c>
      <c r="M235" t="s">
        <v>25</v>
      </c>
      <c r="N235" t="s">
        <v>1178</v>
      </c>
      <c r="O235" t="s">
        <v>1156</v>
      </c>
      <c r="P235">
        <v>24</v>
      </c>
      <c r="Q235" t="s">
        <v>1179</v>
      </c>
      <c r="R235" s="175" t="s">
        <v>1189</v>
      </c>
      <c r="S235" t="s">
        <v>1190</v>
      </c>
      <c r="T235" s="175" t="s">
        <v>1242</v>
      </c>
      <c r="U235" t="s">
        <v>1243</v>
      </c>
      <c r="V235" t="s">
        <v>1244</v>
      </c>
      <c r="W235" t="s">
        <v>1245</v>
      </c>
      <c r="X235" s="175" t="s">
        <v>1246</v>
      </c>
      <c r="Y235" t="s">
        <v>1247</v>
      </c>
      <c r="Z235" t="s">
        <v>1248</v>
      </c>
      <c r="AA235" t="s">
        <v>1188</v>
      </c>
      <c r="AB235">
        <v>4.9580000000000002</v>
      </c>
      <c r="AC235" t="s">
        <v>2185</v>
      </c>
      <c r="AD235" t="s">
        <v>2322</v>
      </c>
      <c r="AE235" t="s">
        <v>3130</v>
      </c>
      <c r="AF235" t="s">
        <v>2374</v>
      </c>
      <c r="AG235" t="s">
        <v>2191</v>
      </c>
      <c r="AH235" t="s">
        <v>2188</v>
      </c>
      <c r="AI235">
        <v>3</v>
      </c>
      <c r="AJ235">
        <v>1</v>
      </c>
      <c r="AK235">
        <v>1</v>
      </c>
      <c r="AL235">
        <v>0</v>
      </c>
      <c r="AM235" s="176">
        <v>21633572944</v>
      </c>
      <c r="AN235" s="176">
        <v>5500000000</v>
      </c>
      <c r="AO235" s="176">
        <v>5500000000</v>
      </c>
      <c r="AP235" s="176">
        <v>0</v>
      </c>
      <c r="AQ235" s="176">
        <v>32633572944</v>
      </c>
      <c r="AR235" t="s">
        <v>1156</v>
      </c>
      <c r="AS235" s="175">
        <v>10</v>
      </c>
    </row>
    <row r="236" spans="1:45" x14ac:dyDescent="0.25">
      <c r="A236">
        <v>2</v>
      </c>
      <c r="B236" t="s">
        <v>3254</v>
      </c>
      <c r="C236">
        <v>235</v>
      </c>
      <c r="D236" t="s">
        <v>630</v>
      </c>
      <c r="E236" t="s">
        <v>314</v>
      </c>
      <c r="F236" t="s">
        <v>2385</v>
      </c>
      <c r="G236" t="s">
        <v>1174</v>
      </c>
      <c r="H236" t="s">
        <v>1175</v>
      </c>
      <c r="I236" s="180">
        <v>0.40839999999999999</v>
      </c>
      <c r="J236">
        <v>2023</v>
      </c>
      <c r="K236" t="s">
        <v>1176</v>
      </c>
      <c r="L236" t="s">
        <v>1177</v>
      </c>
      <c r="M236" t="s">
        <v>25</v>
      </c>
      <c r="N236" t="s">
        <v>1178</v>
      </c>
      <c r="O236" t="s">
        <v>1156</v>
      </c>
      <c r="P236">
        <v>24</v>
      </c>
      <c r="Q236" t="s">
        <v>1179</v>
      </c>
      <c r="R236" s="175" t="s">
        <v>1189</v>
      </c>
      <c r="S236" t="s">
        <v>1190</v>
      </c>
      <c r="T236" s="175" t="s">
        <v>1249</v>
      </c>
      <c r="U236" t="s">
        <v>1250</v>
      </c>
      <c r="V236" t="s">
        <v>1251</v>
      </c>
      <c r="W236" t="s">
        <v>1252</v>
      </c>
      <c r="X236" s="175" t="s">
        <v>1253</v>
      </c>
      <c r="Y236" t="s">
        <v>1254</v>
      </c>
      <c r="Z236" t="s">
        <v>2095</v>
      </c>
      <c r="AA236" t="s">
        <v>36</v>
      </c>
      <c r="AB236">
        <v>0.74</v>
      </c>
      <c r="AC236" t="s">
        <v>2185</v>
      </c>
      <c r="AD236" t="s">
        <v>2322</v>
      </c>
      <c r="AE236" t="s">
        <v>3130</v>
      </c>
      <c r="AF236" t="s">
        <v>2374</v>
      </c>
      <c r="AG236" t="s">
        <v>2191</v>
      </c>
      <c r="AH236" t="s">
        <v>2188</v>
      </c>
      <c r="AI236">
        <v>1</v>
      </c>
      <c r="AJ236">
        <v>1</v>
      </c>
      <c r="AK236">
        <v>0</v>
      </c>
      <c r="AL236">
        <v>0</v>
      </c>
      <c r="AM236" s="176">
        <v>4000000000</v>
      </c>
      <c r="AN236" s="176">
        <v>1000000000</v>
      </c>
      <c r="AO236" s="176">
        <v>0</v>
      </c>
      <c r="AP236" s="176">
        <v>0</v>
      </c>
      <c r="AQ236" s="176">
        <v>5000000000</v>
      </c>
      <c r="AR236" t="s">
        <v>1156</v>
      </c>
      <c r="AS236" s="175">
        <v>10</v>
      </c>
    </row>
    <row r="237" spans="1:45" x14ac:dyDescent="0.25">
      <c r="A237">
        <v>2</v>
      </c>
      <c r="B237" t="s">
        <v>3255</v>
      </c>
      <c r="C237">
        <v>236</v>
      </c>
      <c r="D237" t="s">
        <v>630</v>
      </c>
      <c r="E237" t="s">
        <v>314</v>
      </c>
      <c r="F237" t="s">
        <v>2385</v>
      </c>
      <c r="G237" t="s">
        <v>1174</v>
      </c>
      <c r="H237" t="s">
        <v>1175</v>
      </c>
      <c r="I237" s="180">
        <v>0.40839999999999999</v>
      </c>
      <c r="J237">
        <v>2023</v>
      </c>
      <c r="K237" t="s">
        <v>1176</v>
      </c>
      <c r="L237" t="s">
        <v>1177</v>
      </c>
      <c r="M237" t="s">
        <v>25</v>
      </c>
      <c r="N237" t="s">
        <v>1178</v>
      </c>
      <c r="O237" t="s">
        <v>1156</v>
      </c>
      <c r="P237">
        <v>24</v>
      </c>
      <c r="Q237" t="s">
        <v>1179</v>
      </c>
      <c r="R237" s="175" t="s">
        <v>1189</v>
      </c>
      <c r="S237" t="s">
        <v>1190</v>
      </c>
      <c r="T237" s="175" t="s">
        <v>1255</v>
      </c>
      <c r="U237" t="s">
        <v>1256</v>
      </c>
      <c r="V237" t="s">
        <v>1257</v>
      </c>
      <c r="W237" t="s">
        <v>1252</v>
      </c>
      <c r="X237" s="175" t="s">
        <v>1258</v>
      </c>
      <c r="Y237" t="s">
        <v>1259</v>
      </c>
      <c r="Z237" t="s">
        <v>2096</v>
      </c>
      <c r="AA237" t="s">
        <v>36</v>
      </c>
      <c r="AB237">
        <v>0</v>
      </c>
      <c r="AC237" t="s">
        <v>2185</v>
      </c>
      <c r="AD237" t="s">
        <v>2322</v>
      </c>
      <c r="AE237" t="s">
        <v>3130</v>
      </c>
      <c r="AF237" t="s">
        <v>2374</v>
      </c>
      <c r="AG237" t="s">
        <v>2191</v>
      </c>
      <c r="AH237" t="s">
        <v>2188</v>
      </c>
      <c r="AI237">
        <v>2</v>
      </c>
      <c r="AJ237">
        <v>0</v>
      </c>
      <c r="AK237">
        <v>0</v>
      </c>
      <c r="AL237">
        <v>0</v>
      </c>
      <c r="AM237" s="176">
        <v>2100000000</v>
      </c>
      <c r="AN237" s="176">
        <v>0</v>
      </c>
      <c r="AO237" s="176">
        <v>0</v>
      </c>
      <c r="AP237" s="176">
        <v>0</v>
      </c>
      <c r="AQ237" s="176">
        <v>2100000000</v>
      </c>
      <c r="AR237" t="s">
        <v>1156</v>
      </c>
      <c r="AS237" s="175">
        <v>10</v>
      </c>
    </row>
    <row r="238" spans="1:45" x14ac:dyDescent="0.25">
      <c r="A238">
        <v>2</v>
      </c>
      <c r="B238" t="s">
        <v>3255</v>
      </c>
      <c r="C238">
        <v>237</v>
      </c>
      <c r="D238" t="s">
        <v>630</v>
      </c>
      <c r="E238" t="s">
        <v>314</v>
      </c>
      <c r="F238" t="s">
        <v>2385</v>
      </c>
      <c r="G238" t="s">
        <v>1174</v>
      </c>
      <c r="H238" t="s">
        <v>1175</v>
      </c>
      <c r="I238" s="180">
        <v>0.40839999999999999</v>
      </c>
      <c r="J238">
        <v>2023</v>
      </c>
      <c r="K238" t="s">
        <v>1176</v>
      </c>
      <c r="L238" t="s">
        <v>1177</v>
      </c>
      <c r="M238" t="s">
        <v>25</v>
      </c>
      <c r="N238" t="s">
        <v>1178</v>
      </c>
      <c r="O238" t="s">
        <v>1156</v>
      </c>
      <c r="P238">
        <v>24</v>
      </c>
      <c r="Q238" t="s">
        <v>1179</v>
      </c>
      <c r="R238" s="175" t="s">
        <v>1189</v>
      </c>
      <c r="S238" t="s">
        <v>1190</v>
      </c>
      <c r="T238" s="175" t="s">
        <v>1260</v>
      </c>
      <c r="U238" t="s">
        <v>1261</v>
      </c>
      <c r="V238" t="s">
        <v>1262</v>
      </c>
      <c r="W238" t="s">
        <v>1252</v>
      </c>
      <c r="X238" s="175" t="s">
        <v>1263</v>
      </c>
      <c r="Y238" t="s">
        <v>1264</v>
      </c>
      <c r="Z238" t="s">
        <v>1265</v>
      </c>
      <c r="AA238" t="s">
        <v>36</v>
      </c>
      <c r="AB238">
        <v>346</v>
      </c>
      <c r="AC238" t="s">
        <v>2185</v>
      </c>
      <c r="AD238" t="s">
        <v>2322</v>
      </c>
      <c r="AE238" t="s">
        <v>3130</v>
      </c>
      <c r="AF238" t="s">
        <v>2374</v>
      </c>
      <c r="AG238" t="s">
        <v>2191</v>
      </c>
      <c r="AH238" t="s">
        <v>2188</v>
      </c>
      <c r="AI238">
        <v>72</v>
      </c>
      <c r="AJ238">
        <v>80</v>
      </c>
      <c r="AK238">
        <v>88</v>
      </c>
      <c r="AL238">
        <v>96</v>
      </c>
      <c r="AM238" s="176" t="s">
        <v>2802</v>
      </c>
      <c r="AN238" s="176">
        <v>26125268</v>
      </c>
      <c r="AO238" s="176">
        <v>28737795</v>
      </c>
      <c r="AP238" s="176">
        <v>31611575</v>
      </c>
      <c r="AQ238" s="176" t="s">
        <v>2803</v>
      </c>
      <c r="AR238" t="s">
        <v>1156</v>
      </c>
      <c r="AS238" s="175">
        <v>10</v>
      </c>
    </row>
    <row r="239" spans="1:45" x14ac:dyDescent="0.25">
      <c r="A239">
        <v>2</v>
      </c>
      <c r="B239" t="s">
        <v>3255</v>
      </c>
      <c r="C239">
        <v>238</v>
      </c>
      <c r="D239" t="s">
        <v>630</v>
      </c>
      <c r="E239" t="s">
        <v>314</v>
      </c>
      <c r="F239" t="s">
        <v>2385</v>
      </c>
      <c r="G239" t="s">
        <v>1174</v>
      </c>
      <c r="H239" t="s">
        <v>1175</v>
      </c>
      <c r="I239" s="180">
        <v>0.40839999999999999</v>
      </c>
      <c r="J239">
        <v>2023</v>
      </c>
      <c r="K239" t="s">
        <v>1176</v>
      </c>
      <c r="L239" t="s">
        <v>1177</v>
      </c>
      <c r="M239" t="s">
        <v>25</v>
      </c>
      <c r="N239" t="s">
        <v>1178</v>
      </c>
      <c r="O239" t="s">
        <v>1156</v>
      </c>
      <c r="P239">
        <v>24</v>
      </c>
      <c r="Q239" t="s">
        <v>1179</v>
      </c>
      <c r="R239" s="175" t="s">
        <v>1189</v>
      </c>
      <c r="S239" t="s">
        <v>1190</v>
      </c>
      <c r="T239" s="175" t="s">
        <v>1266</v>
      </c>
      <c r="U239" t="s">
        <v>1267</v>
      </c>
      <c r="V239" t="s">
        <v>1268</v>
      </c>
      <c r="W239" t="s">
        <v>1252</v>
      </c>
      <c r="X239" s="175" t="s">
        <v>1269</v>
      </c>
      <c r="Y239" t="s">
        <v>1270</v>
      </c>
      <c r="Z239" t="s">
        <v>1271</v>
      </c>
      <c r="AA239" t="s">
        <v>36</v>
      </c>
      <c r="AB239">
        <v>2.74</v>
      </c>
      <c r="AC239" t="s">
        <v>2185</v>
      </c>
      <c r="AD239" t="s">
        <v>2322</v>
      </c>
      <c r="AE239" t="s">
        <v>3130</v>
      </c>
      <c r="AF239" t="s">
        <v>2374</v>
      </c>
      <c r="AG239" t="s">
        <v>2191</v>
      </c>
      <c r="AH239" t="s">
        <v>2188</v>
      </c>
      <c r="AI239">
        <v>2</v>
      </c>
      <c r="AJ239">
        <v>0</v>
      </c>
      <c r="AK239">
        <v>0</v>
      </c>
      <c r="AL239">
        <v>0</v>
      </c>
      <c r="AM239" s="176">
        <v>5200000000</v>
      </c>
      <c r="AN239" s="176">
        <v>0</v>
      </c>
      <c r="AO239" s="176">
        <v>0</v>
      </c>
      <c r="AP239" s="176">
        <v>0</v>
      </c>
      <c r="AQ239" s="176">
        <v>5200000000</v>
      </c>
      <c r="AR239" t="s">
        <v>1156</v>
      </c>
      <c r="AS239" s="175">
        <v>10</v>
      </c>
    </row>
    <row r="240" spans="1:45" x14ac:dyDescent="0.25">
      <c r="A240">
        <v>2</v>
      </c>
      <c r="B240" t="s">
        <v>3255</v>
      </c>
      <c r="C240">
        <v>239</v>
      </c>
      <c r="D240" t="s">
        <v>630</v>
      </c>
      <c r="E240" t="s">
        <v>314</v>
      </c>
      <c r="F240" t="s">
        <v>2385</v>
      </c>
      <c r="G240" t="s">
        <v>1174</v>
      </c>
      <c r="H240" t="s">
        <v>1175</v>
      </c>
      <c r="I240" s="180">
        <v>0.40839999999999999</v>
      </c>
      <c r="J240">
        <v>2023</v>
      </c>
      <c r="K240" t="s">
        <v>1176</v>
      </c>
      <c r="L240" t="s">
        <v>1177</v>
      </c>
      <c r="M240" t="s">
        <v>25</v>
      </c>
      <c r="N240" t="s">
        <v>1178</v>
      </c>
      <c r="O240" t="s">
        <v>1156</v>
      </c>
      <c r="P240">
        <v>24</v>
      </c>
      <c r="Q240" t="s">
        <v>1179</v>
      </c>
      <c r="R240" s="175" t="s">
        <v>1189</v>
      </c>
      <c r="S240" t="s">
        <v>1190</v>
      </c>
      <c r="T240" s="175" t="s">
        <v>1272</v>
      </c>
      <c r="U240" t="s">
        <v>1273</v>
      </c>
      <c r="V240" t="s">
        <v>1274</v>
      </c>
      <c r="W240" t="s">
        <v>1252</v>
      </c>
      <c r="X240" s="175" t="s">
        <v>1275</v>
      </c>
      <c r="Y240" t="s">
        <v>1276</v>
      </c>
      <c r="Z240" t="s">
        <v>1277</v>
      </c>
      <c r="AA240" t="s">
        <v>36</v>
      </c>
      <c r="AB240">
        <v>0</v>
      </c>
      <c r="AC240" t="s">
        <v>2185</v>
      </c>
      <c r="AD240" t="s">
        <v>2322</v>
      </c>
      <c r="AE240" t="s">
        <v>3130</v>
      </c>
      <c r="AF240" t="s">
        <v>2374</v>
      </c>
      <c r="AG240" t="s">
        <v>2191</v>
      </c>
      <c r="AH240" t="s">
        <v>2188</v>
      </c>
      <c r="AI240">
        <v>0</v>
      </c>
      <c r="AJ240">
        <v>2</v>
      </c>
      <c r="AK240">
        <v>0</v>
      </c>
      <c r="AL240">
        <v>0</v>
      </c>
      <c r="AM240" s="176">
        <v>0</v>
      </c>
      <c r="AN240" s="176">
        <v>7720000000</v>
      </c>
      <c r="AO240" s="176">
        <v>0</v>
      </c>
      <c r="AP240" s="176">
        <v>0</v>
      </c>
      <c r="AQ240" s="176">
        <v>7720000000</v>
      </c>
      <c r="AR240" t="s">
        <v>1156</v>
      </c>
      <c r="AS240" s="175">
        <v>10</v>
      </c>
    </row>
    <row r="241" spans="1:45" x14ac:dyDescent="0.25">
      <c r="A241">
        <v>2</v>
      </c>
      <c r="B241" t="s">
        <v>3255</v>
      </c>
      <c r="C241">
        <v>240</v>
      </c>
      <c r="D241" t="s">
        <v>630</v>
      </c>
      <c r="E241" t="s">
        <v>314</v>
      </c>
      <c r="F241" t="s">
        <v>2385</v>
      </c>
      <c r="G241" t="s">
        <v>1174</v>
      </c>
      <c r="H241" t="s">
        <v>1175</v>
      </c>
      <c r="I241" s="180">
        <v>0.40839999999999999</v>
      </c>
      <c r="J241">
        <v>2023</v>
      </c>
      <c r="K241" t="s">
        <v>1176</v>
      </c>
      <c r="L241" t="s">
        <v>1177</v>
      </c>
      <c r="M241" t="s">
        <v>25</v>
      </c>
      <c r="N241" t="s">
        <v>1178</v>
      </c>
      <c r="O241" t="s">
        <v>1156</v>
      </c>
      <c r="P241">
        <v>24</v>
      </c>
      <c r="Q241" t="s">
        <v>1179</v>
      </c>
      <c r="R241" s="175" t="s">
        <v>1189</v>
      </c>
      <c r="S241" t="s">
        <v>1190</v>
      </c>
      <c r="T241" s="175" t="s">
        <v>1278</v>
      </c>
      <c r="U241" t="s">
        <v>1279</v>
      </c>
      <c r="V241" t="s">
        <v>1280</v>
      </c>
      <c r="W241" t="s">
        <v>1252</v>
      </c>
      <c r="X241" s="175" t="s">
        <v>1281</v>
      </c>
      <c r="Y241" t="s">
        <v>1282</v>
      </c>
      <c r="Z241" t="s">
        <v>1283</v>
      </c>
      <c r="AA241" t="s">
        <v>36</v>
      </c>
      <c r="AB241">
        <v>456</v>
      </c>
      <c r="AC241" t="s">
        <v>2185</v>
      </c>
      <c r="AD241" t="s">
        <v>2322</v>
      </c>
      <c r="AE241" t="s">
        <v>3130</v>
      </c>
      <c r="AF241" t="s">
        <v>2374</v>
      </c>
      <c r="AG241" t="s">
        <v>2191</v>
      </c>
      <c r="AH241" t="s">
        <v>2188</v>
      </c>
      <c r="AI241">
        <v>109</v>
      </c>
      <c r="AJ241">
        <v>119</v>
      </c>
      <c r="AK241">
        <v>131</v>
      </c>
      <c r="AL241">
        <v>145</v>
      </c>
      <c r="AM241" s="176">
        <v>49621126</v>
      </c>
      <c r="AN241" s="176">
        <v>54583238</v>
      </c>
      <c r="AO241" s="176">
        <v>60041563</v>
      </c>
      <c r="AP241" s="176">
        <v>66045719</v>
      </c>
      <c r="AQ241" s="176">
        <v>230291646</v>
      </c>
      <c r="AR241" t="s">
        <v>1156</v>
      </c>
      <c r="AS241" s="175">
        <v>10</v>
      </c>
    </row>
    <row r="242" spans="1:45" x14ac:dyDescent="0.25">
      <c r="A242">
        <v>2</v>
      </c>
      <c r="B242" t="s">
        <v>3255</v>
      </c>
      <c r="C242">
        <v>241</v>
      </c>
      <c r="D242" t="s">
        <v>630</v>
      </c>
      <c r="E242" t="s">
        <v>314</v>
      </c>
      <c r="F242" t="s">
        <v>2385</v>
      </c>
      <c r="G242" t="s">
        <v>1174</v>
      </c>
      <c r="H242" t="s">
        <v>1175</v>
      </c>
      <c r="I242" s="180">
        <v>0.40839999999999999</v>
      </c>
      <c r="J242">
        <v>2023</v>
      </c>
      <c r="K242" t="s">
        <v>1176</v>
      </c>
      <c r="L242" t="s">
        <v>1177</v>
      </c>
      <c r="M242" t="s">
        <v>25</v>
      </c>
      <c r="N242" t="s">
        <v>1178</v>
      </c>
      <c r="O242" t="s">
        <v>1156</v>
      </c>
      <c r="P242">
        <v>24</v>
      </c>
      <c r="Q242" t="s">
        <v>1179</v>
      </c>
      <c r="R242" s="175" t="s">
        <v>1189</v>
      </c>
      <c r="S242" t="s">
        <v>1190</v>
      </c>
      <c r="T242" s="175" t="s">
        <v>1284</v>
      </c>
      <c r="U242" t="s">
        <v>1285</v>
      </c>
      <c r="V242" t="s">
        <v>1286</v>
      </c>
      <c r="W242" t="s">
        <v>1252</v>
      </c>
      <c r="X242" s="175" t="s">
        <v>1287</v>
      </c>
      <c r="Y242" t="s">
        <v>1285</v>
      </c>
      <c r="Z242" t="s">
        <v>1288</v>
      </c>
      <c r="AA242" t="s">
        <v>36</v>
      </c>
      <c r="AB242">
        <v>3.1459999999999999</v>
      </c>
      <c r="AC242" t="s">
        <v>2185</v>
      </c>
      <c r="AD242" t="s">
        <v>2322</v>
      </c>
      <c r="AE242" t="s">
        <v>3130</v>
      </c>
      <c r="AF242" t="s">
        <v>2374</v>
      </c>
      <c r="AG242" t="s">
        <v>2191</v>
      </c>
      <c r="AH242" t="s">
        <v>2188</v>
      </c>
      <c r="AI242">
        <v>0</v>
      </c>
      <c r="AJ242">
        <v>0</v>
      </c>
      <c r="AK242">
        <v>2</v>
      </c>
      <c r="AL242">
        <v>0</v>
      </c>
      <c r="AM242" s="176">
        <v>0</v>
      </c>
      <c r="AN242" s="176">
        <v>0</v>
      </c>
      <c r="AO242" s="176">
        <v>9680000000</v>
      </c>
      <c r="AP242" s="176">
        <v>0</v>
      </c>
      <c r="AQ242" s="176">
        <v>9680000000</v>
      </c>
      <c r="AR242" t="s">
        <v>1156</v>
      </c>
      <c r="AS242" s="175">
        <v>10</v>
      </c>
    </row>
    <row r="243" spans="1:45" x14ac:dyDescent="0.25">
      <c r="A243">
        <v>2</v>
      </c>
      <c r="B243" t="s">
        <v>3255</v>
      </c>
      <c r="C243">
        <v>242</v>
      </c>
      <c r="D243" t="s">
        <v>630</v>
      </c>
      <c r="E243" t="s">
        <v>314</v>
      </c>
      <c r="F243" t="s">
        <v>2385</v>
      </c>
      <c r="G243" t="s">
        <v>1174</v>
      </c>
      <c r="H243" t="s">
        <v>1175</v>
      </c>
      <c r="I243" s="180">
        <v>0.40839999999999999</v>
      </c>
      <c r="J243">
        <v>2023</v>
      </c>
      <c r="K243" t="s">
        <v>1176</v>
      </c>
      <c r="L243" t="s">
        <v>1177</v>
      </c>
      <c r="M243" t="s">
        <v>25</v>
      </c>
      <c r="N243" t="s">
        <v>1178</v>
      </c>
      <c r="O243" t="s">
        <v>1156</v>
      </c>
      <c r="P243">
        <v>24</v>
      </c>
      <c r="Q243" t="s">
        <v>1179</v>
      </c>
      <c r="R243" s="175" t="s">
        <v>1189</v>
      </c>
      <c r="S243" t="s">
        <v>1190</v>
      </c>
      <c r="T243" s="175" t="s">
        <v>1289</v>
      </c>
      <c r="U243" t="s">
        <v>1290</v>
      </c>
      <c r="V243" t="s">
        <v>1291</v>
      </c>
      <c r="W243" t="s">
        <v>1252</v>
      </c>
      <c r="X243" s="175">
        <v>240211900</v>
      </c>
      <c r="Y243" t="s">
        <v>1290</v>
      </c>
      <c r="Z243" t="s">
        <v>1292</v>
      </c>
      <c r="AA243" t="s">
        <v>36</v>
      </c>
      <c r="AB243">
        <v>0</v>
      </c>
      <c r="AC243" t="s">
        <v>2185</v>
      </c>
      <c r="AD243" t="s">
        <v>2322</v>
      </c>
      <c r="AE243" t="s">
        <v>3130</v>
      </c>
      <c r="AF243" t="s">
        <v>2374</v>
      </c>
      <c r="AG243" t="s">
        <v>2191</v>
      </c>
      <c r="AH243" t="s">
        <v>2188</v>
      </c>
      <c r="AI243">
        <v>1</v>
      </c>
      <c r="AJ243">
        <v>0</v>
      </c>
      <c r="AK243">
        <v>0</v>
      </c>
      <c r="AL243">
        <v>0</v>
      </c>
      <c r="AM243" s="176">
        <v>4577349851</v>
      </c>
      <c r="AN243" s="176">
        <v>0</v>
      </c>
      <c r="AO243" s="176">
        <v>0</v>
      </c>
      <c r="AP243" s="176">
        <v>0</v>
      </c>
      <c r="AQ243" s="176">
        <v>4577349851</v>
      </c>
      <c r="AR243" t="s">
        <v>1156</v>
      </c>
      <c r="AS243" s="175">
        <v>10</v>
      </c>
    </row>
    <row r="244" spans="1:45" x14ac:dyDescent="0.25">
      <c r="A244">
        <v>2</v>
      </c>
      <c r="B244" t="s">
        <v>3255</v>
      </c>
      <c r="C244">
        <v>243</v>
      </c>
      <c r="D244" t="s">
        <v>630</v>
      </c>
      <c r="E244" t="s">
        <v>314</v>
      </c>
      <c r="F244" t="s">
        <v>2385</v>
      </c>
      <c r="G244" t="s">
        <v>1174</v>
      </c>
      <c r="H244" t="s">
        <v>1175</v>
      </c>
      <c r="I244" s="180">
        <v>0.40839999999999999</v>
      </c>
      <c r="J244">
        <v>2023</v>
      </c>
      <c r="K244" t="s">
        <v>1176</v>
      </c>
      <c r="L244" t="s">
        <v>1177</v>
      </c>
      <c r="M244" t="s">
        <v>25</v>
      </c>
      <c r="N244" t="s">
        <v>1178</v>
      </c>
      <c r="O244" t="s">
        <v>1156</v>
      </c>
      <c r="P244">
        <v>24</v>
      </c>
      <c r="Q244" t="s">
        <v>1179</v>
      </c>
      <c r="R244" s="175" t="s">
        <v>1189</v>
      </c>
      <c r="S244" t="s">
        <v>1190</v>
      </c>
      <c r="T244" s="175" t="s">
        <v>1293</v>
      </c>
      <c r="U244" t="s">
        <v>1294</v>
      </c>
      <c r="V244" t="s">
        <v>596</v>
      </c>
      <c r="W244" t="s">
        <v>188</v>
      </c>
      <c r="X244" s="175" t="s">
        <v>1295</v>
      </c>
      <c r="Y244" t="s">
        <v>1296</v>
      </c>
      <c r="Z244" t="s">
        <v>2097</v>
      </c>
      <c r="AA244" t="s">
        <v>36</v>
      </c>
      <c r="AB244">
        <v>104.807</v>
      </c>
      <c r="AC244" t="s">
        <v>2185</v>
      </c>
      <c r="AD244" t="s">
        <v>2322</v>
      </c>
      <c r="AE244" t="s">
        <v>3130</v>
      </c>
      <c r="AF244" t="s">
        <v>2374</v>
      </c>
      <c r="AG244" t="s">
        <v>2191</v>
      </c>
      <c r="AH244" t="s">
        <v>2188</v>
      </c>
      <c r="AI244">
        <v>11</v>
      </c>
      <c r="AJ244">
        <v>9</v>
      </c>
      <c r="AK244">
        <v>0</v>
      </c>
      <c r="AL244">
        <v>0</v>
      </c>
      <c r="AM244" s="176">
        <v>24653215291</v>
      </c>
      <c r="AN244" s="176">
        <v>19463000000</v>
      </c>
      <c r="AO244" s="176">
        <v>0</v>
      </c>
      <c r="AP244" s="176">
        <v>0</v>
      </c>
      <c r="AQ244" s="176">
        <v>44116215291</v>
      </c>
      <c r="AR244" t="s">
        <v>1156</v>
      </c>
      <c r="AS244" s="175">
        <v>10</v>
      </c>
    </row>
    <row r="245" spans="1:45" x14ac:dyDescent="0.25">
      <c r="A245">
        <v>2</v>
      </c>
      <c r="B245" t="s">
        <v>3255</v>
      </c>
      <c r="C245">
        <v>244</v>
      </c>
      <c r="D245" t="s">
        <v>630</v>
      </c>
      <c r="E245" t="s">
        <v>314</v>
      </c>
      <c r="F245" t="s">
        <v>2385</v>
      </c>
      <c r="G245" t="s">
        <v>1297</v>
      </c>
      <c r="H245" t="s">
        <v>3131</v>
      </c>
      <c r="I245" s="183">
        <v>258</v>
      </c>
      <c r="J245">
        <v>2022</v>
      </c>
      <c r="K245" t="s">
        <v>1299</v>
      </c>
      <c r="L245" t="s">
        <v>1300</v>
      </c>
      <c r="M245" t="s">
        <v>36</v>
      </c>
      <c r="N245" t="s">
        <v>1178</v>
      </c>
      <c r="O245" t="s">
        <v>1156</v>
      </c>
      <c r="P245">
        <v>24</v>
      </c>
      <c r="Q245" t="s">
        <v>1179</v>
      </c>
      <c r="R245" s="175" t="s">
        <v>1189</v>
      </c>
      <c r="S245" t="s">
        <v>1190</v>
      </c>
      <c r="T245" s="175" t="s">
        <v>1301</v>
      </c>
      <c r="U245" t="s">
        <v>1302</v>
      </c>
      <c r="V245" t="s">
        <v>1303</v>
      </c>
      <c r="W245" t="s">
        <v>1194</v>
      </c>
      <c r="X245" s="175" t="s">
        <v>1304</v>
      </c>
      <c r="Y245" t="s">
        <v>1305</v>
      </c>
      <c r="Z245" t="s">
        <v>2098</v>
      </c>
      <c r="AA245" t="s">
        <v>1188</v>
      </c>
      <c r="AB245">
        <v>0</v>
      </c>
      <c r="AC245" t="s">
        <v>2185</v>
      </c>
      <c r="AD245" t="s">
        <v>2322</v>
      </c>
      <c r="AE245" t="s">
        <v>3130</v>
      </c>
      <c r="AF245" t="s">
        <v>2374</v>
      </c>
      <c r="AG245" t="s">
        <v>2191</v>
      </c>
      <c r="AH245" t="s">
        <v>2188</v>
      </c>
      <c r="AI245">
        <v>0</v>
      </c>
      <c r="AJ245">
        <v>0</v>
      </c>
      <c r="AK245">
        <v>20</v>
      </c>
      <c r="AL245">
        <v>0</v>
      </c>
      <c r="AM245" s="176">
        <v>0</v>
      </c>
      <c r="AN245" s="176">
        <v>0</v>
      </c>
      <c r="AO245" s="176">
        <v>1500000000</v>
      </c>
      <c r="AP245" s="176">
        <v>0</v>
      </c>
      <c r="AQ245" s="176">
        <v>1500000000</v>
      </c>
      <c r="AR245" t="s">
        <v>1156</v>
      </c>
      <c r="AS245" s="175">
        <v>10</v>
      </c>
    </row>
    <row r="246" spans="1:45" x14ac:dyDescent="0.25">
      <c r="A246">
        <v>2</v>
      </c>
      <c r="B246" t="s">
        <v>3255</v>
      </c>
      <c r="C246">
        <v>245</v>
      </c>
      <c r="D246" t="s">
        <v>630</v>
      </c>
      <c r="E246" t="s">
        <v>314</v>
      </c>
      <c r="F246" t="s">
        <v>2385</v>
      </c>
      <c r="G246" t="s">
        <v>1297</v>
      </c>
      <c r="H246" t="s">
        <v>3131</v>
      </c>
      <c r="I246" s="183">
        <v>258</v>
      </c>
      <c r="J246">
        <v>2022</v>
      </c>
      <c r="K246" t="s">
        <v>1299</v>
      </c>
      <c r="L246" t="s">
        <v>1300</v>
      </c>
      <c r="M246" t="s">
        <v>36</v>
      </c>
      <c r="N246" t="s">
        <v>1178</v>
      </c>
      <c r="O246" t="s">
        <v>1156</v>
      </c>
      <c r="P246">
        <v>24</v>
      </c>
      <c r="Q246" t="s">
        <v>1179</v>
      </c>
      <c r="R246" s="175" t="s">
        <v>1189</v>
      </c>
      <c r="S246" t="s">
        <v>1190</v>
      </c>
      <c r="T246" s="175" t="s">
        <v>1306</v>
      </c>
      <c r="U246" t="s">
        <v>1307</v>
      </c>
      <c r="V246" t="s">
        <v>1308</v>
      </c>
      <c r="W246" t="s">
        <v>1225</v>
      </c>
      <c r="X246" s="175" t="s">
        <v>1309</v>
      </c>
      <c r="Y246" t="s">
        <v>1310</v>
      </c>
      <c r="Z246" t="s">
        <v>1311</v>
      </c>
      <c r="AA246" t="s">
        <v>1188</v>
      </c>
      <c r="AB246">
        <v>0</v>
      </c>
      <c r="AC246" t="s">
        <v>2185</v>
      </c>
      <c r="AD246" t="s">
        <v>2322</v>
      </c>
      <c r="AE246" t="s">
        <v>3130</v>
      </c>
      <c r="AF246" t="s">
        <v>2374</v>
      </c>
      <c r="AG246" t="s">
        <v>2191</v>
      </c>
      <c r="AH246" t="s">
        <v>2188</v>
      </c>
      <c r="AI246">
        <v>0</v>
      </c>
      <c r="AJ246">
        <v>10</v>
      </c>
      <c r="AK246">
        <v>0</v>
      </c>
      <c r="AL246">
        <v>0</v>
      </c>
      <c r="AM246" s="176">
        <v>0</v>
      </c>
      <c r="AN246" s="176">
        <v>1400000000</v>
      </c>
      <c r="AO246" s="176">
        <v>0</v>
      </c>
      <c r="AP246" s="176">
        <v>0</v>
      </c>
      <c r="AQ246" s="176">
        <v>1400000000</v>
      </c>
      <c r="AR246" t="s">
        <v>1156</v>
      </c>
      <c r="AS246" s="175">
        <v>10</v>
      </c>
    </row>
    <row r="247" spans="1:45" x14ac:dyDescent="0.25">
      <c r="A247">
        <v>2</v>
      </c>
      <c r="B247" t="s">
        <v>3255</v>
      </c>
      <c r="C247">
        <v>246</v>
      </c>
      <c r="D247" t="s">
        <v>630</v>
      </c>
      <c r="E247" t="s">
        <v>314</v>
      </c>
      <c r="F247" t="s">
        <v>2385</v>
      </c>
      <c r="G247" t="s">
        <v>1312</v>
      </c>
      <c r="H247" t="s">
        <v>3132</v>
      </c>
      <c r="I247" s="180">
        <v>0.9042</v>
      </c>
      <c r="J247">
        <v>2023</v>
      </c>
      <c r="K247" t="s">
        <v>3133</v>
      </c>
      <c r="L247" t="s">
        <v>1315</v>
      </c>
      <c r="M247" t="s">
        <v>25</v>
      </c>
      <c r="N247" t="s">
        <v>679</v>
      </c>
      <c r="O247" t="s">
        <v>1156</v>
      </c>
      <c r="P247">
        <v>21</v>
      </c>
      <c r="Q247" t="s">
        <v>1316</v>
      </c>
      <c r="R247" s="175" t="s">
        <v>919</v>
      </c>
      <c r="S247" t="s">
        <v>920</v>
      </c>
      <c r="T247" s="175" t="s">
        <v>1317</v>
      </c>
      <c r="U247" t="s">
        <v>1318</v>
      </c>
      <c r="V247" t="s">
        <v>1319</v>
      </c>
      <c r="W247" t="s">
        <v>1163</v>
      </c>
      <c r="X247" s="175" t="s">
        <v>1320</v>
      </c>
      <c r="Y247" t="s">
        <v>1321</v>
      </c>
      <c r="Z247" t="s">
        <v>1322</v>
      </c>
      <c r="AA247" t="s">
        <v>36</v>
      </c>
      <c r="AB247">
        <v>1665</v>
      </c>
      <c r="AC247" t="s">
        <v>2185</v>
      </c>
      <c r="AD247" t="s">
        <v>2322</v>
      </c>
      <c r="AE247" t="s">
        <v>3130</v>
      </c>
      <c r="AF247" t="s">
        <v>2324</v>
      </c>
      <c r="AG247" t="s">
        <v>2191</v>
      </c>
      <c r="AH247" t="s">
        <v>2188</v>
      </c>
      <c r="AI247">
        <v>129</v>
      </c>
      <c r="AJ247">
        <v>787</v>
      </c>
      <c r="AK247">
        <v>791</v>
      </c>
      <c r="AL247">
        <v>793</v>
      </c>
      <c r="AM247" s="176">
        <v>2800000000</v>
      </c>
      <c r="AN247" s="176">
        <v>17062080000</v>
      </c>
      <c r="AO247" s="176">
        <v>17151120000</v>
      </c>
      <c r="AP247" s="176">
        <v>17194800000</v>
      </c>
      <c r="AQ247" s="176">
        <v>54208000000</v>
      </c>
      <c r="AR247" t="s">
        <v>1156</v>
      </c>
      <c r="AS247" s="175">
        <v>10</v>
      </c>
    </row>
    <row r="248" spans="1:45" x14ac:dyDescent="0.25">
      <c r="A248">
        <v>2</v>
      </c>
      <c r="B248" t="s">
        <v>3255</v>
      </c>
      <c r="C248">
        <v>247</v>
      </c>
      <c r="D248" t="s">
        <v>630</v>
      </c>
      <c r="E248" t="s">
        <v>314</v>
      </c>
      <c r="F248" t="s">
        <v>2385</v>
      </c>
      <c r="G248" t="s">
        <v>1312</v>
      </c>
      <c r="H248" t="s">
        <v>3132</v>
      </c>
      <c r="I248" s="180">
        <v>0.9042</v>
      </c>
      <c r="J248">
        <v>2023</v>
      </c>
      <c r="K248" t="s">
        <v>3133</v>
      </c>
      <c r="L248" t="s">
        <v>1315</v>
      </c>
      <c r="M248" t="s">
        <v>25</v>
      </c>
      <c r="N248" t="s">
        <v>679</v>
      </c>
      <c r="O248" t="s">
        <v>1156</v>
      </c>
      <c r="P248">
        <v>21</v>
      </c>
      <c r="Q248" t="s">
        <v>1316</v>
      </c>
      <c r="R248" s="175" t="s">
        <v>919</v>
      </c>
      <c r="S248" t="s">
        <v>920</v>
      </c>
      <c r="T248" s="175" t="s">
        <v>1323</v>
      </c>
      <c r="U248" t="s">
        <v>921</v>
      </c>
      <c r="V248" t="s">
        <v>922</v>
      </c>
      <c r="W248" t="s">
        <v>834</v>
      </c>
      <c r="X248" s="175" t="s">
        <v>923</v>
      </c>
      <c r="Y248" t="s">
        <v>921</v>
      </c>
      <c r="Z248" t="s">
        <v>1324</v>
      </c>
      <c r="AA248" t="s">
        <v>36</v>
      </c>
      <c r="AB248">
        <v>33</v>
      </c>
      <c r="AC248" t="s">
        <v>2185</v>
      </c>
      <c r="AD248" t="s">
        <v>2326</v>
      </c>
      <c r="AE248" t="s">
        <v>3130</v>
      </c>
      <c r="AF248" t="s">
        <v>2375</v>
      </c>
      <c r="AG248" t="s">
        <v>2219</v>
      </c>
      <c r="AH248" t="s">
        <v>2187</v>
      </c>
      <c r="AI248">
        <v>0</v>
      </c>
      <c r="AJ248">
        <v>35</v>
      </c>
      <c r="AK248">
        <v>2</v>
      </c>
      <c r="AL248">
        <v>3</v>
      </c>
      <c r="AM248" s="176">
        <v>0</v>
      </c>
      <c r="AN248" s="176" t="s">
        <v>2804</v>
      </c>
      <c r="AO248" s="176">
        <v>415800000</v>
      </c>
      <c r="AP248" s="176">
        <v>428400000</v>
      </c>
      <c r="AQ248" s="176" t="s">
        <v>2805</v>
      </c>
      <c r="AR248" t="s">
        <v>1156</v>
      </c>
      <c r="AS248" s="175">
        <v>10</v>
      </c>
    </row>
    <row r="249" spans="1:45" x14ac:dyDescent="0.25">
      <c r="A249">
        <v>2</v>
      </c>
      <c r="B249" t="s">
        <v>3255</v>
      </c>
      <c r="C249">
        <v>248</v>
      </c>
      <c r="D249" t="s">
        <v>630</v>
      </c>
      <c r="E249" t="s">
        <v>314</v>
      </c>
      <c r="F249" t="s">
        <v>2385</v>
      </c>
      <c r="G249" t="s">
        <v>1312</v>
      </c>
      <c r="H249" t="s">
        <v>3132</v>
      </c>
      <c r="I249" s="180">
        <v>0.9042</v>
      </c>
      <c r="J249">
        <v>2023</v>
      </c>
      <c r="K249" t="s">
        <v>3133</v>
      </c>
      <c r="L249" t="s">
        <v>1315</v>
      </c>
      <c r="M249" t="s">
        <v>25</v>
      </c>
      <c r="N249" t="s">
        <v>679</v>
      </c>
      <c r="O249" t="s">
        <v>1156</v>
      </c>
      <c r="P249">
        <v>21</v>
      </c>
      <c r="Q249" t="s">
        <v>1316</v>
      </c>
      <c r="R249" s="175" t="s">
        <v>919</v>
      </c>
      <c r="S249" t="s">
        <v>2316</v>
      </c>
      <c r="T249" s="175" t="s">
        <v>2318</v>
      </c>
      <c r="U249" t="s">
        <v>187</v>
      </c>
      <c r="V249" t="s">
        <v>2319</v>
      </c>
      <c r="W249" t="s">
        <v>2320</v>
      </c>
      <c r="X249" s="175" t="s">
        <v>2321</v>
      </c>
      <c r="Y249" t="s">
        <v>1296</v>
      </c>
      <c r="Z249" t="s">
        <v>1325</v>
      </c>
      <c r="AA249" t="s">
        <v>36</v>
      </c>
      <c r="AB249">
        <v>0</v>
      </c>
      <c r="AC249" t="s">
        <v>2185</v>
      </c>
      <c r="AD249" t="s">
        <v>2326</v>
      </c>
      <c r="AE249" t="s">
        <v>3130</v>
      </c>
      <c r="AF249" t="s">
        <v>2375</v>
      </c>
      <c r="AG249" t="s">
        <v>2219</v>
      </c>
      <c r="AH249" t="s">
        <v>2187</v>
      </c>
      <c r="AI249">
        <v>1</v>
      </c>
      <c r="AJ249">
        <v>1</v>
      </c>
      <c r="AK249">
        <v>0</v>
      </c>
      <c r="AL249">
        <v>0</v>
      </c>
      <c r="AM249" s="176">
        <v>6133163901</v>
      </c>
      <c r="AN249" s="176">
        <v>7791577099</v>
      </c>
      <c r="AO249" s="176">
        <v>0</v>
      </c>
      <c r="AP249" s="176">
        <v>0</v>
      </c>
      <c r="AQ249" s="176">
        <v>13924741000</v>
      </c>
      <c r="AR249" t="s">
        <v>1156</v>
      </c>
      <c r="AS249" s="175">
        <v>10</v>
      </c>
    </row>
    <row r="250" spans="1:45" x14ac:dyDescent="0.25">
      <c r="A250">
        <v>2</v>
      </c>
      <c r="B250" t="s">
        <v>3255</v>
      </c>
      <c r="C250">
        <v>249</v>
      </c>
      <c r="D250" t="s">
        <v>630</v>
      </c>
      <c r="E250" t="s">
        <v>314</v>
      </c>
      <c r="F250" t="s">
        <v>2385</v>
      </c>
      <c r="G250" t="s">
        <v>1312</v>
      </c>
      <c r="H250" t="s">
        <v>3132</v>
      </c>
      <c r="I250" s="180">
        <v>0.9042</v>
      </c>
      <c r="J250">
        <v>2023</v>
      </c>
      <c r="K250" t="s">
        <v>3133</v>
      </c>
      <c r="L250" t="s">
        <v>1315</v>
      </c>
      <c r="M250" t="s">
        <v>25</v>
      </c>
      <c r="N250" t="s">
        <v>679</v>
      </c>
      <c r="O250" t="s">
        <v>1156</v>
      </c>
      <c r="P250">
        <v>21</v>
      </c>
      <c r="Q250" t="s">
        <v>1316</v>
      </c>
      <c r="R250" s="175">
        <v>2102</v>
      </c>
      <c r="S250" t="s">
        <v>920</v>
      </c>
      <c r="T250" s="175">
        <v>2102062</v>
      </c>
      <c r="U250" t="s">
        <v>2315</v>
      </c>
      <c r="V250" t="s">
        <v>2376</v>
      </c>
      <c r="W250" t="s">
        <v>1326</v>
      </c>
      <c r="X250" s="175">
        <v>210206201</v>
      </c>
      <c r="Y250" t="s">
        <v>2317</v>
      </c>
      <c r="Z250" t="s">
        <v>2522</v>
      </c>
      <c r="AA250" t="s">
        <v>1326</v>
      </c>
      <c r="AB250">
        <v>0</v>
      </c>
      <c r="AC250" t="s">
        <v>2185</v>
      </c>
      <c r="AD250" t="s">
        <v>2326</v>
      </c>
      <c r="AE250" t="s">
        <v>3130</v>
      </c>
      <c r="AF250" t="s">
        <v>2375</v>
      </c>
      <c r="AG250" t="s">
        <v>2219</v>
      </c>
      <c r="AH250" t="s">
        <v>2187</v>
      </c>
      <c r="AI250">
        <v>0</v>
      </c>
      <c r="AJ250">
        <v>0</v>
      </c>
      <c r="AK250" t="s">
        <v>3199</v>
      </c>
      <c r="AL250" t="s">
        <v>3206</v>
      </c>
      <c r="AM250" s="176">
        <v>0</v>
      </c>
      <c r="AN250" s="176">
        <v>0</v>
      </c>
      <c r="AO250" s="176">
        <v>5000000000</v>
      </c>
      <c r="AP250" s="176">
        <v>7381232134</v>
      </c>
      <c r="AQ250" s="176">
        <v>12381232134</v>
      </c>
      <c r="AR250" t="s">
        <v>1156</v>
      </c>
      <c r="AS250" s="175">
        <v>10</v>
      </c>
    </row>
    <row r="251" spans="1:45" x14ac:dyDescent="0.25">
      <c r="A251">
        <v>2</v>
      </c>
      <c r="B251" t="s">
        <v>3255</v>
      </c>
      <c r="C251">
        <v>250</v>
      </c>
      <c r="D251" t="s">
        <v>630</v>
      </c>
      <c r="E251" t="s">
        <v>314</v>
      </c>
      <c r="F251" t="s">
        <v>2385</v>
      </c>
      <c r="G251" t="s">
        <v>1328</v>
      </c>
      <c r="H251" t="s">
        <v>3134</v>
      </c>
      <c r="I251" s="180">
        <v>0.27489999999999998</v>
      </c>
      <c r="J251">
        <v>2023</v>
      </c>
      <c r="K251" t="s">
        <v>1330</v>
      </c>
      <c r="L251" t="s">
        <v>1331</v>
      </c>
      <c r="M251" t="s">
        <v>25</v>
      </c>
      <c r="N251" t="s">
        <v>679</v>
      </c>
      <c r="O251" t="s">
        <v>1156</v>
      </c>
      <c r="P251">
        <v>21</v>
      </c>
      <c r="Q251" t="s">
        <v>1316</v>
      </c>
      <c r="R251" s="175">
        <v>2101</v>
      </c>
      <c r="S251" t="s">
        <v>1332</v>
      </c>
      <c r="T251" s="175" t="s">
        <v>1333</v>
      </c>
      <c r="U251" t="s">
        <v>1334</v>
      </c>
      <c r="V251" t="s">
        <v>1335</v>
      </c>
      <c r="W251" t="s">
        <v>1163</v>
      </c>
      <c r="X251" s="175" t="s">
        <v>1336</v>
      </c>
      <c r="Y251" t="s">
        <v>1337</v>
      </c>
      <c r="Z251" t="s">
        <v>1338</v>
      </c>
      <c r="AA251" t="s">
        <v>36</v>
      </c>
      <c r="AB251">
        <v>4299</v>
      </c>
      <c r="AC251" t="s">
        <v>2185</v>
      </c>
      <c r="AD251" t="s">
        <v>2322</v>
      </c>
      <c r="AE251" t="s">
        <v>3130</v>
      </c>
      <c r="AF251" t="s">
        <v>2324</v>
      </c>
      <c r="AG251" t="s">
        <v>2191</v>
      </c>
      <c r="AH251" t="s">
        <v>2188</v>
      </c>
      <c r="AI251">
        <v>0</v>
      </c>
      <c r="AJ251">
        <v>255</v>
      </c>
      <c r="AK251">
        <v>3571</v>
      </c>
      <c r="AL251">
        <v>874</v>
      </c>
      <c r="AM251" s="176">
        <v>0</v>
      </c>
      <c r="AN251" s="176">
        <v>327600000</v>
      </c>
      <c r="AO251" s="176">
        <v>4578449696</v>
      </c>
      <c r="AP251" s="176">
        <v>1120369882</v>
      </c>
      <c r="AQ251" s="176">
        <v>6026419578</v>
      </c>
      <c r="AR251" t="s">
        <v>1156</v>
      </c>
      <c r="AS251" s="175">
        <v>10</v>
      </c>
    </row>
    <row r="252" spans="1:45" x14ac:dyDescent="0.25">
      <c r="A252">
        <v>2</v>
      </c>
      <c r="B252" t="s">
        <v>3255</v>
      </c>
      <c r="C252">
        <v>251</v>
      </c>
      <c r="D252" t="s">
        <v>630</v>
      </c>
      <c r="E252" t="s">
        <v>314</v>
      </c>
      <c r="F252" t="s">
        <v>2385</v>
      </c>
      <c r="G252" t="s">
        <v>1339</v>
      </c>
      <c r="H252" t="s">
        <v>1340</v>
      </c>
      <c r="I252" s="190">
        <v>8</v>
      </c>
      <c r="J252">
        <v>2023</v>
      </c>
      <c r="K252" t="s">
        <v>1341</v>
      </c>
      <c r="L252" t="s">
        <v>1342</v>
      </c>
      <c r="M252" t="s">
        <v>36</v>
      </c>
      <c r="N252" t="s">
        <v>679</v>
      </c>
      <c r="O252" t="s">
        <v>1156</v>
      </c>
      <c r="P252">
        <v>21</v>
      </c>
      <c r="Q252" t="s">
        <v>1316</v>
      </c>
      <c r="R252" s="175">
        <v>2102</v>
      </c>
      <c r="S252" t="s">
        <v>1327</v>
      </c>
      <c r="T252" s="175">
        <v>2102069</v>
      </c>
      <c r="U252" t="s">
        <v>1343</v>
      </c>
      <c r="V252" t="s">
        <v>1344</v>
      </c>
      <c r="W252" t="s">
        <v>1345</v>
      </c>
      <c r="X252" s="175">
        <v>210206900</v>
      </c>
      <c r="Y252" t="s">
        <v>1346</v>
      </c>
      <c r="Z252" t="s">
        <v>1347</v>
      </c>
      <c r="AA252" t="s">
        <v>36</v>
      </c>
      <c r="AB252">
        <v>0</v>
      </c>
      <c r="AC252" t="s">
        <v>2185</v>
      </c>
      <c r="AD252" t="s">
        <v>2322</v>
      </c>
      <c r="AE252" t="s">
        <v>3130</v>
      </c>
      <c r="AF252" t="s">
        <v>2375</v>
      </c>
      <c r="AG252" t="s">
        <v>2219</v>
      </c>
      <c r="AH252" t="s">
        <v>2191</v>
      </c>
      <c r="AI252">
        <v>0</v>
      </c>
      <c r="AJ252">
        <v>660</v>
      </c>
      <c r="AK252">
        <v>660</v>
      </c>
      <c r="AL252">
        <v>680</v>
      </c>
      <c r="AM252" s="176">
        <v>0</v>
      </c>
      <c r="AN252" s="176">
        <v>1580074320</v>
      </c>
      <c r="AO252" s="176">
        <v>1580074320</v>
      </c>
      <c r="AP252" s="176">
        <v>1627955360</v>
      </c>
      <c r="AQ252" s="176">
        <v>4788104000</v>
      </c>
      <c r="AR252" t="s">
        <v>1156</v>
      </c>
      <c r="AS252" s="175">
        <v>10</v>
      </c>
    </row>
    <row r="253" spans="1:45" x14ac:dyDescent="0.25">
      <c r="A253">
        <v>2</v>
      </c>
      <c r="B253" t="s">
        <v>3255</v>
      </c>
      <c r="C253">
        <v>252</v>
      </c>
      <c r="D253" t="s">
        <v>19</v>
      </c>
      <c r="E253" t="s">
        <v>20</v>
      </c>
      <c r="F253" t="s">
        <v>2385</v>
      </c>
      <c r="G253" t="s">
        <v>638</v>
      </c>
      <c r="H253" t="s">
        <v>639</v>
      </c>
      <c r="I253" s="188">
        <v>2.75E-2</v>
      </c>
      <c r="J253">
        <v>2024</v>
      </c>
      <c r="K253" t="s">
        <v>640</v>
      </c>
      <c r="L253" t="s">
        <v>641</v>
      </c>
      <c r="M253" t="s">
        <v>25</v>
      </c>
      <c r="N253" t="s">
        <v>27</v>
      </c>
      <c r="O253" t="s">
        <v>642</v>
      </c>
      <c r="P253">
        <v>43</v>
      </c>
      <c r="Q253" t="s">
        <v>2468</v>
      </c>
      <c r="R253" s="175" t="s">
        <v>644</v>
      </c>
      <c r="S253" t="s">
        <v>2469</v>
      </c>
      <c r="T253" s="175" t="s">
        <v>2470</v>
      </c>
      <c r="U253" t="s">
        <v>2471</v>
      </c>
      <c r="V253" t="s">
        <v>2472</v>
      </c>
      <c r="W253" t="s">
        <v>1417</v>
      </c>
      <c r="X253" s="175" t="s">
        <v>2473</v>
      </c>
      <c r="Y253" t="s">
        <v>2474</v>
      </c>
      <c r="Z253" t="s">
        <v>1350</v>
      </c>
      <c r="AA253" t="s">
        <v>36</v>
      </c>
      <c r="AB253">
        <v>0</v>
      </c>
      <c r="AC253" t="s">
        <v>2185</v>
      </c>
      <c r="AD253" t="s">
        <v>2322</v>
      </c>
      <c r="AE253" t="s">
        <v>3130</v>
      </c>
      <c r="AF253" t="s">
        <v>348</v>
      </c>
      <c r="AG253" t="s">
        <v>2188</v>
      </c>
      <c r="AH253" t="s">
        <v>2187</v>
      </c>
      <c r="AI253" t="s">
        <v>3228</v>
      </c>
      <c r="AJ253">
        <v>0</v>
      </c>
      <c r="AK253" t="s">
        <v>3202</v>
      </c>
      <c r="AL253">
        <v>0</v>
      </c>
      <c r="AM253" s="176">
        <v>1724000000</v>
      </c>
      <c r="AN253" s="176">
        <v>0</v>
      </c>
      <c r="AO253" s="176">
        <v>50000000</v>
      </c>
      <c r="AP253" s="176">
        <v>0</v>
      </c>
      <c r="AQ253" s="176">
        <v>1774000000</v>
      </c>
      <c r="AR253" t="s">
        <v>1156</v>
      </c>
      <c r="AS253" s="175">
        <v>10</v>
      </c>
    </row>
    <row r="254" spans="1:45" x14ac:dyDescent="0.25">
      <c r="A254">
        <v>2</v>
      </c>
      <c r="B254" t="s">
        <v>3255</v>
      </c>
      <c r="C254">
        <v>253</v>
      </c>
      <c r="D254" t="s">
        <v>19</v>
      </c>
      <c r="E254" t="s">
        <v>20</v>
      </c>
      <c r="F254" t="s">
        <v>2385</v>
      </c>
      <c r="G254" t="s">
        <v>638</v>
      </c>
      <c r="H254" t="s">
        <v>639</v>
      </c>
      <c r="I254" s="188">
        <v>2.75E-2</v>
      </c>
      <c r="J254">
        <v>2024</v>
      </c>
      <c r="K254" t="s">
        <v>640</v>
      </c>
      <c r="L254" t="s">
        <v>641</v>
      </c>
      <c r="M254" t="s">
        <v>25</v>
      </c>
      <c r="N254" t="s">
        <v>27</v>
      </c>
      <c r="O254" t="s">
        <v>642</v>
      </c>
      <c r="P254">
        <v>43</v>
      </c>
      <c r="Q254" t="s">
        <v>643</v>
      </c>
      <c r="R254" s="175">
        <v>4301</v>
      </c>
      <c r="S254" t="s">
        <v>2500</v>
      </c>
      <c r="T254" s="175" t="s">
        <v>2501</v>
      </c>
      <c r="U254" t="s">
        <v>2502</v>
      </c>
      <c r="V254" t="s">
        <v>2503</v>
      </c>
      <c r="W254" t="s">
        <v>1381</v>
      </c>
      <c r="X254" s="175" t="s">
        <v>2504</v>
      </c>
      <c r="Y254" t="s">
        <v>2505</v>
      </c>
      <c r="Z254" t="s">
        <v>2099</v>
      </c>
      <c r="AA254" t="s">
        <v>36</v>
      </c>
      <c r="AB254">
        <v>17.649999999999999</v>
      </c>
      <c r="AC254" t="s">
        <v>2185</v>
      </c>
      <c r="AD254" t="s">
        <v>2322</v>
      </c>
      <c r="AE254" t="s">
        <v>3130</v>
      </c>
      <c r="AF254" t="s">
        <v>348</v>
      </c>
      <c r="AG254" t="s">
        <v>2188</v>
      </c>
      <c r="AH254" t="s">
        <v>2187</v>
      </c>
      <c r="AI254" t="s">
        <v>3229</v>
      </c>
      <c r="AJ254">
        <v>0</v>
      </c>
      <c r="AK254">
        <v>3</v>
      </c>
      <c r="AL254" t="s">
        <v>3230</v>
      </c>
      <c r="AM254" s="176">
        <v>1711509150</v>
      </c>
      <c r="AN254" s="176">
        <v>0</v>
      </c>
      <c r="AO254" s="176">
        <v>3322813936</v>
      </c>
      <c r="AP254" s="176">
        <v>3691990069</v>
      </c>
      <c r="AQ254" s="176">
        <v>8726313155</v>
      </c>
      <c r="AR254" t="s">
        <v>1156</v>
      </c>
      <c r="AS254" s="175">
        <v>10</v>
      </c>
    </row>
    <row r="255" spans="1:45" x14ac:dyDescent="0.25">
      <c r="A255">
        <v>2</v>
      </c>
      <c r="B255" t="s">
        <v>3255</v>
      </c>
      <c r="C255">
        <v>254</v>
      </c>
      <c r="D255" t="s">
        <v>19</v>
      </c>
      <c r="E255" t="s">
        <v>20</v>
      </c>
      <c r="F255" t="s">
        <v>2385</v>
      </c>
      <c r="G255" t="s">
        <v>638</v>
      </c>
      <c r="H255" t="s">
        <v>639</v>
      </c>
      <c r="I255" s="188">
        <v>2.75E-2</v>
      </c>
      <c r="J255">
        <v>2024</v>
      </c>
      <c r="K255" t="s">
        <v>640</v>
      </c>
      <c r="L255" t="s">
        <v>641</v>
      </c>
      <c r="M255" t="s">
        <v>25</v>
      </c>
      <c r="N255" t="s">
        <v>27</v>
      </c>
      <c r="O255" t="s">
        <v>642</v>
      </c>
      <c r="P255">
        <v>43</v>
      </c>
      <c r="Q255" t="s">
        <v>643</v>
      </c>
      <c r="R255" s="175">
        <v>4301</v>
      </c>
      <c r="S255" t="s">
        <v>2500</v>
      </c>
      <c r="T255" s="175" t="s">
        <v>2506</v>
      </c>
      <c r="U255" t="s">
        <v>2507</v>
      </c>
      <c r="V255" t="s">
        <v>1351</v>
      </c>
      <c r="W255" t="s">
        <v>1381</v>
      </c>
      <c r="X255" s="175" t="s">
        <v>2508</v>
      </c>
      <c r="Y255" t="s">
        <v>2509</v>
      </c>
      <c r="Z255" t="s">
        <v>2100</v>
      </c>
      <c r="AA255" t="s">
        <v>36</v>
      </c>
      <c r="AB255">
        <v>0</v>
      </c>
      <c r="AC255" t="s">
        <v>2185</v>
      </c>
      <c r="AD255" t="s">
        <v>2322</v>
      </c>
      <c r="AE255" t="s">
        <v>3130</v>
      </c>
      <c r="AF255" t="s">
        <v>348</v>
      </c>
      <c r="AG255" t="s">
        <v>2188</v>
      </c>
      <c r="AH255" t="s">
        <v>2187</v>
      </c>
      <c r="AI255">
        <v>0</v>
      </c>
      <c r="AJ255">
        <v>3</v>
      </c>
      <c r="AK255">
        <v>0</v>
      </c>
      <c r="AL255">
        <v>0</v>
      </c>
      <c r="AM255" s="176">
        <v>0</v>
      </c>
      <c r="AN255" s="176">
        <v>2650000000</v>
      </c>
      <c r="AO255" s="176">
        <v>0</v>
      </c>
      <c r="AP255" s="176">
        <v>0</v>
      </c>
      <c r="AQ255" s="176">
        <v>2650000000</v>
      </c>
      <c r="AR255" t="s">
        <v>1156</v>
      </c>
      <c r="AS255" s="175">
        <v>10</v>
      </c>
    </row>
    <row r="256" spans="1:45" x14ac:dyDescent="0.25">
      <c r="A256">
        <v>2</v>
      </c>
      <c r="B256" t="s">
        <v>3255</v>
      </c>
      <c r="C256">
        <v>255</v>
      </c>
      <c r="D256" t="s">
        <v>19</v>
      </c>
      <c r="E256" t="s">
        <v>20</v>
      </c>
      <c r="F256" t="s">
        <v>2385</v>
      </c>
      <c r="G256" t="s">
        <v>638</v>
      </c>
      <c r="H256" t="s">
        <v>639</v>
      </c>
      <c r="I256" s="188">
        <v>2.75E-2</v>
      </c>
      <c r="J256">
        <v>2024</v>
      </c>
      <c r="K256" t="s">
        <v>640</v>
      </c>
      <c r="L256" t="s">
        <v>641</v>
      </c>
      <c r="M256" t="s">
        <v>25</v>
      </c>
      <c r="N256" t="s">
        <v>27</v>
      </c>
      <c r="O256" t="s">
        <v>642</v>
      </c>
      <c r="P256">
        <v>43</v>
      </c>
      <c r="Q256" t="s">
        <v>643</v>
      </c>
      <c r="R256" s="175" t="s">
        <v>1348</v>
      </c>
      <c r="S256" t="s">
        <v>660</v>
      </c>
      <c r="T256" s="175" t="s">
        <v>1352</v>
      </c>
      <c r="U256" t="s">
        <v>1353</v>
      </c>
      <c r="V256" t="s">
        <v>1351</v>
      </c>
      <c r="W256" t="s">
        <v>1354</v>
      </c>
      <c r="X256" s="175" t="s">
        <v>1355</v>
      </c>
      <c r="Y256" t="s">
        <v>1356</v>
      </c>
      <c r="Z256" t="s">
        <v>2133</v>
      </c>
      <c r="AA256" t="s">
        <v>36</v>
      </c>
      <c r="AB256">
        <v>0</v>
      </c>
      <c r="AC256" t="s">
        <v>2185</v>
      </c>
      <c r="AD256" t="s">
        <v>2322</v>
      </c>
      <c r="AE256" t="s">
        <v>3130</v>
      </c>
      <c r="AF256" t="s">
        <v>348</v>
      </c>
      <c r="AG256" t="s">
        <v>2188</v>
      </c>
      <c r="AH256" t="s">
        <v>2187</v>
      </c>
      <c r="AI256">
        <v>1</v>
      </c>
      <c r="AJ256">
        <v>0</v>
      </c>
      <c r="AK256">
        <v>0</v>
      </c>
      <c r="AL256">
        <v>0</v>
      </c>
      <c r="AM256" s="176">
        <v>1364078290</v>
      </c>
      <c r="AN256" s="176">
        <v>0</v>
      </c>
      <c r="AO256" s="176">
        <v>0</v>
      </c>
      <c r="AP256" s="176">
        <v>0</v>
      </c>
      <c r="AQ256" s="176">
        <v>1364078290</v>
      </c>
      <c r="AR256" t="s">
        <v>1156</v>
      </c>
      <c r="AS256" s="175">
        <v>10</v>
      </c>
    </row>
    <row r="257" spans="1:45" x14ac:dyDescent="0.25">
      <c r="A257">
        <v>2</v>
      </c>
      <c r="B257" t="s">
        <v>3255</v>
      </c>
      <c r="C257">
        <v>256</v>
      </c>
      <c r="D257" t="s">
        <v>19</v>
      </c>
      <c r="E257" t="s">
        <v>20</v>
      </c>
      <c r="F257" t="s">
        <v>2385</v>
      </c>
      <c r="G257" t="s">
        <v>638</v>
      </c>
      <c r="H257" t="s">
        <v>639</v>
      </c>
      <c r="I257" s="188">
        <v>2.75E-2</v>
      </c>
      <c r="J257">
        <v>2024</v>
      </c>
      <c r="K257" t="s">
        <v>640</v>
      </c>
      <c r="L257" t="s">
        <v>641</v>
      </c>
      <c r="M257" t="s">
        <v>25</v>
      </c>
      <c r="N257" t="s">
        <v>27</v>
      </c>
      <c r="O257" t="s">
        <v>642</v>
      </c>
      <c r="P257">
        <v>43</v>
      </c>
      <c r="Q257" t="s">
        <v>643</v>
      </c>
      <c r="R257" s="175" t="s">
        <v>1348</v>
      </c>
      <c r="S257" t="s">
        <v>660</v>
      </c>
      <c r="T257" s="175" t="s">
        <v>1357</v>
      </c>
      <c r="U257" t="s">
        <v>1358</v>
      </c>
      <c r="V257" t="s">
        <v>1359</v>
      </c>
      <c r="W257" t="s">
        <v>1354</v>
      </c>
      <c r="X257" s="175" t="s">
        <v>1360</v>
      </c>
      <c r="Y257" t="s">
        <v>1361</v>
      </c>
      <c r="Z257" t="s">
        <v>1362</v>
      </c>
      <c r="AA257" t="s">
        <v>36</v>
      </c>
      <c r="AB257">
        <v>0</v>
      </c>
      <c r="AC257" t="s">
        <v>2185</v>
      </c>
      <c r="AD257" t="s">
        <v>2322</v>
      </c>
      <c r="AE257" t="s">
        <v>3130</v>
      </c>
      <c r="AF257" t="s">
        <v>348</v>
      </c>
      <c r="AG257" t="s">
        <v>2188</v>
      </c>
      <c r="AH257" t="s">
        <v>2187</v>
      </c>
      <c r="AI257">
        <v>0</v>
      </c>
      <c r="AJ257" t="s">
        <v>3198</v>
      </c>
      <c r="AK257" t="s">
        <v>3204</v>
      </c>
      <c r="AL257" t="s">
        <v>3206</v>
      </c>
      <c r="AM257" s="176">
        <v>0</v>
      </c>
      <c r="AN257" s="176">
        <v>1000000000</v>
      </c>
      <c r="AO257" s="176">
        <v>3000000000</v>
      </c>
      <c r="AP257" s="176">
        <v>6000000000</v>
      </c>
      <c r="AQ257" s="176">
        <v>10000000000</v>
      </c>
      <c r="AR257" t="s">
        <v>1156</v>
      </c>
      <c r="AS257" s="175">
        <v>10</v>
      </c>
    </row>
    <row r="258" spans="1:45" x14ac:dyDescent="0.25">
      <c r="A258">
        <v>2</v>
      </c>
      <c r="B258" t="s">
        <v>3255</v>
      </c>
      <c r="C258">
        <v>257</v>
      </c>
      <c r="D258" t="s">
        <v>19</v>
      </c>
      <c r="E258" t="s">
        <v>20</v>
      </c>
      <c r="F258" t="s">
        <v>2385</v>
      </c>
      <c r="G258" t="s">
        <v>638</v>
      </c>
      <c r="H258" t="s">
        <v>639</v>
      </c>
      <c r="I258" s="188">
        <v>2.75E-2</v>
      </c>
      <c r="J258">
        <v>2024</v>
      </c>
      <c r="K258" t="s">
        <v>640</v>
      </c>
      <c r="L258" t="s">
        <v>641</v>
      </c>
      <c r="M258" t="s">
        <v>25</v>
      </c>
      <c r="N258" t="s">
        <v>27</v>
      </c>
      <c r="O258" t="s">
        <v>642</v>
      </c>
      <c r="P258">
        <v>43</v>
      </c>
      <c r="Q258" t="s">
        <v>643</v>
      </c>
      <c r="R258" s="175" t="s">
        <v>1348</v>
      </c>
      <c r="S258" t="s">
        <v>660</v>
      </c>
      <c r="T258" s="175" t="s">
        <v>1363</v>
      </c>
      <c r="U258" t="s">
        <v>1364</v>
      </c>
      <c r="V258" t="s">
        <v>1359</v>
      </c>
      <c r="W258" t="s">
        <v>1365</v>
      </c>
      <c r="X258" s="175" t="s">
        <v>1366</v>
      </c>
      <c r="Y258" t="s">
        <v>1364</v>
      </c>
      <c r="Z258" t="s">
        <v>2101</v>
      </c>
      <c r="AA258" t="s">
        <v>36</v>
      </c>
      <c r="AB258">
        <v>0</v>
      </c>
      <c r="AC258" t="s">
        <v>2185</v>
      </c>
      <c r="AD258" t="s">
        <v>2322</v>
      </c>
      <c r="AE258" t="s">
        <v>3130</v>
      </c>
      <c r="AF258" t="s">
        <v>348</v>
      </c>
      <c r="AG258" t="s">
        <v>2188</v>
      </c>
      <c r="AH258" t="s">
        <v>2187</v>
      </c>
      <c r="AI258">
        <v>0</v>
      </c>
      <c r="AJ258" t="s">
        <v>3194</v>
      </c>
      <c r="AK258" t="s">
        <v>3223</v>
      </c>
      <c r="AL258" t="s">
        <v>3203</v>
      </c>
      <c r="AM258" s="176">
        <v>0</v>
      </c>
      <c r="AN258" s="176">
        <v>5000000000</v>
      </c>
      <c r="AO258" s="176">
        <v>7000000000</v>
      </c>
      <c r="AP258" s="176">
        <v>8000000000</v>
      </c>
      <c r="AQ258" s="176">
        <v>20000000000</v>
      </c>
      <c r="AR258" t="s">
        <v>1156</v>
      </c>
      <c r="AS258" s="175">
        <v>10</v>
      </c>
    </row>
    <row r="259" spans="1:45" x14ac:dyDescent="0.25">
      <c r="A259">
        <v>2</v>
      </c>
      <c r="B259" t="s">
        <v>3255</v>
      </c>
      <c r="C259">
        <v>258</v>
      </c>
      <c r="D259" t="s">
        <v>19</v>
      </c>
      <c r="E259" t="s">
        <v>20</v>
      </c>
      <c r="F259" t="s">
        <v>2385</v>
      </c>
      <c r="G259" t="s">
        <v>638</v>
      </c>
      <c r="H259" t="s">
        <v>639</v>
      </c>
      <c r="I259" s="188">
        <v>2.75E-2</v>
      </c>
      <c r="J259">
        <v>2024</v>
      </c>
      <c r="K259" t="s">
        <v>640</v>
      </c>
      <c r="L259" t="s">
        <v>641</v>
      </c>
      <c r="M259" t="s">
        <v>25</v>
      </c>
      <c r="N259" t="s">
        <v>27</v>
      </c>
      <c r="O259" t="s">
        <v>642</v>
      </c>
      <c r="P259">
        <v>43</v>
      </c>
      <c r="Q259" t="s">
        <v>643</v>
      </c>
      <c r="R259" s="175" t="s">
        <v>1348</v>
      </c>
      <c r="S259" t="s">
        <v>660</v>
      </c>
      <c r="T259" s="175" t="s">
        <v>1367</v>
      </c>
      <c r="U259" t="s">
        <v>1368</v>
      </c>
      <c r="V259" t="s">
        <v>1359</v>
      </c>
      <c r="W259" t="s">
        <v>1369</v>
      </c>
      <c r="X259" s="175" t="s">
        <v>1370</v>
      </c>
      <c r="Y259" t="s">
        <v>1371</v>
      </c>
      <c r="Z259" t="s">
        <v>2102</v>
      </c>
      <c r="AA259" t="s">
        <v>36</v>
      </c>
      <c r="AB259">
        <v>0</v>
      </c>
      <c r="AC259" t="s">
        <v>2185</v>
      </c>
      <c r="AD259" t="s">
        <v>2322</v>
      </c>
      <c r="AE259" t="s">
        <v>3130</v>
      </c>
      <c r="AF259" t="s">
        <v>348</v>
      </c>
      <c r="AG259" t="s">
        <v>2188</v>
      </c>
      <c r="AH259" t="s">
        <v>2187</v>
      </c>
      <c r="AI259">
        <v>0</v>
      </c>
      <c r="AJ259">
        <v>1</v>
      </c>
      <c r="AK259">
        <v>0</v>
      </c>
      <c r="AL259">
        <v>0</v>
      </c>
      <c r="AM259" s="176">
        <v>0</v>
      </c>
      <c r="AN259" s="176">
        <v>10000000000</v>
      </c>
      <c r="AO259" s="176">
        <v>0</v>
      </c>
      <c r="AP259" s="176">
        <v>0</v>
      </c>
      <c r="AQ259" s="176">
        <v>10000000000</v>
      </c>
      <c r="AR259" t="s">
        <v>1156</v>
      </c>
      <c r="AS259" s="175">
        <v>10</v>
      </c>
    </row>
    <row r="260" spans="1:45" x14ac:dyDescent="0.25">
      <c r="A260">
        <v>2</v>
      </c>
      <c r="B260" t="s">
        <v>3255</v>
      </c>
      <c r="C260">
        <v>259</v>
      </c>
      <c r="D260" t="s">
        <v>19</v>
      </c>
      <c r="E260" t="s">
        <v>20</v>
      </c>
      <c r="F260" t="s">
        <v>2385</v>
      </c>
      <c r="G260" t="s">
        <v>638</v>
      </c>
      <c r="H260" t="s">
        <v>639</v>
      </c>
      <c r="I260" s="188">
        <v>2.75E-2</v>
      </c>
      <c r="J260">
        <v>2024</v>
      </c>
      <c r="K260" t="s">
        <v>640</v>
      </c>
      <c r="L260" t="s">
        <v>641</v>
      </c>
      <c r="M260" t="s">
        <v>25</v>
      </c>
      <c r="N260" t="s">
        <v>27</v>
      </c>
      <c r="O260" t="s">
        <v>642</v>
      </c>
      <c r="P260">
        <v>43</v>
      </c>
      <c r="Q260" t="s">
        <v>643</v>
      </c>
      <c r="R260" s="175" t="s">
        <v>1348</v>
      </c>
      <c r="S260" t="s">
        <v>660</v>
      </c>
      <c r="T260" s="175" t="s">
        <v>1372</v>
      </c>
      <c r="U260" t="s">
        <v>1373</v>
      </c>
      <c r="V260" t="s">
        <v>1374</v>
      </c>
      <c r="W260" t="s">
        <v>1375</v>
      </c>
      <c r="X260" s="175" t="s">
        <v>1376</v>
      </c>
      <c r="Y260" t="s">
        <v>1373</v>
      </c>
      <c r="Z260" t="s">
        <v>1377</v>
      </c>
      <c r="AA260" t="s">
        <v>36</v>
      </c>
      <c r="AB260">
        <v>0</v>
      </c>
      <c r="AC260" t="s">
        <v>2185</v>
      </c>
      <c r="AD260" t="s">
        <v>2322</v>
      </c>
      <c r="AE260" t="s">
        <v>3130</v>
      </c>
      <c r="AF260" t="s">
        <v>348</v>
      </c>
      <c r="AG260" t="s">
        <v>2188</v>
      </c>
      <c r="AH260" t="s">
        <v>2187</v>
      </c>
      <c r="AI260">
        <v>0</v>
      </c>
      <c r="AJ260">
        <v>1</v>
      </c>
      <c r="AK260">
        <v>0</v>
      </c>
      <c r="AL260">
        <v>0</v>
      </c>
      <c r="AM260" s="176">
        <v>0</v>
      </c>
      <c r="AN260" s="176">
        <v>10295000000</v>
      </c>
      <c r="AO260" s="176">
        <v>0</v>
      </c>
      <c r="AP260" s="176">
        <v>0</v>
      </c>
      <c r="AQ260" s="176">
        <v>10295000000</v>
      </c>
      <c r="AR260" t="s">
        <v>1156</v>
      </c>
      <c r="AS260" s="175">
        <v>10</v>
      </c>
    </row>
    <row r="261" spans="1:45" x14ac:dyDescent="0.25">
      <c r="A261">
        <v>2</v>
      </c>
      <c r="B261" t="s">
        <v>3255</v>
      </c>
      <c r="C261">
        <v>260</v>
      </c>
      <c r="D261" t="s">
        <v>19</v>
      </c>
      <c r="E261" t="s">
        <v>20</v>
      </c>
      <c r="F261" t="s">
        <v>2385</v>
      </c>
      <c r="G261" t="s">
        <v>638</v>
      </c>
      <c r="H261" t="s">
        <v>639</v>
      </c>
      <c r="I261" s="188">
        <v>2.75E-2</v>
      </c>
      <c r="J261">
        <v>2024</v>
      </c>
      <c r="K261" t="s">
        <v>640</v>
      </c>
      <c r="L261" t="s">
        <v>641</v>
      </c>
      <c r="M261" t="s">
        <v>25</v>
      </c>
      <c r="O261" t="s">
        <v>642</v>
      </c>
      <c r="P261">
        <v>43</v>
      </c>
      <c r="Q261" t="s">
        <v>643</v>
      </c>
      <c r="R261" s="175" t="s">
        <v>644</v>
      </c>
      <c r="S261" t="s">
        <v>2469</v>
      </c>
      <c r="T261" s="175" t="s">
        <v>1378</v>
      </c>
      <c r="U261" t="s">
        <v>1379</v>
      </c>
      <c r="V261" t="s">
        <v>1380</v>
      </c>
      <c r="W261" t="s">
        <v>1381</v>
      </c>
      <c r="X261" s="175" t="s">
        <v>1382</v>
      </c>
      <c r="Y261" t="s">
        <v>1379</v>
      </c>
      <c r="Z261" t="s">
        <v>1383</v>
      </c>
      <c r="AA261" t="s">
        <v>36</v>
      </c>
      <c r="AB261">
        <v>0</v>
      </c>
      <c r="AC261" t="s">
        <v>2185</v>
      </c>
      <c r="AD261" t="s">
        <v>2322</v>
      </c>
      <c r="AE261" t="s">
        <v>3130</v>
      </c>
      <c r="AF261" t="s">
        <v>348</v>
      </c>
      <c r="AG261" t="s">
        <v>2188</v>
      </c>
      <c r="AH261" t="s">
        <v>2187</v>
      </c>
      <c r="AI261">
        <v>0</v>
      </c>
      <c r="AJ261">
        <v>0</v>
      </c>
      <c r="AK261">
        <v>1</v>
      </c>
      <c r="AL261">
        <v>0</v>
      </c>
      <c r="AM261" s="176">
        <v>0</v>
      </c>
      <c r="AN261" s="176">
        <v>0</v>
      </c>
      <c r="AO261" s="176">
        <v>3000000000</v>
      </c>
      <c r="AP261" s="176">
        <v>0</v>
      </c>
      <c r="AQ261" s="176">
        <v>3000000000</v>
      </c>
      <c r="AR261" t="s">
        <v>1156</v>
      </c>
      <c r="AS261" s="175">
        <v>10</v>
      </c>
    </row>
    <row r="262" spans="1:45" x14ac:dyDescent="0.25">
      <c r="A262">
        <v>2</v>
      </c>
      <c r="B262" t="s">
        <v>3255</v>
      </c>
      <c r="C262">
        <v>261</v>
      </c>
      <c r="D262" t="s">
        <v>19</v>
      </c>
      <c r="E262" t="s">
        <v>20</v>
      </c>
      <c r="F262" t="s">
        <v>2385</v>
      </c>
      <c r="G262" t="s">
        <v>638</v>
      </c>
      <c r="H262" t="s">
        <v>639</v>
      </c>
      <c r="I262" s="188">
        <v>2.75E-2</v>
      </c>
      <c r="J262">
        <v>2024</v>
      </c>
      <c r="K262" t="s">
        <v>640</v>
      </c>
      <c r="L262" t="s">
        <v>641</v>
      </c>
      <c r="M262" t="s">
        <v>25</v>
      </c>
      <c r="O262" t="s">
        <v>642</v>
      </c>
      <c r="P262">
        <v>43</v>
      </c>
      <c r="Q262" t="s">
        <v>643</v>
      </c>
      <c r="R262" s="175" t="s">
        <v>644</v>
      </c>
      <c r="S262" t="s">
        <v>2469</v>
      </c>
      <c r="T262" s="175" t="s">
        <v>1384</v>
      </c>
      <c r="U262" t="s">
        <v>1385</v>
      </c>
      <c r="V262" t="s">
        <v>1351</v>
      </c>
      <c r="W262" t="s">
        <v>1381</v>
      </c>
      <c r="X262" s="175" t="s">
        <v>1386</v>
      </c>
      <c r="Y262" t="s">
        <v>1385</v>
      </c>
      <c r="Z262" t="s">
        <v>1387</v>
      </c>
      <c r="AA262" t="s">
        <v>36</v>
      </c>
      <c r="AB262">
        <v>0</v>
      </c>
      <c r="AC262" t="s">
        <v>2185</v>
      </c>
      <c r="AD262" t="s">
        <v>2322</v>
      </c>
      <c r="AE262" t="s">
        <v>3130</v>
      </c>
      <c r="AF262" t="s">
        <v>348</v>
      </c>
      <c r="AG262" t="s">
        <v>2188</v>
      </c>
      <c r="AH262" t="s">
        <v>2187</v>
      </c>
      <c r="AI262">
        <v>0</v>
      </c>
      <c r="AJ262">
        <v>1</v>
      </c>
      <c r="AK262">
        <v>0</v>
      </c>
      <c r="AL262">
        <v>0</v>
      </c>
      <c r="AM262" s="176">
        <v>0</v>
      </c>
      <c r="AN262" s="176">
        <v>1500000000</v>
      </c>
      <c r="AO262" s="176">
        <v>0</v>
      </c>
      <c r="AP262" s="176">
        <v>0</v>
      </c>
      <c r="AQ262" s="176">
        <v>1500000000</v>
      </c>
      <c r="AR262" t="s">
        <v>1156</v>
      </c>
      <c r="AS262" s="175">
        <v>10</v>
      </c>
    </row>
    <row r="263" spans="1:45" x14ac:dyDescent="0.25">
      <c r="A263">
        <v>2</v>
      </c>
      <c r="B263" t="s">
        <v>3255</v>
      </c>
      <c r="C263">
        <v>262</v>
      </c>
      <c r="D263" t="s">
        <v>224</v>
      </c>
      <c r="E263" t="s">
        <v>291</v>
      </c>
      <c r="F263" t="s">
        <v>2385</v>
      </c>
      <c r="G263" t="s">
        <v>673</v>
      </c>
      <c r="H263" t="s">
        <v>674</v>
      </c>
      <c r="I263" s="180" t="s">
        <v>675</v>
      </c>
      <c r="J263">
        <v>2022</v>
      </c>
      <c r="K263" t="s">
        <v>676</v>
      </c>
      <c r="L263" t="s">
        <v>677</v>
      </c>
      <c r="M263" t="s">
        <v>25</v>
      </c>
      <c r="O263" t="s">
        <v>678</v>
      </c>
      <c r="P263">
        <v>17</v>
      </c>
      <c r="Q263" t="s">
        <v>680</v>
      </c>
      <c r="R263" s="175" t="s">
        <v>743</v>
      </c>
      <c r="S263" t="s">
        <v>744</v>
      </c>
      <c r="T263" s="175" t="s">
        <v>1389</v>
      </c>
      <c r="U263" t="s">
        <v>1390</v>
      </c>
      <c r="V263" t="s">
        <v>1391</v>
      </c>
      <c r="W263" t="s">
        <v>1392</v>
      </c>
      <c r="X263" s="175" t="s">
        <v>1393</v>
      </c>
      <c r="Y263" t="s">
        <v>1394</v>
      </c>
      <c r="Z263" t="s">
        <v>2103</v>
      </c>
      <c r="AA263" t="s">
        <v>36</v>
      </c>
      <c r="AB263">
        <v>0</v>
      </c>
      <c r="AC263" t="s">
        <v>2185</v>
      </c>
      <c r="AD263" t="s">
        <v>2322</v>
      </c>
      <c r="AE263" t="s">
        <v>3130</v>
      </c>
      <c r="AF263" t="s">
        <v>2327</v>
      </c>
      <c r="AG263" t="s">
        <v>2328</v>
      </c>
      <c r="AH263" t="s">
        <v>2191</v>
      </c>
      <c r="AI263" t="s">
        <v>3231</v>
      </c>
      <c r="AJ263" t="s">
        <v>3232</v>
      </c>
      <c r="AK263" t="s">
        <v>3229</v>
      </c>
      <c r="AL263" t="s">
        <v>3229</v>
      </c>
      <c r="AM263" s="176">
        <v>13865586131</v>
      </c>
      <c r="AN263" s="176">
        <v>25656758393</v>
      </c>
      <c r="AO263" s="176">
        <v>12856758393</v>
      </c>
      <c r="AP263" s="176">
        <v>12856758393</v>
      </c>
      <c r="AQ263" s="176">
        <v>65235861310</v>
      </c>
      <c r="AR263" t="s">
        <v>1156</v>
      </c>
      <c r="AS263" s="175">
        <v>10</v>
      </c>
    </row>
    <row r="264" spans="1:45" x14ac:dyDescent="0.25">
      <c r="A264">
        <v>2</v>
      </c>
      <c r="B264" t="s">
        <v>3255</v>
      </c>
      <c r="C264">
        <v>263</v>
      </c>
      <c r="D264" t="s">
        <v>630</v>
      </c>
      <c r="E264" t="s">
        <v>314</v>
      </c>
      <c r="F264" t="s">
        <v>2385</v>
      </c>
      <c r="G264" t="s">
        <v>1395</v>
      </c>
      <c r="H264" t="s">
        <v>1396</v>
      </c>
      <c r="I264" s="180">
        <v>0.91359999999999997</v>
      </c>
      <c r="J264">
        <v>2022</v>
      </c>
      <c r="K264" t="s">
        <v>1397</v>
      </c>
      <c r="L264" t="s">
        <v>2088</v>
      </c>
      <c r="M264" t="s">
        <v>25</v>
      </c>
      <c r="O264" t="s">
        <v>636</v>
      </c>
      <c r="P264">
        <v>40</v>
      </c>
      <c r="Q264" t="s">
        <v>1157</v>
      </c>
      <c r="R264" s="175">
        <v>4003</v>
      </c>
      <c r="S264" t="s">
        <v>1398</v>
      </c>
      <c r="T264" s="175">
        <v>4003017</v>
      </c>
      <c r="U264" t="s">
        <v>1399</v>
      </c>
      <c r="V264" t="s">
        <v>1400</v>
      </c>
      <c r="W264" t="s">
        <v>1401</v>
      </c>
      <c r="X264" s="175">
        <v>400301700</v>
      </c>
      <c r="Y264" t="s">
        <v>1399</v>
      </c>
      <c r="Z264" t="s">
        <v>3135</v>
      </c>
      <c r="AA264" t="s">
        <v>36</v>
      </c>
      <c r="AB264">
        <v>25</v>
      </c>
      <c r="AC264" t="s">
        <v>2185</v>
      </c>
      <c r="AD264" t="s">
        <v>3136</v>
      </c>
      <c r="AE264" t="s">
        <v>3137</v>
      </c>
      <c r="AF264" t="s">
        <v>3138</v>
      </c>
      <c r="AG264" t="s">
        <v>2287</v>
      </c>
      <c r="AH264" t="s">
        <v>2187</v>
      </c>
      <c r="AI264" t="s">
        <v>3197</v>
      </c>
      <c r="AJ264" t="s">
        <v>3233</v>
      </c>
      <c r="AK264">
        <v>2</v>
      </c>
      <c r="AL264">
        <v>2</v>
      </c>
      <c r="AM264" s="176">
        <v>5082361540</v>
      </c>
      <c r="AN264" s="176" t="s">
        <v>2806</v>
      </c>
      <c r="AO264" s="176" t="s">
        <v>2806</v>
      </c>
      <c r="AP264" s="176" t="s">
        <v>2806</v>
      </c>
      <c r="AQ264" s="176" t="s">
        <v>2807</v>
      </c>
      <c r="AR264" t="s">
        <v>1901</v>
      </c>
      <c r="AS264" s="175">
        <v>15</v>
      </c>
    </row>
    <row r="265" spans="1:45" x14ac:dyDescent="0.25">
      <c r="A265">
        <v>2</v>
      </c>
      <c r="B265" t="s">
        <v>3255</v>
      </c>
      <c r="C265">
        <v>264</v>
      </c>
      <c r="D265" t="s">
        <v>630</v>
      </c>
      <c r="E265" t="s">
        <v>314</v>
      </c>
      <c r="F265" t="s">
        <v>2385</v>
      </c>
      <c r="G265" t="s">
        <v>1395</v>
      </c>
      <c r="H265" t="s">
        <v>1396</v>
      </c>
      <c r="I265" s="180">
        <v>0.91359999999999997</v>
      </c>
      <c r="J265">
        <v>2022</v>
      </c>
      <c r="K265" t="s">
        <v>1397</v>
      </c>
      <c r="L265" t="s">
        <v>2088</v>
      </c>
      <c r="M265" t="s">
        <v>25</v>
      </c>
      <c r="O265" t="s">
        <v>636</v>
      </c>
      <c r="P265">
        <v>40</v>
      </c>
      <c r="Q265" t="s">
        <v>1157</v>
      </c>
      <c r="R265" s="175">
        <v>4003</v>
      </c>
      <c r="S265" t="s">
        <v>1398</v>
      </c>
      <c r="T265" s="175">
        <v>4003015</v>
      </c>
      <c r="U265" t="s">
        <v>1404</v>
      </c>
      <c r="V265" t="s">
        <v>1405</v>
      </c>
      <c r="W265" t="s">
        <v>1401</v>
      </c>
      <c r="X265" s="175">
        <v>400301500</v>
      </c>
      <c r="Y265" t="s">
        <v>1404</v>
      </c>
      <c r="Z265" t="s">
        <v>1406</v>
      </c>
      <c r="AA265" t="s">
        <v>36</v>
      </c>
      <c r="AB265">
        <v>0</v>
      </c>
      <c r="AC265" t="s">
        <v>2185</v>
      </c>
      <c r="AD265" t="s">
        <v>3139</v>
      </c>
      <c r="AE265" t="s">
        <v>3137</v>
      </c>
      <c r="AF265" t="s">
        <v>3138</v>
      </c>
      <c r="AG265" t="s">
        <v>2287</v>
      </c>
      <c r="AH265" t="s">
        <v>2187</v>
      </c>
      <c r="AI265" t="s">
        <v>3197</v>
      </c>
      <c r="AJ265" t="s">
        <v>3197</v>
      </c>
      <c r="AK265" t="s">
        <v>3197</v>
      </c>
      <c r="AL265" t="s">
        <v>3197</v>
      </c>
      <c r="AM265" s="176">
        <v>774823280</v>
      </c>
      <c r="AN265" s="176">
        <v>774823280</v>
      </c>
      <c r="AO265" s="176">
        <v>774823280</v>
      </c>
      <c r="AP265" s="176">
        <v>774823280</v>
      </c>
      <c r="AQ265" s="176">
        <v>3099293120</v>
      </c>
      <c r="AR265" t="s">
        <v>1901</v>
      </c>
      <c r="AS265" s="175">
        <v>15</v>
      </c>
    </row>
    <row r="266" spans="1:45" x14ac:dyDescent="0.25">
      <c r="A266">
        <v>2</v>
      </c>
      <c r="B266" t="s">
        <v>3255</v>
      </c>
      <c r="C266">
        <v>265</v>
      </c>
      <c r="D266" t="s">
        <v>630</v>
      </c>
      <c r="E266" t="s">
        <v>314</v>
      </c>
      <c r="F266" t="s">
        <v>2385</v>
      </c>
      <c r="G266" t="s">
        <v>1407</v>
      </c>
      <c r="H266" t="s">
        <v>1408</v>
      </c>
      <c r="I266" s="180">
        <v>0.54390000000000005</v>
      </c>
      <c r="J266">
        <v>2022</v>
      </c>
      <c r="K266" t="s">
        <v>634</v>
      </c>
      <c r="L266" t="s">
        <v>1409</v>
      </c>
      <c r="M266" t="s">
        <v>25</v>
      </c>
      <c r="O266" t="s">
        <v>636</v>
      </c>
      <c r="P266">
        <v>40</v>
      </c>
      <c r="Q266" t="s">
        <v>1157</v>
      </c>
      <c r="R266" s="175">
        <v>4003</v>
      </c>
      <c r="S266" t="s">
        <v>1398</v>
      </c>
      <c r="T266" s="175">
        <v>4003015</v>
      </c>
      <c r="U266" t="s">
        <v>1404</v>
      </c>
      <c r="V266" t="s">
        <v>1405</v>
      </c>
      <c r="W266" t="s">
        <v>1401</v>
      </c>
      <c r="X266" s="175">
        <v>400301500</v>
      </c>
      <c r="Y266" t="s">
        <v>1404</v>
      </c>
      <c r="Z266" t="s">
        <v>1410</v>
      </c>
      <c r="AA266" t="s">
        <v>36</v>
      </c>
      <c r="AB266">
        <v>3</v>
      </c>
      <c r="AC266" t="s">
        <v>2185</v>
      </c>
      <c r="AD266" t="s">
        <v>3139</v>
      </c>
      <c r="AE266" t="s">
        <v>3137</v>
      </c>
      <c r="AF266" t="s">
        <v>3138</v>
      </c>
      <c r="AG266" t="s">
        <v>2287</v>
      </c>
      <c r="AH266" t="s">
        <v>2187</v>
      </c>
      <c r="AI266" t="s">
        <v>3202</v>
      </c>
      <c r="AJ266" t="s">
        <v>3202</v>
      </c>
      <c r="AK266" t="s">
        <v>3206</v>
      </c>
      <c r="AL266">
        <v>1</v>
      </c>
      <c r="AM266" s="176" t="s">
        <v>2808</v>
      </c>
      <c r="AN266" s="176" t="s">
        <v>2809</v>
      </c>
      <c r="AO266" s="176" t="s">
        <v>2809</v>
      </c>
      <c r="AP266" s="176" t="s">
        <v>2809</v>
      </c>
      <c r="AQ266" s="176" t="s">
        <v>2810</v>
      </c>
      <c r="AR266" t="s">
        <v>1901</v>
      </c>
      <c r="AS266" s="175">
        <v>15</v>
      </c>
    </row>
    <row r="267" spans="1:45" x14ac:dyDescent="0.25">
      <c r="A267">
        <v>2</v>
      </c>
      <c r="B267" t="s">
        <v>3255</v>
      </c>
      <c r="C267">
        <v>266</v>
      </c>
      <c r="D267" t="s">
        <v>630</v>
      </c>
      <c r="E267" t="s">
        <v>314</v>
      </c>
      <c r="F267" t="s">
        <v>2385</v>
      </c>
      <c r="G267" t="s">
        <v>1407</v>
      </c>
      <c r="H267" t="s">
        <v>1408</v>
      </c>
      <c r="I267" s="180">
        <v>0.54390000000000005</v>
      </c>
      <c r="J267">
        <v>2022</v>
      </c>
      <c r="K267" t="s">
        <v>634</v>
      </c>
      <c r="L267" t="s">
        <v>1409</v>
      </c>
      <c r="M267" t="s">
        <v>25</v>
      </c>
      <c r="O267" t="s">
        <v>636</v>
      </c>
      <c r="P267">
        <v>40</v>
      </c>
      <c r="Q267" t="s">
        <v>1157</v>
      </c>
      <c r="R267" s="175">
        <v>4003</v>
      </c>
      <c r="S267" t="s">
        <v>1398</v>
      </c>
      <c r="T267" s="175">
        <v>4003042</v>
      </c>
      <c r="U267" t="s">
        <v>1416</v>
      </c>
      <c r="V267" t="s">
        <v>1349</v>
      </c>
      <c r="W267" t="s">
        <v>1417</v>
      </c>
      <c r="X267" s="175">
        <v>400304200</v>
      </c>
      <c r="Y267" t="s">
        <v>1418</v>
      </c>
      <c r="Z267" t="s">
        <v>1419</v>
      </c>
      <c r="AA267" t="s">
        <v>36</v>
      </c>
      <c r="AB267">
        <v>163</v>
      </c>
      <c r="AC267" t="s">
        <v>2185</v>
      </c>
      <c r="AD267" t="s">
        <v>3139</v>
      </c>
      <c r="AE267" t="s">
        <v>3137</v>
      </c>
      <c r="AF267" t="s">
        <v>3138</v>
      </c>
      <c r="AG267" t="s">
        <v>2287</v>
      </c>
      <c r="AH267" t="s">
        <v>2187</v>
      </c>
      <c r="AI267">
        <v>8</v>
      </c>
      <c r="AJ267">
        <v>15</v>
      </c>
      <c r="AK267">
        <v>15</v>
      </c>
      <c r="AL267">
        <v>17</v>
      </c>
      <c r="AM267" s="176" t="s">
        <v>2811</v>
      </c>
      <c r="AN267" s="176" t="s">
        <v>2812</v>
      </c>
      <c r="AO267" s="176" t="s">
        <v>2812</v>
      </c>
      <c r="AP267" s="176" t="s">
        <v>2812</v>
      </c>
      <c r="AQ267" s="176" t="s">
        <v>2813</v>
      </c>
      <c r="AR267" t="s">
        <v>1901</v>
      </c>
      <c r="AS267" s="175">
        <v>15</v>
      </c>
    </row>
    <row r="268" spans="1:45" x14ac:dyDescent="0.25">
      <c r="A268">
        <v>2</v>
      </c>
      <c r="B268" t="s">
        <v>3255</v>
      </c>
      <c r="C268">
        <v>267</v>
      </c>
      <c r="D268" t="s">
        <v>630</v>
      </c>
      <c r="E268" t="s">
        <v>314</v>
      </c>
      <c r="F268" t="s">
        <v>2385</v>
      </c>
      <c r="G268" t="s">
        <v>1420</v>
      </c>
      <c r="H268" t="s">
        <v>1421</v>
      </c>
      <c r="I268" s="180">
        <v>0.24360000000000001</v>
      </c>
      <c r="J268">
        <v>2022</v>
      </c>
      <c r="K268" t="s">
        <v>1397</v>
      </c>
      <c r="L268" t="s">
        <v>3140</v>
      </c>
      <c r="M268" t="s">
        <v>25</v>
      </c>
      <c r="O268" t="s">
        <v>636</v>
      </c>
      <c r="P268">
        <v>40</v>
      </c>
      <c r="Q268" t="s">
        <v>1157</v>
      </c>
      <c r="R268" s="175">
        <v>4003</v>
      </c>
      <c r="S268" t="s">
        <v>1398</v>
      </c>
      <c r="T268" s="175">
        <v>4003015</v>
      </c>
      <c r="U268" t="s">
        <v>1404</v>
      </c>
      <c r="V268" t="s">
        <v>1405</v>
      </c>
      <c r="W268" t="s">
        <v>1401</v>
      </c>
      <c r="X268" s="175">
        <v>400301500</v>
      </c>
      <c r="Y268" t="s">
        <v>1404</v>
      </c>
      <c r="Z268" t="s">
        <v>3141</v>
      </c>
      <c r="AA268" t="s">
        <v>36</v>
      </c>
      <c r="AB268">
        <v>26</v>
      </c>
      <c r="AC268" t="s">
        <v>2185</v>
      </c>
      <c r="AD268" t="s">
        <v>3139</v>
      </c>
      <c r="AE268" t="s">
        <v>3137</v>
      </c>
      <c r="AF268" t="s">
        <v>3138</v>
      </c>
      <c r="AG268" t="s">
        <v>2287</v>
      </c>
      <c r="AH268" t="s">
        <v>2187</v>
      </c>
      <c r="AI268" t="s">
        <v>3194</v>
      </c>
      <c r="AJ268">
        <v>1</v>
      </c>
      <c r="AK268" t="s">
        <v>3201</v>
      </c>
      <c r="AL268">
        <v>2</v>
      </c>
      <c r="AM268" s="176" t="s">
        <v>2814</v>
      </c>
      <c r="AN268" s="176" t="s">
        <v>2815</v>
      </c>
      <c r="AO268" s="176" t="s">
        <v>2815</v>
      </c>
      <c r="AP268" s="176" t="s">
        <v>2815</v>
      </c>
      <c r="AQ268" s="176" t="s">
        <v>2816</v>
      </c>
      <c r="AR268" t="s">
        <v>1901</v>
      </c>
      <c r="AS268" s="175">
        <v>15</v>
      </c>
    </row>
    <row r="269" spans="1:45" x14ac:dyDescent="0.25">
      <c r="A269">
        <v>2</v>
      </c>
      <c r="B269" t="s">
        <v>3255</v>
      </c>
      <c r="C269">
        <v>268</v>
      </c>
      <c r="D269" t="s">
        <v>630</v>
      </c>
      <c r="E269" t="s">
        <v>314</v>
      </c>
      <c r="F269" t="s">
        <v>2385</v>
      </c>
      <c r="G269" t="s">
        <v>1420</v>
      </c>
      <c r="H269" t="s">
        <v>1421</v>
      </c>
      <c r="I269" s="180">
        <v>0.24360000000000001</v>
      </c>
      <c r="J269">
        <v>2022</v>
      </c>
      <c r="K269" t="s">
        <v>1397</v>
      </c>
      <c r="L269" t="s">
        <v>3140</v>
      </c>
      <c r="M269" t="s">
        <v>25</v>
      </c>
      <c r="O269" t="s">
        <v>636</v>
      </c>
      <c r="P269">
        <v>40</v>
      </c>
      <c r="Q269" t="s">
        <v>1157</v>
      </c>
      <c r="R269" s="175">
        <v>4003</v>
      </c>
      <c r="S269" t="s">
        <v>1398</v>
      </c>
      <c r="T269" s="175">
        <v>4003016</v>
      </c>
      <c r="U269" t="s">
        <v>1423</v>
      </c>
      <c r="V269" t="s">
        <v>1424</v>
      </c>
      <c r="W269" t="s">
        <v>1401</v>
      </c>
      <c r="X269" s="175">
        <v>400301600</v>
      </c>
      <c r="Y269" t="s">
        <v>1423</v>
      </c>
      <c r="Z269" t="s">
        <v>1425</v>
      </c>
      <c r="AA269" t="s">
        <v>36</v>
      </c>
      <c r="AB269">
        <v>0</v>
      </c>
      <c r="AC269" t="s">
        <v>2185</v>
      </c>
      <c r="AD269" t="s">
        <v>3139</v>
      </c>
      <c r="AE269" t="s">
        <v>3137</v>
      </c>
      <c r="AF269" t="s">
        <v>3138</v>
      </c>
      <c r="AG269" t="s">
        <v>2287</v>
      </c>
      <c r="AH269" t="s">
        <v>2187</v>
      </c>
      <c r="AI269" t="s">
        <v>3198</v>
      </c>
      <c r="AJ269" t="s">
        <v>3204</v>
      </c>
      <c r="AK269" t="s">
        <v>3204</v>
      </c>
      <c r="AL269" t="s">
        <v>3204</v>
      </c>
      <c r="AM269" s="176" t="s">
        <v>2817</v>
      </c>
      <c r="AN269" s="176" t="s">
        <v>2818</v>
      </c>
      <c r="AO269" s="176" t="s">
        <v>2818</v>
      </c>
      <c r="AP269" s="176" t="s">
        <v>2818</v>
      </c>
      <c r="AQ269" s="176" t="s">
        <v>2819</v>
      </c>
      <c r="AR269" t="s">
        <v>1901</v>
      </c>
      <c r="AS269" s="175">
        <v>15</v>
      </c>
    </row>
    <row r="270" spans="1:45" x14ac:dyDescent="0.25">
      <c r="A270">
        <v>2</v>
      </c>
      <c r="B270" t="s">
        <v>3255</v>
      </c>
      <c r="C270">
        <v>269</v>
      </c>
      <c r="D270" t="s">
        <v>630</v>
      </c>
      <c r="E270" t="s">
        <v>314</v>
      </c>
      <c r="F270" t="s">
        <v>2385</v>
      </c>
      <c r="G270" t="s">
        <v>1420</v>
      </c>
      <c r="H270" t="s">
        <v>1421</v>
      </c>
      <c r="I270" s="180">
        <v>0.24360000000000001</v>
      </c>
      <c r="J270">
        <v>2022</v>
      </c>
      <c r="K270" t="s">
        <v>1397</v>
      </c>
      <c r="L270" t="s">
        <v>3140</v>
      </c>
      <c r="M270" t="s">
        <v>25</v>
      </c>
      <c r="O270" t="s">
        <v>636</v>
      </c>
      <c r="P270">
        <v>40</v>
      </c>
      <c r="Q270" t="s">
        <v>1157</v>
      </c>
      <c r="R270" s="175">
        <v>4003</v>
      </c>
      <c r="S270" t="s">
        <v>1398</v>
      </c>
      <c r="T270" s="175">
        <v>4003017</v>
      </c>
      <c r="U270" t="s">
        <v>1399</v>
      </c>
      <c r="V270" t="s">
        <v>1400</v>
      </c>
      <c r="W270" t="s">
        <v>1401</v>
      </c>
      <c r="X270" s="175">
        <v>400301700</v>
      </c>
      <c r="Y270" t="s">
        <v>1399</v>
      </c>
      <c r="Z270" t="s">
        <v>3142</v>
      </c>
      <c r="AA270" t="s">
        <v>36</v>
      </c>
      <c r="AB270">
        <v>11</v>
      </c>
      <c r="AC270" t="s">
        <v>2185</v>
      </c>
      <c r="AD270" t="s">
        <v>3139</v>
      </c>
      <c r="AE270" t="s">
        <v>3137</v>
      </c>
      <c r="AF270" t="s">
        <v>3138</v>
      </c>
      <c r="AG270" t="s">
        <v>2287</v>
      </c>
      <c r="AH270" t="s">
        <v>2187</v>
      </c>
      <c r="AI270">
        <v>1</v>
      </c>
      <c r="AJ270">
        <v>1</v>
      </c>
      <c r="AK270">
        <v>2</v>
      </c>
      <c r="AL270">
        <v>3</v>
      </c>
      <c r="AM270" s="176" t="s">
        <v>2820</v>
      </c>
      <c r="AN270" s="176" t="s">
        <v>2821</v>
      </c>
      <c r="AO270" s="176" t="s">
        <v>2821</v>
      </c>
      <c r="AP270" s="176" t="s">
        <v>2821</v>
      </c>
      <c r="AQ270" s="176" t="s">
        <v>2822</v>
      </c>
      <c r="AR270" t="s">
        <v>1901</v>
      </c>
      <c r="AS270" s="175">
        <v>15</v>
      </c>
    </row>
    <row r="271" spans="1:45" x14ac:dyDescent="0.25">
      <c r="A271">
        <v>2</v>
      </c>
      <c r="B271" t="s">
        <v>3255</v>
      </c>
      <c r="C271">
        <v>270</v>
      </c>
      <c r="D271" t="s">
        <v>630</v>
      </c>
      <c r="E271" t="s">
        <v>314</v>
      </c>
      <c r="F271" t="s">
        <v>2385</v>
      </c>
      <c r="G271" t="s">
        <v>1427</v>
      </c>
      <c r="H271" t="s">
        <v>1428</v>
      </c>
      <c r="I271" s="180">
        <v>0.89339999999999997</v>
      </c>
      <c r="J271">
        <v>2022</v>
      </c>
      <c r="K271" t="s">
        <v>1397</v>
      </c>
      <c r="L271" t="s">
        <v>2085</v>
      </c>
      <c r="M271" t="s">
        <v>25</v>
      </c>
      <c r="O271" t="s">
        <v>636</v>
      </c>
      <c r="P271">
        <v>40</v>
      </c>
      <c r="Q271" t="s">
        <v>1157</v>
      </c>
      <c r="R271" s="175" t="s">
        <v>1429</v>
      </c>
      <c r="S271" t="s">
        <v>1398</v>
      </c>
      <c r="T271" s="175">
        <v>4003018</v>
      </c>
      <c r="U271" t="s">
        <v>1430</v>
      </c>
      <c r="V271" t="s">
        <v>1431</v>
      </c>
      <c r="W271" t="s">
        <v>1432</v>
      </c>
      <c r="X271" s="175">
        <v>400301800</v>
      </c>
      <c r="Y271" t="s">
        <v>1430</v>
      </c>
      <c r="Z271" t="s">
        <v>1433</v>
      </c>
      <c r="AA271" t="s">
        <v>36</v>
      </c>
      <c r="AB271">
        <v>9</v>
      </c>
      <c r="AC271" t="s">
        <v>2185</v>
      </c>
      <c r="AD271" t="s">
        <v>3136</v>
      </c>
      <c r="AE271" t="s">
        <v>3137</v>
      </c>
      <c r="AF271" t="s">
        <v>3138</v>
      </c>
      <c r="AG271" t="s">
        <v>2287</v>
      </c>
      <c r="AH271" t="s">
        <v>2187</v>
      </c>
      <c r="AI271" t="s">
        <v>3198</v>
      </c>
      <c r="AJ271" t="s">
        <v>3204</v>
      </c>
      <c r="AK271" t="s">
        <v>3204</v>
      </c>
      <c r="AL271" t="s">
        <v>3204</v>
      </c>
      <c r="AM271" s="176">
        <v>2579631300</v>
      </c>
      <c r="AN271" s="176">
        <v>2579631300</v>
      </c>
      <c r="AO271" s="176">
        <v>2579631300</v>
      </c>
      <c r="AP271" s="176">
        <v>2579631300</v>
      </c>
      <c r="AQ271" s="176">
        <v>10318525200</v>
      </c>
      <c r="AR271" t="s">
        <v>1901</v>
      </c>
      <c r="AS271" s="175">
        <v>15</v>
      </c>
    </row>
    <row r="272" spans="1:45" x14ac:dyDescent="0.25">
      <c r="A272">
        <v>2</v>
      </c>
      <c r="B272" t="s">
        <v>3255</v>
      </c>
      <c r="C272">
        <v>271</v>
      </c>
      <c r="D272" t="s">
        <v>630</v>
      </c>
      <c r="E272" t="s">
        <v>314</v>
      </c>
      <c r="F272" t="s">
        <v>2385</v>
      </c>
      <c r="G272" t="s">
        <v>1427</v>
      </c>
      <c r="H272" t="s">
        <v>1428</v>
      </c>
      <c r="I272" s="180">
        <v>0.89339999999999997</v>
      </c>
      <c r="J272">
        <v>2022</v>
      </c>
      <c r="K272" t="s">
        <v>1397</v>
      </c>
      <c r="L272" t="s">
        <v>2085</v>
      </c>
      <c r="M272" t="s">
        <v>25</v>
      </c>
      <c r="O272" t="s">
        <v>636</v>
      </c>
      <c r="P272">
        <v>40</v>
      </c>
      <c r="Q272" t="s">
        <v>1157</v>
      </c>
      <c r="R272" s="175" t="s">
        <v>1429</v>
      </c>
      <c r="S272" t="s">
        <v>1398</v>
      </c>
      <c r="T272" s="175">
        <v>4003019</v>
      </c>
      <c r="U272" t="s">
        <v>1434</v>
      </c>
      <c r="V272" t="s">
        <v>1435</v>
      </c>
      <c r="W272" t="s">
        <v>1432</v>
      </c>
      <c r="X272" s="175">
        <v>400301900</v>
      </c>
      <c r="Y272" t="s">
        <v>1434</v>
      </c>
      <c r="Z272" t="s">
        <v>2105</v>
      </c>
      <c r="AA272" t="s">
        <v>36</v>
      </c>
      <c r="AB272">
        <v>5</v>
      </c>
      <c r="AC272" t="s">
        <v>2185</v>
      </c>
      <c r="AD272" t="s">
        <v>3136</v>
      </c>
      <c r="AE272" t="s">
        <v>3137</v>
      </c>
      <c r="AF272" t="s">
        <v>3138</v>
      </c>
      <c r="AG272" t="s">
        <v>2287</v>
      </c>
      <c r="AH272" t="s">
        <v>2187</v>
      </c>
      <c r="AI272" t="s">
        <v>3204</v>
      </c>
      <c r="AJ272" t="s">
        <v>3223</v>
      </c>
      <c r="AK272">
        <v>1</v>
      </c>
      <c r="AL272">
        <v>1</v>
      </c>
      <c r="AM272" s="176" t="s">
        <v>2823</v>
      </c>
      <c r="AN272" s="176" t="s">
        <v>2824</v>
      </c>
      <c r="AO272" s="176" t="s">
        <v>2824</v>
      </c>
      <c r="AP272" s="176" t="s">
        <v>2824</v>
      </c>
      <c r="AQ272" s="176" t="s">
        <v>2825</v>
      </c>
      <c r="AR272" t="s">
        <v>1901</v>
      </c>
      <c r="AS272" s="175">
        <v>15</v>
      </c>
    </row>
    <row r="273" spans="1:45" x14ac:dyDescent="0.25">
      <c r="A273">
        <v>2</v>
      </c>
      <c r="B273" t="s">
        <v>3255</v>
      </c>
      <c r="C273">
        <v>272</v>
      </c>
      <c r="D273" t="s">
        <v>630</v>
      </c>
      <c r="E273" t="s">
        <v>314</v>
      </c>
      <c r="F273" t="s">
        <v>2385</v>
      </c>
      <c r="G273" t="s">
        <v>1427</v>
      </c>
      <c r="H273" t="s">
        <v>1428</v>
      </c>
      <c r="I273" s="180">
        <v>0.89339999999999997</v>
      </c>
      <c r="J273">
        <v>2022</v>
      </c>
      <c r="K273" t="s">
        <v>1397</v>
      </c>
      <c r="L273" t="s">
        <v>2085</v>
      </c>
      <c r="M273" t="s">
        <v>25</v>
      </c>
      <c r="O273" t="s">
        <v>636</v>
      </c>
      <c r="P273">
        <v>40</v>
      </c>
      <c r="Q273" t="s">
        <v>1157</v>
      </c>
      <c r="R273" s="175" t="s">
        <v>1429</v>
      </c>
      <c r="S273" t="s">
        <v>1398</v>
      </c>
      <c r="T273" s="175">
        <v>4003020</v>
      </c>
      <c r="U273" t="s">
        <v>1436</v>
      </c>
      <c r="V273" t="s">
        <v>1437</v>
      </c>
      <c r="W273" t="s">
        <v>1432</v>
      </c>
      <c r="X273" s="175">
        <v>400302000</v>
      </c>
      <c r="Y273" t="s">
        <v>1438</v>
      </c>
      <c r="Z273" t="s">
        <v>1439</v>
      </c>
      <c r="AA273" t="s">
        <v>36</v>
      </c>
      <c r="AB273">
        <v>13</v>
      </c>
      <c r="AC273" t="s">
        <v>2185</v>
      </c>
      <c r="AD273" t="s">
        <v>3136</v>
      </c>
      <c r="AE273" t="s">
        <v>3137</v>
      </c>
      <c r="AF273" t="s">
        <v>3138</v>
      </c>
      <c r="AG273" t="s">
        <v>2287</v>
      </c>
      <c r="AH273" t="s">
        <v>2187</v>
      </c>
      <c r="AI273">
        <v>1</v>
      </c>
      <c r="AJ273">
        <v>2</v>
      </c>
      <c r="AK273">
        <v>3</v>
      </c>
      <c r="AL273">
        <v>2</v>
      </c>
      <c r="AM273" s="176" t="s">
        <v>2826</v>
      </c>
      <c r="AN273" s="176" t="s">
        <v>2827</v>
      </c>
      <c r="AO273" s="176" t="s">
        <v>2828</v>
      </c>
      <c r="AP273" s="176" t="s">
        <v>2829</v>
      </c>
      <c r="AQ273" s="176" t="s">
        <v>2830</v>
      </c>
      <c r="AR273" t="s">
        <v>1901</v>
      </c>
      <c r="AS273" s="175">
        <v>15</v>
      </c>
    </row>
    <row r="274" spans="1:45" x14ac:dyDescent="0.25">
      <c r="A274">
        <v>2</v>
      </c>
      <c r="B274" t="s">
        <v>3255</v>
      </c>
      <c r="C274">
        <v>273</v>
      </c>
      <c r="D274" t="s">
        <v>630</v>
      </c>
      <c r="E274" t="s">
        <v>314</v>
      </c>
      <c r="F274" t="s">
        <v>2385</v>
      </c>
      <c r="G274" t="s">
        <v>1440</v>
      </c>
      <c r="H274" t="s">
        <v>1441</v>
      </c>
      <c r="I274" s="180">
        <v>8.0399999999999999E-2</v>
      </c>
      <c r="J274">
        <v>2022</v>
      </c>
      <c r="K274" t="s">
        <v>1397</v>
      </c>
      <c r="L274" t="s">
        <v>3143</v>
      </c>
      <c r="M274" t="s">
        <v>25</v>
      </c>
      <c r="O274" t="s">
        <v>636</v>
      </c>
      <c r="P274">
        <v>40</v>
      </c>
      <c r="Q274" t="s">
        <v>1157</v>
      </c>
      <c r="R274" s="175" t="s">
        <v>1429</v>
      </c>
      <c r="S274" t="s">
        <v>1398</v>
      </c>
      <c r="T274" s="175">
        <v>4003018</v>
      </c>
      <c r="U274" t="s">
        <v>1430</v>
      </c>
      <c r="V274" t="s">
        <v>1431</v>
      </c>
      <c r="W274" t="s">
        <v>1432</v>
      </c>
      <c r="X274" s="175">
        <v>400301800</v>
      </c>
      <c r="Y274" t="s">
        <v>1430</v>
      </c>
      <c r="Z274" t="s">
        <v>3144</v>
      </c>
      <c r="AA274" t="s">
        <v>36</v>
      </c>
      <c r="AB274">
        <v>13</v>
      </c>
      <c r="AC274" t="s">
        <v>2185</v>
      </c>
      <c r="AD274" t="s">
        <v>3139</v>
      </c>
      <c r="AE274" t="s">
        <v>3137</v>
      </c>
      <c r="AF274" t="s">
        <v>3138</v>
      </c>
      <c r="AG274" t="s">
        <v>2287</v>
      </c>
      <c r="AH274" t="s">
        <v>2187</v>
      </c>
      <c r="AI274" t="s">
        <v>3206</v>
      </c>
      <c r="AJ274" t="s">
        <v>3202</v>
      </c>
      <c r="AK274" t="s">
        <v>3198</v>
      </c>
      <c r="AL274" t="s">
        <v>3198</v>
      </c>
      <c r="AM274" s="176">
        <v>716270000</v>
      </c>
      <c r="AN274" s="176">
        <v>742871600</v>
      </c>
      <c r="AO274" s="176">
        <v>742871600</v>
      </c>
      <c r="AP274" s="176">
        <v>742871600</v>
      </c>
      <c r="AQ274" s="176">
        <v>2944884800</v>
      </c>
      <c r="AR274" t="s">
        <v>1901</v>
      </c>
      <c r="AS274" s="175">
        <v>15</v>
      </c>
    </row>
    <row r="275" spans="1:45" x14ac:dyDescent="0.25">
      <c r="A275">
        <v>2</v>
      </c>
      <c r="B275" t="s">
        <v>3255</v>
      </c>
      <c r="C275">
        <v>274</v>
      </c>
      <c r="D275" t="s">
        <v>630</v>
      </c>
      <c r="E275" t="s">
        <v>314</v>
      </c>
      <c r="F275" t="s">
        <v>2385</v>
      </c>
      <c r="G275" t="s">
        <v>1440</v>
      </c>
      <c r="H275" t="s">
        <v>1441</v>
      </c>
      <c r="I275" s="180">
        <v>8.0399999999999999E-2</v>
      </c>
      <c r="J275">
        <v>2022</v>
      </c>
      <c r="K275" t="s">
        <v>1397</v>
      </c>
      <c r="L275" t="s">
        <v>3143</v>
      </c>
      <c r="M275" t="s">
        <v>25</v>
      </c>
      <c r="O275" t="s">
        <v>636</v>
      </c>
      <c r="P275">
        <v>40</v>
      </c>
      <c r="Q275" t="s">
        <v>1157</v>
      </c>
      <c r="R275" s="175">
        <v>4003</v>
      </c>
      <c r="S275" t="s">
        <v>1398</v>
      </c>
      <c r="T275" s="175">
        <v>4003019</v>
      </c>
      <c r="U275" t="s">
        <v>1434</v>
      </c>
      <c r="V275" t="s">
        <v>1435</v>
      </c>
      <c r="W275" t="s">
        <v>1432</v>
      </c>
      <c r="X275" s="175">
        <v>400301900</v>
      </c>
      <c r="Y275" t="s">
        <v>1434</v>
      </c>
      <c r="Z275" t="s">
        <v>3145</v>
      </c>
      <c r="AA275" t="s">
        <v>36</v>
      </c>
      <c r="AB275">
        <v>4</v>
      </c>
      <c r="AC275" t="s">
        <v>2185</v>
      </c>
      <c r="AD275" t="s">
        <v>3139</v>
      </c>
      <c r="AE275" t="s">
        <v>3137</v>
      </c>
      <c r="AF275" t="s">
        <v>3138</v>
      </c>
      <c r="AG275" t="s">
        <v>2287</v>
      </c>
      <c r="AH275" t="s">
        <v>2187</v>
      </c>
      <c r="AI275" t="s">
        <v>3198</v>
      </c>
      <c r="AJ275" t="s">
        <v>3204</v>
      </c>
      <c r="AK275" t="s">
        <v>3204</v>
      </c>
      <c r="AL275" t="s">
        <v>3204</v>
      </c>
      <c r="AM275" s="176" t="s">
        <v>2831</v>
      </c>
      <c r="AN275" s="176" t="s">
        <v>2832</v>
      </c>
      <c r="AO275" s="176" t="s">
        <v>2832</v>
      </c>
      <c r="AP275" s="176" t="s">
        <v>2832</v>
      </c>
      <c r="AQ275" s="176" t="s">
        <v>2833</v>
      </c>
      <c r="AR275" t="s">
        <v>1901</v>
      </c>
      <c r="AS275" s="175">
        <v>15</v>
      </c>
    </row>
    <row r="276" spans="1:45" x14ac:dyDescent="0.25">
      <c r="A276">
        <v>2</v>
      </c>
      <c r="B276" t="s">
        <v>3255</v>
      </c>
      <c r="C276">
        <v>275</v>
      </c>
      <c r="D276" t="s">
        <v>630</v>
      </c>
      <c r="E276" t="s">
        <v>314</v>
      </c>
      <c r="F276" t="s">
        <v>2385</v>
      </c>
      <c r="G276" t="s">
        <v>1440</v>
      </c>
      <c r="H276" t="s">
        <v>1441</v>
      </c>
      <c r="I276" s="180">
        <v>8.0399999999999999E-2</v>
      </c>
      <c r="J276">
        <v>2022</v>
      </c>
      <c r="K276" t="s">
        <v>1397</v>
      </c>
      <c r="L276" t="s">
        <v>3143</v>
      </c>
      <c r="M276" t="s">
        <v>25</v>
      </c>
      <c r="O276" t="s">
        <v>636</v>
      </c>
      <c r="P276">
        <v>40</v>
      </c>
      <c r="Q276" t="s">
        <v>1157</v>
      </c>
      <c r="R276" s="175">
        <v>4003</v>
      </c>
      <c r="S276" t="s">
        <v>1398</v>
      </c>
      <c r="T276" s="175">
        <v>4003020</v>
      </c>
      <c r="U276" t="s">
        <v>1436</v>
      </c>
      <c r="V276" t="s">
        <v>1437</v>
      </c>
      <c r="W276" t="s">
        <v>1432</v>
      </c>
      <c r="X276" s="175">
        <v>400302000</v>
      </c>
      <c r="Y276" t="s">
        <v>1438</v>
      </c>
      <c r="Z276" t="s">
        <v>1443</v>
      </c>
      <c r="AA276" t="s">
        <v>36</v>
      </c>
      <c r="AB276">
        <v>4</v>
      </c>
      <c r="AC276" t="s">
        <v>2185</v>
      </c>
      <c r="AD276" t="s">
        <v>3139</v>
      </c>
      <c r="AE276" t="s">
        <v>3137</v>
      </c>
      <c r="AF276" t="s">
        <v>3138</v>
      </c>
      <c r="AG276" t="s">
        <v>2287</v>
      </c>
      <c r="AH276" t="s">
        <v>2187</v>
      </c>
      <c r="AI276" t="s">
        <v>3202</v>
      </c>
      <c r="AJ276" t="s">
        <v>3203</v>
      </c>
      <c r="AK276">
        <v>1</v>
      </c>
      <c r="AL276">
        <v>1</v>
      </c>
      <c r="AM276" s="176" t="s">
        <v>2834</v>
      </c>
      <c r="AN276" s="176" t="s">
        <v>2835</v>
      </c>
      <c r="AO276" s="176" t="s">
        <v>2836</v>
      </c>
      <c r="AP276" s="176" t="s">
        <v>2837</v>
      </c>
      <c r="AQ276" s="176" t="s">
        <v>2838</v>
      </c>
      <c r="AR276" t="s">
        <v>1901</v>
      </c>
      <c r="AS276" s="175">
        <v>15</v>
      </c>
    </row>
    <row r="277" spans="1:45" x14ac:dyDescent="0.25">
      <c r="A277">
        <v>2</v>
      </c>
      <c r="B277" t="s">
        <v>3255</v>
      </c>
      <c r="C277">
        <v>276</v>
      </c>
      <c r="D277" t="s">
        <v>630</v>
      </c>
      <c r="E277" t="s">
        <v>314</v>
      </c>
      <c r="F277" t="s">
        <v>2385</v>
      </c>
      <c r="G277" t="s">
        <v>1444</v>
      </c>
      <c r="H277" t="s">
        <v>1445</v>
      </c>
      <c r="I277" s="180">
        <v>0.86360000000000003</v>
      </c>
      <c r="J277">
        <v>2022</v>
      </c>
      <c r="K277" t="s">
        <v>1450</v>
      </c>
      <c r="L277" t="s">
        <v>1446</v>
      </c>
      <c r="M277" t="s">
        <v>25</v>
      </c>
      <c r="O277" t="s">
        <v>636</v>
      </c>
      <c r="P277">
        <v>40</v>
      </c>
      <c r="Q277" t="s">
        <v>1157</v>
      </c>
      <c r="R277" s="175" t="s">
        <v>1429</v>
      </c>
      <c r="S277" t="s">
        <v>1398</v>
      </c>
      <c r="T277" s="175">
        <v>4003010</v>
      </c>
      <c r="U277" t="s">
        <v>1447</v>
      </c>
      <c r="V277" t="s">
        <v>1448</v>
      </c>
      <c r="W277" t="s">
        <v>615</v>
      </c>
      <c r="X277" s="175">
        <v>400301000</v>
      </c>
      <c r="Y277" t="s">
        <v>1449</v>
      </c>
      <c r="Z277" t="s">
        <v>3146</v>
      </c>
      <c r="AA277" t="s">
        <v>36</v>
      </c>
      <c r="AB277">
        <v>103089</v>
      </c>
      <c r="AC277" t="s">
        <v>2185</v>
      </c>
      <c r="AD277" t="s">
        <v>3136</v>
      </c>
      <c r="AE277" t="s">
        <v>3137</v>
      </c>
      <c r="AF277" t="s">
        <v>3138</v>
      </c>
      <c r="AG277" t="s">
        <v>2289</v>
      </c>
      <c r="AH277" t="s">
        <v>2187</v>
      </c>
      <c r="AI277">
        <v>6000</v>
      </c>
      <c r="AJ277">
        <v>2000</v>
      </c>
      <c r="AK277">
        <v>1000</v>
      </c>
      <c r="AL277">
        <v>1000</v>
      </c>
      <c r="AM277" s="176">
        <v>2762750000</v>
      </c>
      <c r="AN277" s="176">
        <v>2929010000</v>
      </c>
      <c r="AO277" s="176">
        <v>2929010000</v>
      </c>
      <c r="AP277" s="176">
        <v>2929010000</v>
      </c>
      <c r="AQ277" s="176">
        <v>11549780000</v>
      </c>
      <c r="AR277" t="s">
        <v>1901</v>
      </c>
      <c r="AS277" s="175">
        <v>15</v>
      </c>
    </row>
    <row r="278" spans="1:45" x14ac:dyDescent="0.25">
      <c r="A278">
        <v>2</v>
      </c>
      <c r="B278" t="s">
        <v>3255</v>
      </c>
      <c r="C278">
        <v>277</v>
      </c>
      <c r="D278" t="s">
        <v>630</v>
      </c>
      <c r="E278" t="s">
        <v>314</v>
      </c>
      <c r="F278" t="s">
        <v>2385</v>
      </c>
      <c r="G278" t="s">
        <v>1444</v>
      </c>
      <c r="H278" t="s">
        <v>1445</v>
      </c>
      <c r="I278" s="180">
        <v>0.86360000000000003</v>
      </c>
      <c r="J278">
        <v>2022</v>
      </c>
      <c r="K278" t="s">
        <v>1450</v>
      </c>
      <c r="L278" t="s">
        <v>1446</v>
      </c>
      <c r="M278" t="s">
        <v>25</v>
      </c>
      <c r="O278" t="s">
        <v>636</v>
      </c>
      <c r="P278">
        <v>40</v>
      </c>
      <c r="Q278" t="s">
        <v>1157</v>
      </c>
      <c r="R278" s="175" t="s">
        <v>1429</v>
      </c>
      <c r="S278" t="s">
        <v>1398</v>
      </c>
      <c r="T278" s="175">
        <v>4003010</v>
      </c>
      <c r="U278" t="s">
        <v>1447</v>
      </c>
      <c r="V278" t="s">
        <v>1448</v>
      </c>
      <c r="W278" t="s">
        <v>615</v>
      </c>
      <c r="X278" s="175">
        <v>400301000</v>
      </c>
      <c r="Y278" t="s">
        <v>1449</v>
      </c>
      <c r="Z278" t="s">
        <v>3147</v>
      </c>
      <c r="AA278" t="s">
        <v>36</v>
      </c>
      <c r="AB278">
        <v>17696</v>
      </c>
      <c r="AC278" t="s">
        <v>2185</v>
      </c>
      <c r="AD278" t="s">
        <v>3136</v>
      </c>
      <c r="AE278" t="s">
        <v>3137</v>
      </c>
      <c r="AF278" t="s">
        <v>3138</v>
      </c>
      <c r="AG278" t="s">
        <v>2289</v>
      </c>
      <c r="AH278" t="s">
        <v>2187</v>
      </c>
      <c r="AI278">
        <v>600</v>
      </c>
      <c r="AJ278">
        <v>2000</v>
      </c>
      <c r="AK278">
        <v>1400</v>
      </c>
      <c r="AL278">
        <v>3000</v>
      </c>
      <c r="AM278" s="176">
        <v>332520000</v>
      </c>
      <c r="AN278" s="176">
        <v>359121600</v>
      </c>
      <c r="AO278" s="176">
        <v>359121600</v>
      </c>
      <c r="AP278" s="176">
        <v>359121600</v>
      </c>
      <c r="AQ278" s="176">
        <v>1409884800</v>
      </c>
      <c r="AR278" t="s">
        <v>1901</v>
      </c>
      <c r="AS278" s="175">
        <v>15</v>
      </c>
    </row>
    <row r="279" spans="1:45" x14ac:dyDescent="0.25">
      <c r="A279">
        <v>2</v>
      </c>
      <c r="B279" t="s">
        <v>3255</v>
      </c>
      <c r="C279">
        <v>278</v>
      </c>
      <c r="D279" t="s">
        <v>630</v>
      </c>
      <c r="E279" t="s">
        <v>314</v>
      </c>
      <c r="F279" t="s">
        <v>2385</v>
      </c>
      <c r="G279" t="s">
        <v>1444</v>
      </c>
      <c r="H279" t="s">
        <v>1445</v>
      </c>
      <c r="I279" s="180">
        <v>0.86360000000000003</v>
      </c>
      <c r="J279">
        <v>2022</v>
      </c>
      <c r="K279" t="s">
        <v>1450</v>
      </c>
      <c r="L279" t="s">
        <v>1446</v>
      </c>
      <c r="M279" t="s">
        <v>25</v>
      </c>
      <c r="O279" t="s">
        <v>636</v>
      </c>
      <c r="P279">
        <v>40</v>
      </c>
      <c r="Q279" t="s">
        <v>1157</v>
      </c>
      <c r="R279" s="175" t="s">
        <v>1429</v>
      </c>
      <c r="S279" t="s">
        <v>1398</v>
      </c>
      <c r="T279" s="175">
        <v>4003031</v>
      </c>
      <c r="U279" t="s">
        <v>1453</v>
      </c>
      <c r="V279" t="s">
        <v>1454</v>
      </c>
      <c r="W279" t="s">
        <v>1455</v>
      </c>
      <c r="X279" s="175">
        <v>400303100</v>
      </c>
      <c r="Y279" t="s">
        <v>1456</v>
      </c>
      <c r="Z279" t="s">
        <v>2089</v>
      </c>
      <c r="AA279" t="s">
        <v>36</v>
      </c>
      <c r="AB279">
        <v>0</v>
      </c>
      <c r="AC279" t="s">
        <v>2185</v>
      </c>
      <c r="AD279" t="s">
        <v>3136</v>
      </c>
      <c r="AE279" t="s">
        <v>3137</v>
      </c>
      <c r="AF279" t="s">
        <v>3138</v>
      </c>
      <c r="AG279" t="s">
        <v>2289</v>
      </c>
      <c r="AH279" t="s">
        <v>2187</v>
      </c>
      <c r="AI279" t="s">
        <v>3194</v>
      </c>
      <c r="AJ279">
        <v>1</v>
      </c>
      <c r="AK279">
        <v>1</v>
      </c>
      <c r="AL279" t="s">
        <v>3194</v>
      </c>
      <c r="AM279" s="176" t="s">
        <v>2831</v>
      </c>
      <c r="AN279" s="176" t="s">
        <v>2832</v>
      </c>
      <c r="AO279" s="176" t="s">
        <v>2832</v>
      </c>
      <c r="AP279" s="176" t="s">
        <v>2832</v>
      </c>
      <c r="AQ279" s="176" t="s">
        <v>2833</v>
      </c>
      <c r="AR279" t="s">
        <v>1901</v>
      </c>
      <c r="AS279" s="175">
        <v>15</v>
      </c>
    </row>
    <row r="280" spans="1:45" x14ac:dyDescent="0.25">
      <c r="A280">
        <v>2</v>
      </c>
      <c r="B280" t="s">
        <v>3255</v>
      </c>
      <c r="C280">
        <v>279</v>
      </c>
      <c r="D280" t="s">
        <v>630</v>
      </c>
      <c r="E280" t="s">
        <v>314</v>
      </c>
      <c r="F280" t="s">
        <v>2385</v>
      </c>
      <c r="G280" t="s">
        <v>1457</v>
      </c>
      <c r="H280" t="s">
        <v>1460</v>
      </c>
      <c r="I280" s="183" t="s">
        <v>1458</v>
      </c>
      <c r="J280">
        <v>2022</v>
      </c>
      <c r="K280" t="s">
        <v>634</v>
      </c>
      <c r="L280" t="s">
        <v>1459</v>
      </c>
      <c r="M280" t="s">
        <v>25</v>
      </c>
      <c r="O280" t="s">
        <v>636</v>
      </c>
      <c r="P280">
        <v>40</v>
      </c>
      <c r="Q280" t="s">
        <v>1157</v>
      </c>
      <c r="R280" s="175" t="s">
        <v>1429</v>
      </c>
      <c r="S280" t="s">
        <v>1398</v>
      </c>
      <c r="T280" s="175">
        <v>4003010</v>
      </c>
      <c r="U280" t="s">
        <v>1447</v>
      </c>
      <c r="V280" t="s">
        <v>1448</v>
      </c>
      <c r="W280" t="s">
        <v>615</v>
      </c>
      <c r="X280" s="175">
        <v>400301000</v>
      </c>
      <c r="Y280" t="s">
        <v>1449</v>
      </c>
      <c r="Z280" t="s">
        <v>1461</v>
      </c>
      <c r="AA280" t="s">
        <v>36</v>
      </c>
      <c r="AB280">
        <v>129752</v>
      </c>
      <c r="AC280" t="s">
        <v>2185</v>
      </c>
      <c r="AD280" t="s">
        <v>3136</v>
      </c>
      <c r="AE280" t="s">
        <v>3137</v>
      </c>
      <c r="AF280" t="s">
        <v>3138</v>
      </c>
      <c r="AG280" t="s">
        <v>2289</v>
      </c>
      <c r="AH280" t="s">
        <v>2187</v>
      </c>
      <c r="AI280">
        <v>1500</v>
      </c>
      <c r="AJ280">
        <v>1500</v>
      </c>
      <c r="AK280">
        <v>1500</v>
      </c>
      <c r="AL280">
        <v>1500</v>
      </c>
      <c r="AM280" s="176">
        <v>268750000</v>
      </c>
      <c r="AN280" s="176">
        <v>268750000</v>
      </c>
      <c r="AO280" s="176">
        <v>268750000</v>
      </c>
      <c r="AP280" s="176">
        <v>268750000</v>
      </c>
      <c r="AQ280" s="176">
        <v>1075000000</v>
      </c>
      <c r="AR280" t="s">
        <v>1901</v>
      </c>
      <c r="AS280" s="175">
        <v>15</v>
      </c>
    </row>
    <row r="281" spans="1:45" x14ac:dyDescent="0.25">
      <c r="A281">
        <v>2</v>
      </c>
      <c r="B281" t="s">
        <v>3255</v>
      </c>
      <c r="C281">
        <v>280</v>
      </c>
      <c r="D281" t="s">
        <v>630</v>
      </c>
      <c r="E281" t="s">
        <v>314</v>
      </c>
      <c r="F281" t="s">
        <v>2385</v>
      </c>
      <c r="G281" t="s">
        <v>2077</v>
      </c>
      <c r="H281" t="s">
        <v>2078</v>
      </c>
      <c r="I281" s="180">
        <v>5.0000000000000001E-3</v>
      </c>
      <c r="J281">
        <v>2023</v>
      </c>
      <c r="K281" t="s">
        <v>2083</v>
      </c>
      <c r="L281" t="s">
        <v>2084</v>
      </c>
      <c r="M281" t="s">
        <v>25</v>
      </c>
      <c r="O281" t="s">
        <v>636</v>
      </c>
      <c r="P281">
        <v>40</v>
      </c>
      <c r="Q281" t="s">
        <v>1157</v>
      </c>
      <c r="R281" s="175">
        <v>4003</v>
      </c>
      <c r="S281" t="s">
        <v>1398</v>
      </c>
      <c r="T281" s="175">
        <v>4003052</v>
      </c>
      <c r="U281" t="s">
        <v>1411</v>
      </c>
      <c r="V281" t="s">
        <v>1412</v>
      </c>
      <c r="W281" t="s">
        <v>234</v>
      </c>
      <c r="X281" s="175">
        <v>400305200</v>
      </c>
      <c r="Y281" t="s">
        <v>380</v>
      </c>
      <c r="Z281" t="s">
        <v>1413</v>
      </c>
      <c r="AA281" t="s">
        <v>36</v>
      </c>
      <c r="AB281">
        <v>4</v>
      </c>
      <c r="AC281" t="s">
        <v>2185</v>
      </c>
      <c r="AE281" t="s">
        <v>3137</v>
      </c>
      <c r="AF281" t="s">
        <v>3138</v>
      </c>
      <c r="AG281" t="s">
        <v>2210</v>
      </c>
      <c r="AH281" t="s">
        <v>2187</v>
      </c>
      <c r="AI281">
        <v>10</v>
      </c>
      <c r="AJ281">
        <v>10</v>
      </c>
      <c r="AK281">
        <v>10</v>
      </c>
      <c r="AL281">
        <v>10</v>
      </c>
      <c r="AM281" s="176" t="s">
        <v>2839</v>
      </c>
      <c r="AN281" s="176">
        <v>1213032960</v>
      </c>
      <c r="AO281" s="176">
        <v>1213032960</v>
      </c>
      <c r="AP281" s="176">
        <v>1213032960</v>
      </c>
      <c r="AQ281" s="176" t="s">
        <v>2840</v>
      </c>
      <c r="AR281" t="s">
        <v>1901</v>
      </c>
      <c r="AS281" s="175">
        <v>15</v>
      </c>
    </row>
    <row r="282" spans="1:45" x14ac:dyDescent="0.25">
      <c r="A282">
        <v>2</v>
      </c>
      <c r="B282" t="s">
        <v>3255</v>
      </c>
      <c r="C282">
        <v>281</v>
      </c>
      <c r="D282" t="s">
        <v>630</v>
      </c>
      <c r="E282" t="s">
        <v>314</v>
      </c>
      <c r="F282" t="s">
        <v>2385</v>
      </c>
      <c r="G282" t="s">
        <v>2077</v>
      </c>
      <c r="H282" t="s">
        <v>2078</v>
      </c>
      <c r="I282" s="180">
        <f>+I281</f>
        <v>5.0000000000000001E-3</v>
      </c>
      <c r="J282">
        <v>2023</v>
      </c>
      <c r="K282" t="s">
        <v>2083</v>
      </c>
      <c r="L282" t="s">
        <v>2084</v>
      </c>
      <c r="M282" t="s">
        <v>25</v>
      </c>
      <c r="O282" t="s">
        <v>636</v>
      </c>
      <c r="P282">
        <v>40</v>
      </c>
      <c r="Q282" t="s">
        <v>1157</v>
      </c>
      <c r="R282" s="175">
        <v>4003</v>
      </c>
      <c r="S282" t="s">
        <v>1398</v>
      </c>
      <c r="T282" s="175">
        <v>4003055</v>
      </c>
      <c r="U282" t="s">
        <v>232</v>
      </c>
      <c r="V282" t="s">
        <v>233</v>
      </c>
      <c r="W282" t="s">
        <v>1414</v>
      </c>
      <c r="X282" s="175">
        <v>400305500</v>
      </c>
      <c r="Y282" t="s">
        <v>380</v>
      </c>
      <c r="Z282" t="s">
        <v>1415</v>
      </c>
      <c r="AA282" t="s">
        <v>36</v>
      </c>
      <c r="AB282">
        <v>4</v>
      </c>
      <c r="AC282" t="s">
        <v>2185</v>
      </c>
      <c r="AE282" t="s">
        <v>3137</v>
      </c>
      <c r="AF282" t="s">
        <v>3138</v>
      </c>
      <c r="AG282" t="s">
        <v>2210</v>
      </c>
      <c r="AH282" t="s">
        <v>2187</v>
      </c>
      <c r="AI282">
        <v>10</v>
      </c>
      <c r="AJ282">
        <v>15</v>
      </c>
      <c r="AK282">
        <v>15</v>
      </c>
      <c r="AL282">
        <v>10</v>
      </c>
      <c r="AM282" s="176" t="s">
        <v>2841</v>
      </c>
      <c r="AN282" s="176">
        <v>1516291200</v>
      </c>
      <c r="AO282" s="176">
        <v>1516291200</v>
      </c>
      <c r="AP282" s="176">
        <v>1516291200</v>
      </c>
      <c r="AQ282" s="176" t="s">
        <v>2842</v>
      </c>
      <c r="AR282" t="s">
        <v>1901</v>
      </c>
      <c r="AS282" s="175">
        <v>15</v>
      </c>
    </row>
    <row r="283" spans="1:45" x14ac:dyDescent="0.25">
      <c r="A283">
        <v>2</v>
      </c>
      <c r="B283" t="s">
        <v>3255</v>
      </c>
      <c r="C283">
        <v>282</v>
      </c>
      <c r="D283" t="s">
        <v>630</v>
      </c>
      <c r="E283" t="s">
        <v>314</v>
      </c>
      <c r="F283" t="s">
        <v>2385</v>
      </c>
      <c r="G283" t="s">
        <v>631</v>
      </c>
      <c r="H283" t="s">
        <v>632</v>
      </c>
      <c r="I283" s="183" t="s">
        <v>633</v>
      </c>
      <c r="J283">
        <v>2022</v>
      </c>
      <c r="K283" t="s">
        <v>634</v>
      </c>
      <c r="L283" t="s">
        <v>635</v>
      </c>
      <c r="M283" t="s">
        <v>36</v>
      </c>
      <c r="O283" t="s">
        <v>636</v>
      </c>
      <c r="P283">
        <v>40</v>
      </c>
      <c r="Q283" t="s">
        <v>1157</v>
      </c>
      <c r="R283" s="175">
        <v>4003</v>
      </c>
      <c r="S283" t="s">
        <v>1398</v>
      </c>
      <c r="T283" s="175">
        <v>4003053</v>
      </c>
      <c r="U283" t="s">
        <v>1462</v>
      </c>
      <c r="V283" t="s">
        <v>1463</v>
      </c>
      <c r="W283" t="s">
        <v>1464</v>
      </c>
      <c r="X283" s="175">
        <v>400305300</v>
      </c>
      <c r="Y283" t="s">
        <v>1465</v>
      </c>
      <c r="Z283" t="s">
        <v>1466</v>
      </c>
      <c r="AA283" t="s">
        <v>36</v>
      </c>
      <c r="AB283">
        <v>12</v>
      </c>
      <c r="AC283" t="s">
        <v>2185</v>
      </c>
      <c r="AD283" t="s">
        <v>3136</v>
      </c>
      <c r="AE283" t="s">
        <v>3137</v>
      </c>
      <c r="AF283" t="s">
        <v>3138</v>
      </c>
      <c r="AG283" t="s">
        <v>2290</v>
      </c>
      <c r="AH283" t="s">
        <v>2187</v>
      </c>
      <c r="AI283">
        <v>1</v>
      </c>
      <c r="AJ283">
        <v>15</v>
      </c>
      <c r="AK283">
        <v>4</v>
      </c>
      <c r="AL283">
        <v>4</v>
      </c>
      <c r="AM283" s="176" t="s">
        <v>2843</v>
      </c>
      <c r="AN283" s="176" t="s">
        <v>2844</v>
      </c>
      <c r="AO283" s="176" t="s">
        <v>2844</v>
      </c>
      <c r="AP283" s="176" t="s">
        <v>2844</v>
      </c>
      <c r="AQ283" s="176" t="s">
        <v>2845</v>
      </c>
      <c r="AR283" t="s">
        <v>1901</v>
      </c>
      <c r="AS283" s="175">
        <v>15</v>
      </c>
    </row>
    <row r="284" spans="1:45" x14ac:dyDescent="0.25">
      <c r="A284">
        <v>2</v>
      </c>
      <c r="B284" t="s">
        <v>3255</v>
      </c>
      <c r="C284">
        <v>283</v>
      </c>
      <c r="D284" t="s">
        <v>264</v>
      </c>
      <c r="E284" t="s">
        <v>265</v>
      </c>
      <c r="F284" t="s">
        <v>2388</v>
      </c>
      <c r="G284" t="s">
        <v>624</v>
      </c>
      <c r="H284" t="s">
        <v>625</v>
      </c>
      <c r="I284" s="181">
        <v>0.8</v>
      </c>
      <c r="J284">
        <v>2023</v>
      </c>
      <c r="K284" t="s">
        <v>3082</v>
      </c>
      <c r="L284" t="s">
        <v>627</v>
      </c>
      <c r="M284" t="s">
        <v>25</v>
      </c>
      <c r="N284" t="s">
        <v>2404</v>
      </c>
      <c r="O284" t="s">
        <v>1495</v>
      </c>
      <c r="P284">
        <v>45</v>
      </c>
      <c r="Q284" t="s">
        <v>786</v>
      </c>
      <c r="R284" s="175" t="s">
        <v>1467</v>
      </c>
      <c r="S284" t="s">
        <v>1468</v>
      </c>
      <c r="T284" s="175">
        <v>45020030</v>
      </c>
      <c r="U284" t="s">
        <v>1147</v>
      </c>
      <c r="V284" t="s">
        <v>1148</v>
      </c>
      <c r="W284" t="s">
        <v>500</v>
      </c>
      <c r="X284" s="175" t="s">
        <v>1469</v>
      </c>
      <c r="Y284" t="s">
        <v>1149</v>
      </c>
      <c r="Z284" t="s">
        <v>1470</v>
      </c>
      <c r="AA284" t="s">
        <v>36</v>
      </c>
      <c r="AB284">
        <v>0</v>
      </c>
      <c r="AC284" t="s">
        <v>2185</v>
      </c>
      <c r="AD284" t="s">
        <v>2405</v>
      </c>
      <c r="AE284" t="s">
        <v>3148</v>
      </c>
      <c r="AF284" t="s">
        <v>2187</v>
      </c>
      <c r="AG284" t="s">
        <v>2209</v>
      </c>
      <c r="AH284" t="s">
        <v>2187</v>
      </c>
      <c r="AI284" t="s">
        <v>3197</v>
      </c>
      <c r="AJ284" t="s">
        <v>3197</v>
      </c>
      <c r="AK284" t="s">
        <v>3197</v>
      </c>
      <c r="AL284" t="s">
        <v>3197</v>
      </c>
      <c r="AM284" s="176">
        <v>110000000</v>
      </c>
      <c r="AN284" s="176">
        <v>116457000</v>
      </c>
      <c r="AO284" s="176" t="s">
        <v>2846</v>
      </c>
      <c r="AP284" s="176" t="s">
        <v>2847</v>
      </c>
      <c r="AQ284" s="176" t="s">
        <v>2848</v>
      </c>
      <c r="AR284" t="s">
        <v>1902</v>
      </c>
      <c r="AS284" s="175">
        <v>8</v>
      </c>
    </row>
    <row r="285" spans="1:45" x14ac:dyDescent="0.25">
      <c r="A285">
        <v>2</v>
      </c>
      <c r="B285" t="s">
        <v>3255</v>
      </c>
      <c r="C285">
        <v>284</v>
      </c>
      <c r="D285" t="s">
        <v>264</v>
      </c>
      <c r="E285" t="s">
        <v>265</v>
      </c>
      <c r="F285" t="s">
        <v>2388</v>
      </c>
      <c r="G285" t="s">
        <v>624</v>
      </c>
      <c r="H285" t="s">
        <v>625</v>
      </c>
      <c r="I285" s="181">
        <v>0.8</v>
      </c>
      <c r="J285">
        <v>2023</v>
      </c>
      <c r="K285" t="s">
        <v>3082</v>
      </c>
      <c r="L285" t="s">
        <v>627</v>
      </c>
      <c r="M285" t="s">
        <v>25</v>
      </c>
      <c r="N285" t="s">
        <v>2404</v>
      </c>
      <c r="O285" t="s">
        <v>1495</v>
      </c>
      <c r="P285">
        <v>45</v>
      </c>
      <c r="Q285" t="s">
        <v>786</v>
      </c>
      <c r="R285" s="175" t="s">
        <v>1467</v>
      </c>
      <c r="S285" t="s">
        <v>1468</v>
      </c>
      <c r="T285" s="175" t="s">
        <v>1471</v>
      </c>
      <c r="U285" t="s">
        <v>232</v>
      </c>
      <c r="V285" t="s">
        <v>1472</v>
      </c>
      <c r="W285" t="s">
        <v>1473</v>
      </c>
      <c r="X285" s="175" t="s">
        <v>1474</v>
      </c>
      <c r="Y285" t="s">
        <v>1475</v>
      </c>
      <c r="Z285" t="s">
        <v>1476</v>
      </c>
      <c r="AA285" t="s">
        <v>36</v>
      </c>
      <c r="AB285">
        <v>0</v>
      </c>
      <c r="AC285" t="s">
        <v>2185</v>
      </c>
      <c r="AD285" t="s">
        <v>2405</v>
      </c>
      <c r="AE285" t="s">
        <v>2187</v>
      </c>
      <c r="AF285" t="s">
        <v>2187</v>
      </c>
      <c r="AG285" t="s">
        <v>2209</v>
      </c>
      <c r="AH285" t="s">
        <v>2187</v>
      </c>
      <c r="AI285">
        <v>4</v>
      </c>
      <c r="AJ285">
        <v>10</v>
      </c>
      <c r="AK285">
        <v>10</v>
      </c>
      <c r="AL285">
        <v>4</v>
      </c>
      <c r="AM285" s="176">
        <v>50000000</v>
      </c>
      <c r="AN285" s="176">
        <v>52935000</v>
      </c>
      <c r="AO285" s="176" t="s">
        <v>2754</v>
      </c>
      <c r="AP285" s="176" t="s">
        <v>2849</v>
      </c>
      <c r="AQ285" s="176" t="s">
        <v>2850</v>
      </c>
      <c r="AR285" t="s">
        <v>1902</v>
      </c>
      <c r="AS285" s="175">
        <v>8</v>
      </c>
    </row>
    <row r="286" spans="1:45" x14ac:dyDescent="0.25">
      <c r="A286">
        <v>2</v>
      </c>
      <c r="B286" t="s">
        <v>3255</v>
      </c>
      <c r="C286">
        <v>285</v>
      </c>
      <c r="D286" t="s">
        <v>264</v>
      </c>
      <c r="E286" t="s">
        <v>265</v>
      </c>
      <c r="F286" t="s">
        <v>2388</v>
      </c>
      <c r="G286" t="s">
        <v>624</v>
      </c>
      <c r="H286" t="s">
        <v>625</v>
      </c>
      <c r="I286" s="181">
        <v>0.8</v>
      </c>
      <c r="J286">
        <v>2023</v>
      </c>
      <c r="K286" t="s">
        <v>3082</v>
      </c>
      <c r="L286" t="s">
        <v>627</v>
      </c>
      <c r="M286" t="s">
        <v>25</v>
      </c>
      <c r="N286" t="s">
        <v>2404</v>
      </c>
      <c r="O286" t="s">
        <v>1495</v>
      </c>
      <c r="P286">
        <v>45</v>
      </c>
      <c r="Q286" t="s">
        <v>786</v>
      </c>
      <c r="R286" s="175" t="s">
        <v>1467</v>
      </c>
      <c r="S286" t="s">
        <v>1468</v>
      </c>
      <c r="T286" s="175" t="s">
        <v>1477</v>
      </c>
      <c r="U286" t="s">
        <v>1478</v>
      </c>
      <c r="V286" t="s">
        <v>944</v>
      </c>
      <c r="W286" t="s">
        <v>203</v>
      </c>
      <c r="X286" s="175" t="s">
        <v>1479</v>
      </c>
      <c r="Y286" t="s">
        <v>297</v>
      </c>
      <c r="Z286" t="s">
        <v>1480</v>
      </c>
      <c r="AA286" t="s">
        <v>36</v>
      </c>
      <c r="AB286">
        <v>31</v>
      </c>
      <c r="AC286" t="s">
        <v>2192</v>
      </c>
      <c r="AD286" t="s">
        <v>2405</v>
      </c>
      <c r="AE286" t="s">
        <v>2187</v>
      </c>
      <c r="AF286" t="s">
        <v>2187</v>
      </c>
      <c r="AG286" t="s">
        <v>2209</v>
      </c>
      <c r="AH286" t="s">
        <v>2187</v>
      </c>
      <c r="AI286">
        <v>31</v>
      </c>
      <c r="AJ286">
        <v>31</v>
      </c>
      <c r="AK286">
        <v>31</v>
      </c>
      <c r="AL286">
        <v>31</v>
      </c>
      <c r="AM286" s="176">
        <v>80000000</v>
      </c>
      <c r="AN286" s="176">
        <v>84696000</v>
      </c>
      <c r="AO286" s="176">
        <v>89026083</v>
      </c>
      <c r="AP286" s="176" t="s">
        <v>2851</v>
      </c>
      <c r="AQ286" s="176" t="s">
        <v>2852</v>
      </c>
      <c r="AR286" t="s">
        <v>1902</v>
      </c>
      <c r="AS286" s="175">
        <v>8</v>
      </c>
    </row>
    <row r="287" spans="1:45" x14ac:dyDescent="0.25">
      <c r="A287">
        <v>2</v>
      </c>
      <c r="B287" t="s">
        <v>3255</v>
      </c>
      <c r="C287">
        <v>286</v>
      </c>
      <c r="D287" t="s">
        <v>264</v>
      </c>
      <c r="E287" t="s">
        <v>265</v>
      </c>
      <c r="F287" t="s">
        <v>2388</v>
      </c>
      <c r="G287" t="s">
        <v>624</v>
      </c>
      <c r="H287" t="s">
        <v>625</v>
      </c>
      <c r="I287" s="181">
        <v>0.8</v>
      </c>
      <c r="J287">
        <v>2023</v>
      </c>
      <c r="K287" t="s">
        <v>3082</v>
      </c>
      <c r="L287" t="s">
        <v>627</v>
      </c>
      <c r="M287" t="s">
        <v>25</v>
      </c>
      <c r="N287" t="s">
        <v>2404</v>
      </c>
      <c r="O287" t="s">
        <v>1495</v>
      </c>
      <c r="P287">
        <v>45</v>
      </c>
      <c r="Q287" t="s">
        <v>786</v>
      </c>
      <c r="R287" s="175" t="s">
        <v>1467</v>
      </c>
      <c r="S287" t="s">
        <v>1468</v>
      </c>
      <c r="T287" s="175" t="s">
        <v>1481</v>
      </c>
      <c r="U287" t="s">
        <v>1482</v>
      </c>
      <c r="V287" t="s">
        <v>1483</v>
      </c>
      <c r="W287" t="s">
        <v>1484</v>
      </c>
      <c r="X287" s="175" t="s">
        <v>1485</v>
      </c>
      <c r="Y287" t="s">
        <v>1486</v>
      </c>
      <c r="Z287" t="s">
        <v>1487</v>
      </c>
      <c r="AA287" t="s">
        <v>36</v>
      </c>
      <c r="AB287">
        <v>8</v>
      </c>
      <c r="AC287" t="s">
        <v>2185</v>
      </c>
      <c r="AD287" t="s">
        <v>2405</v>
      </c>
      <c r="AE287" t="s">
        <v>2187</v>
      </c>
      <c r="AF287" t="s">
        <v>2187</v>
      </c>
      <c r="AG287" t="s">
        <v>2209</v>
      </c>
      <c r="AH287" t="s">
        <v>2187</v>
      </c>
      <c r="AI287">
        <v>5</v>
      </c>
      <c r="AJ287">
        <v>15</v>
      </c>
      <c r="AK287">
        <v>10</v>
      </c>
      <c r="AL287">
        <v>10</v>
      </c>
      <c r="AM287" s="176">
        <v>150000000</v>
      </c>
      <c r="AN287" s="176">
        <v>158805000</v>
      </c>
      <c r="AO287" s="176" t="s">
        <v>2853</v>
      </c>
      <c r="AP287" s="176" t="s">
        <v>2854</v>
      </c>
      <c r="AQ287" s="176" t="s">
        <v>2855</v>
      </c>
      <c r="AR287" t="s">
        <v>1902</v>
      </c>
      <c r="AS287" s="175">
        <v>8</v>
      </c>
    </row>
    <row r="288" spans="1:45" x14ac:dyDescent="0.25">
      <c r="A288">
        <v>2</v>
      </c>
      <c r="B288" t="s">
        <v>3255</v>
      </c>
      <c r="C288">
        <v>287</v>
      </c>
      <c r="D288" t="s">
        <v>264</v>
      </c>
      <c r="E288" t="s">
        <v>265</v>
      </c>
      <c r="F288" t="s">
        <v>2388</v>
      </c>
      <c r="G288" t="s">
        <v>624</v>
      </c>
      <c r="H288" t="s">
        <v>625</v>
      </c>
      <c r="I288" s="181">
        <v>0.8</v>
      </c>
      <c r="J288">
        <v>2023</v>
      </c>
      <c r="K288" t="s">
        <v>3082</v>
      </c>
      <c r="L288" t="s">
        <v>627</v>
      </c>
      <c r="M288" t="s">
        <v>25</v>
      </c>
      <c r="N288" t="s">
        <v>2404</v>
      </c>
      <c r="O288" t="s">
        <v>1495</v>
      </c>
      <c r="P288">
        <v>45</v>
      </c>
      <c r="Q288" t="s">
        <v>786</v>
      </c>
      <c r="R288" s="175" t="s">
        <v>1488</v>
      </c>
      <c r="S288" t="s">
        <v>1143</v>
      </c>
      <c r="T288" s="175" t="s">
        <v>1489</v>
      </c>
      <c r="U288" t="s">
        <v>1000</v>
      </c>
      <c r="V288" t="s">
        <v>1490</v>
      </c>
      <c r="W288" t="s">
        <v>500</v>
      </c>
      <c r="X288" s="175" t="s">
        <v>1491</v>
      </c>
      <c r="Y288" t="s">
        <v>829</v>
      </c>
      <c r="Z288" t="s">
        <v>2407</v>
      </c>
      <c r="AA288" t="s">
        <v>36</v>
      </c>
      <c r="AB288">
        <v>0</v>
      </c>
      <c r="AC288" t="s">
        <v>2185</v>
      </c>
      <c r="AD288" t="s">
        <v>2204</v>
      </c>
      <c r="AE288" t="s">
        <v>2205</v>
      </c>
      <c r="AF288" t="s">
        <v>2187</v>
      </c>
      <c r="AG288" t="s">
        <v>2209</v>
      </c>
      <c r="AH288" t="s">
        <v>2187</v>
      </c>
      <c r="AI288" t="s">
        <v>3202</v>
      </c>
      <c r="AJ288" t="s">
        <v>3204</v>
      </c>
      <c r="AK288" t="s">
        <v>3199</v>
      </c>
      <c r="AL288" t="s">
        <v>3198</v>
      </c>
      <c r="AM288" s="176">
        <v>883000000</v>
      </c>
      <c r="AN288" s="176">
        <v>934832100</v>
      </c>
      <c r="AO288" s="176" t="s">
        <v>2856</v>
      </c>
      <c r="AP288" s="176" t="s">
        <v>2857</v>
      </c>
      <c r="AQ288" s="176" t="s">
        <v>2858</v>
      </c>
      <c r="AR288" t="s">
        <v>1902</v>
      </c>
      <c r="AS288" s="175">
        <v>8</v>
      </c>
    </row>
    <row r="289" spans="1:45" x14ac:dyDescent="0.25">
      <c r="A289">
        <v>2</v>
      </c>
      <c r="B289" t="s">
        <v>3255</v>
      </c>
      <c r="C289">
        <v>288</v>
      </c>
      <c r="D289" t="s">
        <v>328</v>
      </c>
      <c r="E289" t="s">
        <v>465</v>
      </c>
      <c r="F289" t="s">
        <v>2384</v>
      </c>
      <c r="G289" t="s">
        <v>1492</v>
      </c>
      <c r="H289" t="s">
        <v>3149</v>
      </c>
      <c r="I289" s="180" t="s">
        <v>1494</v>
      </c>
      <c r="J289" t="s">
        <v>1494</v>
      </c>
      <c r="K289" t="s">
        <v>1495</v>
      </c>
      <c r="L289" t="s">
        <v>1496</v>
      </c>
      <c r="M289" t="s">
        <v>25</v>
      </c>
      <c r="N289" t="s">
        <v>2191</v>
      </c>
      <c r="O289" t="s">
        <v>1495</v>
      </c>
      <c r="P289">
        <v>45</v>
      </c>
      <c r="Q289" t="s">
        <v>786</v>
      </c>
      <c r="R289" s="175" t="s">
        <v>1467</v>
      </c>
      <c r="S289" t="s">
        <v>1468</v>
      </c>
      <c r="T289" s="175" t="s">
        <v>1497</v>
      </c>
      <c r="U289" t="s">
        <v>1498</v>
      </c>
      <c r="V289" t="s">
        <v>1499</v>
      </c>
      <c r="W289" t="s">
        <v>968</v>
      </c>
      <c r="X289" s="175" t="s">
        <v>1500</v>
      </c>
      <c r="Y289" t="s">
        <v>1146</v>
      </c>
      <c r="Z289" t="s">
        <v>1501</v>
      </c>
      <c r="AA289" t="s">
        <v>36</v>
      </c>
      <c r="AB289">
        <v>0</v>
      </c>
      <c r="AC289" t="s">
        <v>2185</v>
      </c>
      <c r="AD289" t="s">
        <v>2186</v>
      </c>
      <c r="AE289" t="s">
        <v>2187</v>
      </c>
      <c r="AF289" t="s">
        <v>2187</v>
      </c>
      <c r="AG289" t="s">
        <v>2210</v>
      </c>
      <c r="AH289" t="s">
        <v>2187</v>
      </c>
      <c r="AI289" t="s">
        <v>3197</v>
      </c>
      <c r="AJ289" t="s">
        <v>3197</v>
      </c>
      <c r="AK289" t="s">
        <v>3197</v>
      </c>
      <c r="AL289" t="s">
        <v>3197</v>
      </c>
      <c r="AM289" s="176">
        <v>200000000</v>
      </c>
      <c r="AN289" s="176">
        <v>211740000</v>
      </c>
      <c r="AO289" s="176">
        <v>222030564</v>
      </c>
      <c r="AP289" s="176" t="s">
        <v>2859</v>
      </c>
      <c r="AQ289" s="176" t="s">
        <v>2860</v>
      </c>
      <c r="AR289" t="s">
        <v>1902</v>
      </c>
      <c r="AS289" s="175">
        <v>8</v>
      </c>
    </row>
    <row r="290" spans="1:45" x14ac:dyDescent="0.25">
      <c r="A290">
        <v>2</v>
      </c>
      <c r="B290" t="s">
        <v>3255</v>
      </c>
      <c r="C290">
        <v>289</v>
      </c>
      <c r="D290" t="s">
        <v>328</v>
      </c>
      <c r="E290" t="s">
        <v>465</v>
      </c>
      <c r="F290" t="s">
        <v>2384</v>
      </c>
      <c r="G290" t="s">
        <v>1492</v>
      </c>
      <c r="H290" t="s">
        <v>3149</v>
      </c>
      <c r="I290" s="180" t="s">
        <v>1494</v>
      </c>
      <c r="J290" t="s">
        <v>1494</v>
      </c>
      <c r="K290" t="s">
        <v>1495</v>
      </c>
      <c r="L290" t="s">
        <v>1496</v>
      </c>
      <c r="M290" t="s">
        <v>25</v>
      </c>
      <c r="N290" t="s">
        <v>2191</v>
      </c>
      <c r="O290" t="s">
        <v>1495</v>
      </c>
      <c r="P290">
        <v>45</v>
      </c>
      <c r="Q290" t="s">
        <v>786</v>
      </c>
      <c r="R290" s="175" t="s">
        <v>1467</v>
      </c>
      <c r="S290" t="s">
        <v>1468</v>
      </c>
      <c r="T290" s="175" t="s">
        <v>1502</v>
      </c>
      <c r="U290" t="s">
        <v>1503</v>
      </c>
      <c r="V290" t="s">
        <v>1504</v>
      </c>
      <c r="W290" t="s">
        <v>792</v>
      </c>
      <c r="X290" s="175" t="s">
        <v>1505</v>
      </c>
      <c r="Y290" t="s">
        <v>1506</v>
      </c>
      <c r="Z290" t="s">
        <v>2076</v>
      </c>
      <c r="AA290" t="s">
        <v>36</v>
      </c>
      <c r="AB290">
        <v>42</v>
      </c>
      <c r="AC290" t="s">
        <v>2185</v>
      </c>
      <c r="AD290" t="s">
        <v>2186</v>
      </c>
      <c r="AE290" t="s">
        <v>2206</v>
      </c>
      <c r="AF290" t="s">
        <v>2187</v>
      </c>
      <c r="AG290" t="s">
        <v>2210</v>
      </c>
      <c r="AH290" t="s">
        <v>2187</v>
      </c>
      <c r="AI290">
        <v>5</v>
      </c>
      <c r="AJ290">
        <v>15</v>
      </c>
      <c r="AK290">
        <v>15</v>
      </c>
      <c r="AL290">
        <v>7</v>
      </c>
      <c r="AM290" s="176">
        <v>100000000</v>
      </c>
      <c r="AN290" s="176">
        <v>105870000</v>
      </c>
      <c r="AO290" s="176">
        <v>111015282</v>
      </c>
      <c r="AP290" s="176" t="s">
        <v>2861</v>
      </c>
      <c r="AQ290" s="176" t="s">
        <v>2862</v>
      </c>
      <c r="AR290" t="s">
        <v>1902</v>
      </c>
      <c r="AS290" s="175">
        <v>8</v>
      </c>
    </row>
    <row r="291" spans="1:45" x14ac:dyDescent="0.25">
      <c r="A291">
        <v>2</v>
      </c>
      <c r="B291" t="s">
        <v>3255</v>
      </c>
      <c r="C291">
        <v>290</v>
      </c>
      <c r="D291" t="s">
        <v>328</v>
      </c>
      <c r="E291" t="s">
        <v>465</v>
      </c>
      <c r="F291" t="s">
        <v>2384</v>
      </c>
      <c r="G291" t="s">
        <v>1492</v>
      </c>
      <c r="H291" t="s">
        <v>3149</v>
      </c>
      <c r="I291" s="180" t="s">
        <v>1494</v>
      </c>
      <c r="J291" t="s">
        <v>1494</v>
      </c>
      <c r="K291" t="s">
        <v>1495</v>
      </c>
      <c r="L291" t="s">
        <v>1496</v>
      </c>
      <c r="M291" t="s">
        <v>25</v>
      </c>
      <c r="N291" t="s">
        <v>2191</v>
      </c>
      <c r="O291" t="s">
        <v>1495</v>
      </c>
      <c r="P291">
        <v>45</v>
      </c>
      <c r="Q291" t="s">
        <v>786</v>
      </c>
      <c r="R291" s="175" t="s">
        <v>1467</v>
      </c>
      <c r="S291" t="s">
        <v>1468</v>
      </c>
      <c r="T291" s="175" t="s">
        <v>1471</v>
      </c>
      <c r="U291" t="s">
        <v>232</v>
      </c>
      <c r="V291" t="s">
        <v>1472</v>
      </c>
      <c r="W291" t="s">
        <v>1473</v>
      </c>
      <c r="X291" s="175" t="s">
        <v>1474</v>
      </c>
      <c r="Y291" t="s">
        <v>1475</v>
      </c>
      <c r="Z291" t="s">
        <v>1507</v>
      </c>
      <c r="AA291" t="s">
        <v>36</v>
      </c>
      <c r="AB291">
        <v>0</v>
      </c>
      <c r="AC291" t="s">
        <v>2185</v>
      </c>
      <c r="AD291" t="s">
        <v>2208</v>
      </c>
      <c r="AE291" t="s">
        <v>2206</v>
      </c>
      <c r="AF291" t="s">
        <v>2187</v>
      </c>
      <c r="AG291" t="s">
        <v>2210</v>
      </c>
      <c r="AH291" t="s">
        <v>2187</v>
      </c>
      <c r="AI291">
        <v>5</v>
      </c>
      <c r="AJ291">
        <v>15</v>
      </c>
      <c r="AK291">
        <v>15</v>
      </c>
      <c r="AL291">
        <v>7</v>
      </c>
      <c r="AM291" s="176">
        <v>50000000</v>
      </c>
      <c r="AN291" s="176">
        <v>52935000</v>
      </c>
      <c r="AO291" s="176" t="s">
        <v>2754</v>
      </c>
      <c r="AP291" s="176" t="s">
        <v>2849</v>
      </c>
      <c r="AQ291" s="176" t="s">
        <v>2850</v>
      </c>
      <c r="AR291" t="s">
        <v>1902</v>
      </c>
      <c r="AS291" s="175">
        <v>8</v>
      </c>
    </row>
    <row r="292" spans="1:45" x14ac:dyDescent="0.25">
      <c r="A292">
        <v>2</v>
      </c>
      <c r="B292" t="s">
        <v>3255</v>
      </c>
      <c r="C292">
        <v>291</v>
      </c>
      <c r="D292" t="s">
        <v>328</v>
      </c>
      <c r="E292" t="s">
        <v>465</v>
      </c>
      <c r="F292" t="s">
        <v>2384</v>
      </c>
      <c r="G292" t="s">
        <v>1492</v>
      </c>
      <c r="H292" t="s">
        <v>3149</v>
      </c>
      <c r="I292" s="180" t="s">
        <v>1494</v>
      </c>
      <c r="J292" t="s">
        <v>1494</v>
      </c>
      <c r="K292" t="s">
        <v>1495</v>
      </c>
      <c r="L292" t="s">
        <v>1496</v>
      </c>
      <c r="M292" t="s">
        <v>25</v>
      </c>
      <c r="N292" t="s">
        <v>2191</v>
      </c>
      <c r="O292" t="s">
        <v>1495</v>
      </c>
      <c r="P292">
        <v>45</v>
      </c>
      <c r="Q292" t="s">
        <v>786</v>
      </c>
      <c r="R292" s="175">
        <v>4502</v>
      </c>
      <c r="S292" t="s">
        <v>1468</v>
      </c>
      <c r="T292" s="175" t="s">
        <v>2111</v>
      </c>
      <c r="U292" t="s">
        <v>1508</v>
      </c>
      <c r="V292" t="s">
        <v>1509</v>
      </c>
      <c r="W292" t="s">
        <v>1510</v>
      </c>
      <c r="X292" s="175" t="s">
        <v>1511</v>
      </c>
      <c r="Y292" t="s">
        <v>1512</v>
      </c>
      <c r="Z292" t="s">
        <v>3150</v>
      </c>
      <c r="AA292" t="s">
        <v>36</v>
      </c>
      <c r="AB292">
        <v>46</v>
      </c>
      <c r="AC292" t="s">
        <v>2185</v>
      </c>
      <c r="AD292" t="s">
        <v>2186</v>
      </c>
      <c r="AE292" t="s">
        <v>2187</v>
      </c>
      <c r="AF292" t="s">
        <v>2187</v>
      </c>
      <c r="AG292" t="s">
        <v>2210</v>
      </c>
      <c r="AH292" t="s">
        <v>2187</v>
      </c>
      <c r="AI292">
        <v>250</v>
      </c>
      <c r="AJ292">
        <v>1000</v>
      </c>
      <c r="AK292">
        <v>500</v>
      </c>
      <c r="AL292">
        <v>250</v>
      </c>
      <c r="AM292" s="176">
        <v>3960000000</v>
      </c>
      <c r="AN292" s="176">
        <v>6892452000</v>
      </c>
      <c r="AO292" s="176" t="s">
        <v>2863</v>
      </c>
      <c r="AP292" s="176" t="s">
        <v>2864</v>
      </c>
      <c r="AQ292" s="176" t="s">
        <v>2865</v>
      </c>
      <c r="AR292" t="s">
        <v>1902</v>
      </c>
      <c r="AS292" s="175">
        <v>8</v>
      </c>
    </row>
    <row r="293" spans="1:45" x14ac:dyDescent="0.25">
      <c r="A293">
        <v>2</v>
      </c>
      <c r="B293" t="s">
        <v>3255</v>
      </c>
      <c r="C293">
        <v>292</v>
      </c>
      <c r="D293" t="s">
        <v>328</v>
      </c>
      <c r="E293" t="s">
        <v>465</v>
      </c>
      <c r="F293" t="s">
        <v>2384</v>
      </c>
      <c r="G293" t="s">
        <v>1492</v>
      </c>
      <c r="H293" t="s">
        <v>3149</v>
      </c>
      <c r="I293" s="180" t="s">
        <v>1494</v>
      </c>
      <c r="J293" t="s">
        <v>1494</v>
      </c>
      <c r="K293" t="s">
        <v>1495</v>
      </c>
      <c r="L293" t="s">
        <v>1496</v>
      </c>
      <c r="M293" t="s">
        <v>25</v>
      </c>
      <c r="N293" t="s">
        <v>2191</v>
      </c>
      <c r="O293" t="s">
        <v>1495</v>
      </c>
      <c r="P293">
        <v>45</v>
      </c>
      <c r="Q293" t="s">
        <v>786</v>
      </c>
      <c r="R293" s="175" t="s">
        <v>1488</v>
      </c>
      <c r="S293" t="s">
        <v>1143</v>
      </c>
      <c r="T293" s="175" t="s">
        <v>1489</v>
      </c>
      <c r="U293" t="s">
        <v>1000</v>
      </c>
      <c r="V293" t="s">
        <v>1490</v>
      </c>
      <c r="W293" t="s">
        <v>500</v>
      </c>
      <c r="X293" s="175" t="s">
        <v>1491</v>
      </c>
      <c r="Y293" t="s">
        <v>829</v>
      </c>
      <c r="Z293" t="s">
        <v>2173</v>
      </c>
      <c r="AA293" t="s">
        <v>36</v>
      </c>
      <c r="AB293">
        <v>0</v>
      </c>
      <c r="AC293" t="s">
        <v>2185</v>
      </c>
      <c r="AD293" t="s">
        <v>2204</v>
      </c>
      <c r="AE293" t="s">
        <v>2187</v>
      </c>
      <c r="AF293" t="s">
        <v>2187</v>
      </c>
      <c r="AG293" t="s">
        <v>2210</v>
      </c>
      <c r="AH293" t="s">
        <v>2187</v>
      </c>
      <c r="AI293" t="s">
        <v>3202</v>
      </c>
      <c r="AJ293" t="s">
        <v>3204</v>
      </c>
      <c r="AK293" t="s">
        <v>3199</v>
      </c>
      <c r="AL293" t="s">
        <v>3198</v>
      </c>
      <c r="AM293" s="176">
        <v>710000000</v>
      </c>
      <c r="AN293" s="176">
        <v>751677000</v>
      </c>
      <c r="AO293" s="176" t="s">
        <v>2866</v>
      </c>
      <c r="AP293" s="176" t="s">
        <v>2867</v>
      </c>
      <c r="AQ293" s="176" t="s">
        <v>2868</v>
      </c>
      <c r="AR293" t="s">
        <v>1902</v>
      </c>
      <c r="AS293" s="175">
        <v>8</v>
      </c>
    </row>
    <row r="294" spans="1:45" x14ac:dyDescent="0.25">
      <c r="A294">
        <v>2</v>
      </c>
      <c r="B294" t="s">
        <v>3255</v>
      </c>
      <c r="C294">
        <v>293</v>
      </c>
      <c r="D294" t="s">
        <v>328</v>
      </c>
      <c r="E294" t="s">
        <v>465</v>
      </c>
      <c r="F294" t="s">
        <v>2384</v>
      </c>
      <c r="G294" t="s">
        <v>1514</v>
      </c>
      <c r="H294" t="s">
        <v>1515</v>
      </c>
      <c r="I294" s="180">
        <v>0.23710000000000001</v>
      </c>
      <c r="J294">
        <v>2023</v>
      </c>
      <c r="K294" t="s">
        <v>3151</v>
      </c>
      <c r="L294" t="s">
        <v>1517</v>
      </c>
      <c r="M294" t="s">
        <v>25</v>
      </c>
      <c r="O294" t="s">
        <v>1518</v>
      </c>
      <c r="P294">
        <v>45</v>
      </c>
      <c r="Q294" t="s">
        <v>786</v>
      </c>
      <c r="R294" s="175" t="s">
        <v>1467</v>
      </c>
      <c r="S294" t="s">
        <v>1468</v>
      </c>
      <c r="T294" s="175" t="s">
        <v>1519</v>
      </c>
      <c r="U294" t="s">
        <v>1520</v>
      </c>
      <c r="V294" t="s">
        <v>1521</v>
      </c>
      <c r="W294" t="s">
        <v>1522</v>
      </c>
      <c r="X294" s="175" t="s">
        <v>1523</v>
      </c>
      <c r="Y294" t="s">
        <v>1524</v>
      </c>
      <c r="Z294" t="s">
        <v>1525</v>
      </c>
      <c r="AA294" t="s">
        <v>36</v>
      </c>
      <c r="AB294">
        <v>6</v>
      </c>
      <c r="AC294" t="s">
        <v>2185</v>
      </c>
      <c r="AD294" t="s">
        <v>2208</v>
      </c>
      <c r="AE294" t="s">
        <v>3152</v>
      </c>
      <c r="AF294" t="s">
        <v>2187</v>
      </c>
      <c r="AG294" t="s">
        <v>2210</v>
      </c>
      <c r="AH294" t="s">
        <v>2187</v>
      </c>
      <c r="AI294">
        <v>1</v>
      </c>
      <c r="AJ294">
        <v>2</v>
      </c>
      <c r="AK294">
        <v>2</v>
      </c>
      <c r="AL294">
        <v>1</v>
      </c>
      <c r="AM294" s="176">
        <v>30000000</v>
      </c>
      <c r="AN294" s="176">
        <v>31761000</v>
      </c>
      <c r="AO294" s="176" t="s">
        <v>2869</v>
      </c>
      <c r="AP294" s="176" t="s">
        <v>2870</v>
      </c>
      <c r="AQ294" s="176" t="s">
        <v>2871</v>
      </c>
      <c r="AR294" t="s">
        <v>1902</v>
      </c>
      <c r="AS294" s="175">
        <v>8</v>
      </c>
    </row>
    <row r="295" spans="1:45" x14ac:dyDescent="0.25">
      <c r="A295">
        <v>2</v>
      </c>
      <c r="B295" t="s">
        <v>3255</v>
      </c>
      <c r="C295">
        <v>294</v>
      </c>
      <c r="D295" t="s">
        <v>264</v>
      </c>
      <c r="E295" t="s">
        <v>265</v>
      </c>
      <c r="F295" t="s">
        <v>2388</v>
      </c>
      <c r="G295" t="s">
        <v>1526</v>
      </c>
      <c r="H295" t="s">
        <v>1527</v>
      </c>
      <c r="I295" s="183">
        <v>38</v>
      </c>
      <c r="J295">
        <v>2023</v>
      </c>
      <c r="K295" t="s">
        <v>3153</v>
      </c>
      <c r="L295" t="s">
        <v>1529</v>
      </c>
      <c r="M295">
        <v>0</v>
      </c>
      <c r="N295" t="s">
        <v>2404</v>
      </c>
      <c r="O295" t="s">
        <v>1495</v>
      </c>
      <c r="P295">
        <v>45</v>
      </c>
      <c r="Q295" t="s">
        <v>786</v>
      </c>
      <c r="R295" s="175" t="s">
        <v>1467</v>
      </c>
      <c r="S295" t="s">
        <v>1468</v>
      </c>
      <c r="T295" s="175" t="s">
        <v>1530</v>
      </c>
      <c r="U295" t="s">
        <v>1531</v>
      </c>
      <c r="V295" t="s">
        <v>1532</v>
      </c>
      <c r="W295" t="s">
        <v>1533</v>
      </c>
      <c r="X295" s="175" t="s">
        <v>1534</v>
      </c>
      <c r="Y295" t="s">
        <v>1535</v>
      </c>
      <c r="Z295" t="s">
        <v>3154</v>
      </c>
      <c r="AA295" t="s">
        <v>36</v>
      </c>
      <c r="AB295">
        <v>6</v>
      </c>
      <c r="AC295" t="s">
        <v>2185</v>
      </c>
      <c r="AD295" t="s">
        <v>2186</v>
      </c>
      <c r="AE295" t="s">
        <v>2187</v>
      </c>
      <c r="AF295" t="s">
        <v>2187</v>
      </c>
      <c r="AG295" t="s">
        <v>2408</v>
      </c>
      <c r="AH295" t="s">
        <v>2187</v>
      </c>
      <c r="AI295">
        <v>3</v>
      </c>
      <c r="AJ295">
        <v>6</v>
      </c>
      <c r="AK295">
        <v>6</v>
      </c>
      <c r="AL295">
        <v>6</v>
      </c>
      <c r="AM295" s="176">
        <v>230000000</v>
      </c>
      <c r="AN295" s="176">
        <v>243501000</v>
      </c>
      <c r="AO295" s="176" t="s">
        <v>2872</v>
      </c>
      <c r="AP295" s="176" t="s">
        <v>2873</v>
      </c>
      <c r="AQ295" s="176" t="s">
        <v>2874</v>
      </c>
      <c r="AR295" t="s">
        <v>1902</v>
      </c>
      <c r="AS295" s="175">
        <v>8</v>
      </c>
    </row>
    <row r="296" spans="1:45" x14ac:dyDescent="0.25">
      <c r="A296">
        <v>2</v>
      </c>
      <c r="B296" t="s">
        <v>3255</v>
      </c>
      <c r="C296">
        <v>295</v>
      </c>
      <c r="D296" t="s">
        <v>264</v>
      </c>
      <c r="E296" t="s">
        <v>265</v>
      </c>
      <c r="F296" t="s">
        <v>2388</v>
      </c>
      <c r="G296" t="s">
        <v>1526</v>
      </c>
      <c r="H296" t="s">
        <v>1527</v>
      </c>
      <c r="I296" s="183">
        <v>38</v>
      </c>
      <c r="J296">
        <v>2023</v>
      </c>
      <c r="K296" t="s">
        <v>3153</v>
      </c>
      <c r="L296" t="s">
        <v>1529</v>
      </c>
      <c r="M296" t="s">
        <v>36</v>
      </c>
      <c r="N296" t="s">
        <v>2404</v>
      </c>
      <c r="O296" t="s">
        <v>1495</v>
      </c>
      <c r="P296">
        <v>45</v>
      </c>
      <c r="Q296" t="s">
        <v>786</v>
      </c>
      <c r="R296" s="175" t="s">
        <v>787</v>
      </c>
      <c r="S296" t="s">
        <v>788</v>
      </c>
      <c r="T296" s="175" t="s">
        <v>1537</v>
      </c>
      <c r="U296" t="s">
        <v>1538</v>
      </c>
      <c r="V296" t="s">
        <v>1539</v>
      </c>
      <c r="W296" t="s">
        <v>65</v>
      </c>
      <c r="X296" s="175" t="s">
        <v>1540</v>
      </c>
      <c r="Y296" t="s">
        <v>1541</v>
      </c>
      <c r="Z296" t="s">
        <v>1997</v>
      </c>
      <c r="AA296" t="s">
        <v>36</v>
      </c>
      <c r="AB296">
        <v>0</v>
      </c>
      <c r="AC296" t="s">
        <v>2185</v>
      </c>
      <c r="AD296" t="s">
        <v>2186</v>
      </c>
      <c r="AE296" t="s">
        <v>2187</v>
      </c>
      <c r="AF296" t="s">
        <v>2187</v>
      </c>
      <c r="AG296" t="s">
        <v>2408</v>
      </c>
      <c r="AH296" t="s">
        <v>2187</v>
      </c>
      <c r="AI296">
        <v>1</v>
      </c>
      <c r="AJ296">
        <v>2</v>
      </c>
      <c r="AK296">
        <v>2</v>
      </c>
      <c r="AL296">
        <v>2</v>
      </c>
      <c r="AM296" s="176">
        <v>100000000</v>
      </c>
      <c r="AN296" s="176">
        <v>105870000</v>
      </c>
      <c r="AO296" s="176">
        <v>109945995</v>
      </c>
      <c r="AP296" s="176" t="s">
        <v>2875</v>
      </c>
      <c r="AQ296" s="176" t="s">
        <v>2876</v>
      </c>
      <c r="AR296" t="s">
        <v>1902</v>
      </c>
      <c r="AS296" s="175">
        <v>8</v>
      </c>
    </row>
    <row r="297" spans="1:45" x14ac:dyDescent="0.25">
      <c r="A297">
        <v>2</v>
      </c>
      <c r="B297" t="s">
        <v>3255</v>
      </c>
      <c r="C297">
        <v>296</v>
      </c>
      <c r="D297" t="s">
        <v>264</v>
      </c>
      <c r="E297" t="s">
        <v>265</v>
      </c>
      <c r="F297" t="s">
        <v>2388</v>
      </c>
      <c r="G297" t="s">
        <v>1526</v>
      </c>
      <c r="H297" t="s">
        <v>1527</v>
      </c>
      <c r="I297" s="183">
        <v>38</v>
      </c>
      <c r="J297">
        <v>2023</v>
      </c>
      <c r="K297" t="s">
        <v>3153</v>
      </c>
      <c r="L297" t="s">
        <v>1529</v>
      </c>
      <c r="M297" t="s">
        <v>36</v>
      </c>
      <c r="N297" t="s">
        <v>2404</v>
      </c>
      <c r="O297" t="s">
        <v>1495</v>
      </c>
      <c r="P297">
        <v>45</v>
      </c>
      <c r="Q297" t="s">
        <v>786</v>
      </c>
      <c r="R297" s="175">
        <v>4501</v>
      </c>
      <c r="S297" t="s">
        <v>788</v>
      </c>
      <c r="T297" s="175" t="s">
        <v>1542</v>
      </c>
      <c r="U297" t="s">
        <v>1543</v>
      </c>
      <c r="V297" t="s">
        <v>1544</v>
      </c>
      <c r="W297" t="s">
        <v>500</v>
      </c>
      <c r="X297" s="175" t="s">
        <v>1545</v>
      </c>
      <c r="Y297" t="s">
        <v>1546</v>
      </c>
      <c r="Z297" t="s">
        <v>2174</v>
      </c>
      <c r="AA297" t="s">
        <v>36</v>
      </c>
      <c r="AB297">
        <v>0</v>
      </c>
      <c r="AC297" t="s">
        <v>2185</v>
      </c>
      <c r="AD297" t="s">
        <v>2186</v>
      </c>
      <c r="AE297" t="s">
        <v>2187</v>
      </c>
      <c r="AF297" t="s">
        <v>1547</v>
      </c>
      <c r="AG297" t="s">
        <v>2408</v>
      </c>
      <c r="AH297" t="s">
        <v>2187</v>
      </c>
      <c r="AI297" t="s">
        <v>3204</v>
      </c>
      <c r="AJ297" t="s">
        <v>3201</v>
      </c>
      <c r="AK297">
        <v>1</v>
      </c>
      <c r="AL297" t="s">
        <v>3202</v>
      </c>
      <c r="AM297" s="176">
        <v>400000000</v>
      </c>
      <c r="AN297" s="176">
        <v>423480000</v>
      </c>
      <c r="AO297" s="176">
        <v>439783980</v>
      </c>
      <c r="AP297" s="176" t="s">
        <v>2877</v>
      </c>
      <c r="AQ297" s="176" t="s">
        <v>2878</v>
      </c>
      <c r="AR297" t="s">
        <v>1902</v>
      </c>
      <c r="AS297" s="175">
        <v>8</v>
      </c>
    </row>
    <row r="298" spans="1:45" x14ac:dyDescent="0.25">
      <c r="A298">
        <v>2</v>
      </c>
      <c r="B298" t="s">
        <v>3255</v>
      </c>
      <c r="C298">
        <v>297</v>
      </c>
      <c r="D298" t="s">
        <v>264</v>
      </c>
      <c r="E298" t="s">
        <v>265</v>
      </c>
      <c r="F298" t="s">
        <v>2388</v>
      </c>
      <c r="G298" t="s">
        <v>1526</v>
      </c>
      <c r="H298" t="s">
        <v>1527</v>
      </c>
      <c r="I298" s="183">
        <v>38</v>
      </c>
      <c r="J298">
        <v>2023</v>
      </c>
      <c r="K298" t="s">
        <v>3153</v>
      </c>
      <c r="L298" t="s">
        <v>1529</v>
      </c>
      <c r="M298" t="s">
        <v>36</v>
      </c>
      <c r="N298" t="s">
        <v>2404</v>
      </c>
      <c r="O298" t="s">
        <v>1495</v>
      </c>
      <c r="P298">
        <v>45</v>
      </c>
      <c r="Q298" t="s">
        <v>786</v>
      </c>
      <c r="R298" s="175" t="s">
        <v>1488</v>
      </c>
      <c r="S298" t="s">
        <v>1143</v>
      </c>
      <c r="T298" s="175" t="s">
        <v>1548</v>
      </c>
      <c r="U298" t="s">
        <v>1144</v>
      </c>
      <c r="V298" t="s">
        <v>1145</v>
      </c>
      <c r="W298" t="s">
        <v>301</v>
      </c>
      <c r="X298" s="175" t="s">
        <v>1549</v>
      </c>
      <c r="Y298" t="s">
        <v>1146</v>
      </c>
      <c r="Z298" t="s">
        <v>2073</v>
      </c>
      <c r="AA298" t="s">
        <v>36</v>
      </c>
      <c r="AB298">
        <v>0</v>
      </c>
      <c r="AC298" t="s">
        <v>2185</v>
      </c>
      <c r="AD298" t="s">
        <v>2186</v>
      </c>
      <c r="AE298" t="s">
        <v>2187</v>
      </c>
      <c r="AF298" t="s">
        <v>2187</v>
      </c>
      <c r="AG298" t="s">
        <v>2408</v>
      </c>
      <c r="AH298" t="s">
        <v>2187</v>
      </c>
      <c r="AI298" t="s">
        <v>3202</v>
      </c>
      <c r="AJ298">
        <v>1</v>
      </c>
      <c r="AK298" t="s">
        <v>3206</v>
      </c>
      <c r="AL298" t="s">
        <v>3202</v>
      </c>
      <c r="AM298" s="176">
        <v>1267000000</v>
      </c>
      <c r="AN298" s="176">
        <v>1341372900</v>
      </c>
      <c r="AO298" s="176" t="s">
        <v>2879</v>
      </c>
      <c r="AP298" s="176" t="s">
        <v>2880</v>
      </c>
      <c r="AQ298" s="176" t="s">
        <v>2881</v>
      </c>
      <c r="AR298" t="s">
        <v>1902</v>
      </c>
      <c r="AS298" s="175">
        <v>8</v>
      </c>
    </row>
    <row r="299" spans="1:45" x14ac:dyDescent="0.25">
      <c r="A299">
        <v>2</v>
      </c>
      <c r="B299" t="s">
        <v>3255</v>
      </c>
      <c r="C299">
        <v>298</v>
      </c>
      <c r="D299" t="s">
        <v>264</v>
      </c>
      <c r="E299" t="s">
        <v>265</v>
      </c>
      <c r="F299" t="s">
        <v>2388</v>
      </c>
      <c r="G299" t="s">
        <v>1550</v>
      </c>
      <c r="H299" t="s">
        <v>1551</v>
      </c>
      <c r="I299" s="181" t="s">
        <v>3155</v>
      </c>
      <c r="J299">
        <v>2023</v>
      </c>
      <c r="K299" t="s">
        <v>3156</v>
      </c>
      <c r="L299" t="s">
        <v>1554</v>
      </c>
      <c r="M299" t="s">
        <v>25</v>
      </c>
      <c r="N299" t="s">
        <v>2404</v>
      </c>
      <c r="O299" t="s">
        <v>1495</v>
      </c>
      <c r="P299">
        <v>45</v>
      </c>
      <c r="Q299" t="s">
        <v>786</v>
      </c>
      <c r="R299" s="175" t="s">
        <v>787</v>
      </c>
      <c r="S299" t="s">
        <v>788</v>
      </c>
      <c r="T299" s="175" t="s">
        <v>1555</v>
      </c>
      <c r="U299" t="s">
        <v>1556</v>
      </c>
      <c r="V299" t="s">
        <v>1557</v>
      </c>
      <c r="W299" t="s">
        <v>500</v>
      </c>
      <c r="X299" s="175" t="s">
        <v>1558</v>
      </c>
      <c r="Y299" t="s">
        <v>1559</v>
      </c>
      <c r="Z299" t="s">
        <v>1998</v>
      </c>
      <c r="AA299" t="s">
        <v>36</v>
      </c>
      <c r="AB299">
        <v>1</v>
      </c>
      <c r="AC299" t="s">
        <v>2185</v>
      </c>
      <c r="AD299" t="s">
        <v>2186</v>
      </c>
      <c r="AE299" t="s">
        <v>2205</v>
      </c>
      <c r="AF299" t="s">
        <v>1547</v>
      </c>
      <c r="AG299" t="s">
        <v>2408</v>
      </c>
      <c r="AH299" t="s">
        <v>2187</v>
      </c>
      <c r="AI299" t="s">
        <v>3198</v>
      </c>
      <c r="AJ299" t="s">
        <v>3234</v>
      </c>
      <c r="AK299" t="s">
        <v>3202</v>
      </c>
      <c r="AL299" t="s">
        <v>3235</v>
      </c>
      <c r="AM299" s="176">
        <v>920000000</v>
      </c>
      <c r="AN299" s="176">
        <v>974004000</v>
      </c>
      <c r="AO299" s="176">
        <v>1011503154</v>
      </c>
      <c r="AP299" s="176" t="s">
        <v>2882</v>
      </c>
      <c r="AQ299" s="176" t="s">
        <v>2883</v>
      </c>
      <c r="AR299" t="s">
        <v>1902</v>
      </c>
      <c r="AS299" s="175">
        <v>8</v>
      </c>
    </row>
    <row r="300" spans="1:45" x14ac:dyDescent="0.25">
      <c r="A300">
        <v>2</v>
      </c>
      <c r="B300" t="s">
        <v>3255</v>
      </c>
      <c r="C300">
        <v>299</v>
      </c>
      <c r="D300" t="s">
        <v>264</v>
      </c>
      <c r="E300" t="s">
        <v>265</v>
      </c>
      <c r="F300" t="s">
        <v>2388</v>
      </c>
      <c r="G300" t="s">
        <v>1550</v>
      </c>
      <c r="H300" t="s">
        <v>1551</v>
      </c>
      <c r="I300" s="181" t="s">
        <v>3155</v>
      </c>
      <c r="J300">
        <v>2023</v>
      </c>
      <c r="K300" t="s">
        <v>3156</v>
      </c>
      <c r="L300" t="s">
        <v>1554</v>
      </c>
      <c r="M300" t="s">
        <v>25</v>
      </c>
      <c r="N300" t="s">
        <v>2404</v>
      </c>
      <c r="O300" t="s">
        <v>1495</v>
      </c>
      <c r="P300">
        <v>45</v>
      </c>
      <c r="Q300" t="s">
        <v>786</v>
      </c>
      <c r="R300" s="175" t="s">
        <v>787</v>
      </c>
      <c r="S300" t="s">
        <v>788</v>
      </c>
      <c r="T300" s="175" t="s">
        <v>1555</v>
      </c>
      <c r="U300" t="s">
        <v>1556</v>
      </c>
      <c r="V300" t="s">
        <v>1557</v>
      </c>
      <c r="W300" t="s">
        <v>500</v>
      </c>
      <c r="X300" s="175" t="s">
        <v>1558</v>
      </c>
      <c r="Y300" t="s">
        <v>1559</v>
      </c>
      <c r="Z300" t="s">
        <v>1560</v>
      </c>
      <c r="AA300" t="s">
        <v>36</v>
      </c>
      <c r="AB300">
        <v>1</v>
      </c>
      <c r="AC300" t="s">
        <v>2185</v>
      </c>
      <c r="AD300" t="s">
        <v>2186</v>
      </c>
      <c r="AE300" t="s">
        <v>2187</v>
      </c>
      <c r="AF300" t="s">
        <v>1547</v>
      </c>
      <c r="AG300" t="s">
        <v>2408</v>
      </c>
      <c r="AH300" t="s">
        <v>2187</v>
      </c>
      <c r="AI300" t="s">
        <v>3197</v>
      </c>
      <c r="AJ300" t="s">
        <v>3197</v>
      </c>
      <c r="AK300" t="s">
        <v>3197</v>
      </c>
      <c r="AL300" t="s">
        <v>3197</v>
      </c>
      <c r="AM300" s="176">
        <v>721000000</v>
      </c>
      <c r="AN300" s="176">
        <v>795083700</v>
      </c>
      <c r="AO300" s="176" t="s">
        <v>2884</v>
      </c>
      <c r="AP300" s="176" t="s">
        <v>2885</v>
      </c>
      <c r="AQ300" s="176" t="s">
        <v>2886</v>
      </c>
      <c r="AR300" t="s">
        <v>1902</v>
      </c>
      <c r="AS300" s="175">
        <v>8</v>
      </c>
    </row>
    <row r="301" spans="1:45" x14ac:dyDescent="0.25">
      <c r="A301">
        <v>2</v>
      </c>
      <c r="B301" t="s">
        <v>3255</v>
      </c>
      <c r="C301">
        <v>300</v>
      </c>
      <c r="D301" t="s">
        <v>264</v>
      </c>
      <c r="E301" t="s">
        <v>265</v>
      </c>
      <c r="F301" t="s">
        <v>2388</v>
      </c>
      <c r="G301" t="s">
        <v>1550</v>
      </c>
      <c r="H301" t="s">
        <v>1551</v>
      </c>
      <c r="I301" s="181" t="s">
        <v>3155</v>
      </c>
      <c r="J301">
        <v>2023</v>
      </c>
      <c r="K301" t="s">
        <v>3156</v>
      </c>
      <c r="L301" t="s">
        <v>1554</v>
      </c>
      <c r="M301" t="s">
        <v>25</v>
      </c>
      <c r="N301" t="s">
        <v>2404</v>
      </c>
      <c r="O301" t="s">
        <v>1495</v>
      </c>
      <c r="P301">
        <v>45</v>
      </c>
      <c r="Q301" t="s">
        <v>786</v>
      </c>
      <c r="R301" s="175">
        <v>4501</v>
      </c>
      <c r="S301" t="s">
        <v>788</v>
      </c>
      <c r="T301" s="175" t="s">
        <v>1542</v>
      </c>
      <c r="U301" t="s">
        <v>1543</v>
      </c>
      <c r="V301" t="s">
        <v>1544</v>
      </c>
      <c r="W301" t="s">
        <v>500</v>
      </c>
      <c r="X301" s="175" t="s">
        <v>1545</v>
      </c>
      <c r="Y301" t="s">
        <v>1546</v>
      </c>
      <c r="Z301" t="s">
        <v>2523</v>
      </c>
      <c r="AA301" t="s">
        <v>36</v>
      </c>
      <c r="AB301">
        <v>0.2</v>
      </c>
      <c r="AC301" t="s">
        <v>2185</v>
      </c>
      <c r="AD301" t="s">
        <v>2204</v>
      </c>
      <c r="AE301" t="s">
        <v>2187</v>
      </c>
      <c r="AF301" t="s">
        <v>1547</v>
      </c>
      <c r="AG301" t="s">
        <v>2408</v>
      </c>
      <c r="AH301" t="s">
        <v>2187</v>
      </c>
      <c r="AI301" t="s">
        <v>3202</v>
      </c>
      <c r="AJ301" t="s">
        <v>3204</v>
      </c>
      <c r="AK301" t="s">
        <v>3199</v>
      </c>
      <c r="AL301" t="s">
        <v>3198</v>
      </c>
      <c r="AM301" s="176">
        <v>720000000</v>
      </c>
      <c r="AN301" s="176">
        <v>762264000</v>
      </c>
      <c r="AO301" s="176" t="s">
        <v>2887</v>
      </c>
      <c r="AP301" s="176" t="s">
        <v>2888</v>
      </c>
      <c r="AQ301" s="176" t="s">
        <v>2889</v>
      </c>
      <c r="AR301" t="s">
        <v>1902</v>
      </c>
      <c r="AS301" s="175">
        <v>8</v>
      </c>
    </row>
    <row r="302" spans="1:45" x14ac:dyDescent="0.25">
      <c r="A302">
        <v>2</v>
      </c>
      <c r="B302" t="s">
        <v>3255</v>
      </c>
      <c r="C302">
        <v>301</v>
      </c>
      <c r="D302" t="s">
        <v>264</v>
      </c>
      <c r="E302" t="s">
        <v>265</v>
      </c>
      <c r="F302" t="s">
        <v>2388</v>
      </c>
      <c r="G302" t="s">
        <v>1550</v>
      </c>
      <c r="H302" t="s">
        <v>1551</v>
      </c>
      <c r="I302" s="181" t="s">
        <v>3155</v>
      </c>
      <c r="J302">
        <v>2023</v>
      </c>
      <c r="K302" t="s">
        <v>3156</v>
      </c>
      <c r="L302" t="s">
        <v>1554</v>
      </c>
      <c r="M302" t="s">
        <v>25</v>
      </c>
      <c r="N302" t="s">
        <v>2404</v>
      </c>
      <c r="O302" t="s">
        <v>1495</v>
      </c>
      <c r="P302">
        <v>45</v>
      </c>
      <c r="Q302" t="s">
        <v>786</v>
      </c>
      <c r="R302" s="175" t="s">
        <v>787</v>
      </c>
      <c r="S302" t="s">
        <v>788</v>
      </c>
      <c r="T302" s="175" t="s">
        <v>1561</v>
      </c>
      <c r="U302" t="s">
        <v>1562</v>
      </c>
      <c r="V302" t="s">
        <v>1563</v>
      </c>
      <c r="W302" t="s">
        <v>500</v>
      </c>
      <c r="X302" s="175" t="s">
        <v>1564</v>
      </c>
      <c r="Y302" t="s">
        <v>1565</v>
      </c>
      <c r="Z302" t="s">
        <v>1999</v>
      </c>
      <c r="AA302" t="s">
        <v>36</v>
      </c>
      <c r="AB302">
        <v>4</v>
      </c>
      <c r="AC302" t="s">
        <v>2185</v>
      </c>
      <c r="AD302" t="s">
        <v>2186</v>
      </c>
      <c r="AE302" t="s">
        <v>2187</v>
      </c>
      <c r="AF302" t="s">
        <v>1547</v>
      </c>
      <c r="AG302" t="s">
        <v>2408</v>
      </c>
      <c r="AH302" t="s">
        <v>2187</v>
      </c>
      <c r="AI302">
        <v>1</v>
      </c>
      <c r="AJ302">
        <v>1</v>
      </c>
      <c r="AK302">
        <v>1</v>
      </c>
      <c r="AL302">
        <v>1</v>
      </c>
      <c r="AM302" s="176">
        <v>820000000</v>
      </c>
      <c r="AN302" s="176">
        <v>868134000</v>
      </c>
      <c r="AO302" s="176">
        <v>901557159</v>
      </c>
      <c r="AP302" s="176" t="s">
        <v>2890</v>
      </c>
      <c r="AQ302" s="176" t="s">
        <v>2891</v>
      </c>
      <c r="AR302" t="s">
        <v>1902</v>
      </c>
      <c r="AS302" s="175">
        <v>8</v>
      </c>
    </row>
    <row r="303" spans="1:45" x14ac:dyDescent="0.25">
      <c r="A303">
        <v>2</v>
      </c>
      <c r="B303" t="s">
        <v>3255</v>
      </c>
      <c r="C303">
        <v>302</v>
      </c>
      <c r="D303" t="s">
        <v>264</v>
      </c>
      <c r="E303" t="s">
        <v>265</v>
      </c>
      <c r="F303" t="s">
        <v>2388</v>
      </c>
      <c r="G303" t="s">
        <v>1550</v>
      </c>
      <c r="H303" t="s">
        <v>1551</v>
      </c>
      <c r="I303" s="181" t="s">
        <v>3155</v>
      </c>
      <c r="J303">
        <v>2023</v>
      </c>
      <c r="K303" t="s">
        <v>3156</v>
      </c>
      <c r="L303" t="s">
        <v>1554</v>
      </c>
      <c r="M303" t="s">
        <v>25</v>
      </c>
      <c r="N303" t="s">
        <v>2404</v>
      </c>
      <c r="O303" t="s">
        <v>1495</v>
      </c>
      <c r="P303">
        <v>45</v>
      </c>
      <c r="Q303" t="s">
        <v>786</v>
      </c>
      <c r="R303" s="175" t="s">
        <v>787</v>
      </c>
      <c r="S303" t="s">
        <v>788</v>
      </c>
      <c r="T303" s="175" t="s">
        <v>1566</v>
      </c>
      <c r="U303" t="s">
        <v>232</v>
      </c>
      <c r="V303" t="s">
        <v>1567</v>
      </c>
      <c r="W303" t="s">
        <v>1473</v>
      </c>
      <c r="X303" s="175" t="s">
        <v>1568</v>
      </c>
      <c r="Y303" t="s">
        <v>1569</v>
      </c>
      <c r="Z303" t="s">
        <v>2000</v>
      </c>
      <c r="AA303" t="s">
        <v>36</v>
      </c>
      <c r="AB303">
        <v>2</v>
      </c>
      <c r="AC303" t="s">
        <v>2185</v>
      </c>
      <c r="AD303" t="s">
        <v>2186</v>
      </c>
      <c r="AE303" t="s">
        <v>2205</v>
      </c>
      <c r="AF303" t="s">
        <v>1547</v>
      </c>
      <c r="AG303" t="s">
        <v>2408</v>
      </c>
      <c r="AH303" t="s">
        <v>2187</v>
      </c>
      <c r="AI303">
        <v>1</v>
      </c>
      <c r="AJ303">
        <v>1</v>
      </c>
      <c r="AK303">
        <v>1</v>
      </c>
      <c r="AL303">
        <v>1</v>
      </c>
      <c r="AM303" s="176">
        <v>790000000</v>
      </c>
      <c r="AN303" s="176">
        <v>845728520</v>
      </c>
      <c r="AO303" s="176" t="s">
        <v>2892</v>
      </c>
      <c r="AP303" s="176" t="s">
        <v>2893</v>
      </c>
      <c r="AQ303" s="176" t="s">
        <v>2894</v>
      </c>
      <c r="AR303" t="s">
        <v>1902</v>
      </c>
      <c r="AS303" s="175">
        <v>8</v>
      </c>
    </row>
    <row r="304" spans="1:45" x14ac:dyDescent="0.25">
      <c r="A304">
        <v>2</v>
      </c>
      <c r="B304" t="s">
        <v>3255</v>
      </c>
      <c r="C304">
        <v>303</v>
      </c>
      <c r="D304" t="s">
        <v>264</v>
      </c>
      <c r="E304" t="s">
        <v>265</v>
      </c>
      <c r="F304" t="s">
        <v>2388</v>
      </c>
      <c r="G304" t="s">
        <v>1550</v>
      </c>
      <c r="H304" t="s">
        <v>1551</v>
      </c>
      <c r="I304" s="181" t="s">
        <v>3155</v>
      </c>
      <c r="J304">
        <v>2023</v>
      </c>
      <c r="K304" t="s">
        <v>3156</v>
      </c>
      <c r="L304" t="s">
        <v>1554</v>
      </c>
      <c r="M304" t="s">
        <v>25</v>
      </c>
      <c r="N304" t="s">
        <v>2404</v>
      </c>
      <c r="O304" t="s">
        <v>1495</v>
      </c>
      <c r="P304">
        <v>45</v>
      </c>
      <c r="Q304" t="s">
        <v>786</v>
      </c>
      <c r="R304" s="175" t="s">
        <v>787</v>
      </c>
      <c r="S304" t="s">
        <v>788</v>
      </c>
      <c r="T304" s="175" t="s">
        <v>789</v>
      </c>
      <c r="U304" t="s">
        <v>790</v>
      </c>
      <c r="V304" t="s">
        <v>791</v>
      </c>
      <c r="W304" t="s">
        <v>792</v>
      </c>
      <c r="X304" s="175" t="s">
        <v>793</v>
      </c>
      <c r="Y304" t="s">
        <v>794</v>
      </c>
      <c r="Z304" t="s">
        <v>1570</v>
      </c>
      <c r="AA304" t="s">
        <v>36</v>
      </c>
      <c r="AB304">
        <v>0</v>
      </c>
      <c r="AC304" t="s">
        <v>2185</v>
      </c>
      <c r="AD304" t="s">
        <v>2186</v>
      </c>
      <c r="AE304" t="s">
        <v>2187</v>
      </c>
      <c r="AF304" t="s">
        <v>1547</v>
      </c>
      <c r="AG304" t="s">
        <v>2408</v>
      </c>
      <c r="AH304" t="s">
        <v>2187</v>
      </c>
      <c r="AI304">
        <v>1</v>
      </c>
      <c r="AJ304">
        <v>1</v>
      </c>
      <c r="AK304">
        <v>1</v>
      </c>
      <c r="AL304">
        <v>1</v>
      </c>
      <c r="AM304" s="176">
        <v>2369400000</v>
      </c>
      <c r="AN304" s="176">
        <v>2404035780</v>
      </c>
      <c r="AO304" s="176" t="s">
        <v>2895</v>
      </c>
      <c r="AP304" s="176" t="s">
        <v>2896</v>
      </c>
      <c r="AQ304" s="176" t="s">
        <v>2897</v>
      </c>
      <c r="AR304" t="s">
        <v>1902</v>
      </c>
      <c r="AS304" s="175">
        <v>8</v>
      </c>
    </row>
    <row r="305" spans="1:45" x14ac:dyDescent="0.25">
      <c r="A305">
        <v>2</v>
      </c>
      <c r="B305" t="s">
        <v>3255</v>
      </c>
      <c r="C305">
        <v>304</v>
      </c>
      <c r="D305" t="s">
        <v>264</v>
      </c>
      <c r="E305" t="s">
        <v>265</v>
      </c>
      <c r="F305" t="s">
        <v>2388</v>
      </c>
      <c r="G305" t="s">
        <v>1550</v>
      </c>
      <c r="H305" t="s">
        <v>1551</v>
      </c>
      <c r="I305" s="181" t="s">
        <v>3155</v>
      </c>
      <c r="J305">
        <v>2023</v>
      </c>
      <c r="K305" t="s">
        <v>3156</v>
      </c>
      <c r="L305" t="s">
        <v>1554</v>
      </c>
      <c r="M305" t="s">
        <v>25</v>
      </c>
      <c r="N305" t="s">
        <v>2404</v>
      </c>
      <c r="O305" t="s">
        <v>1495</v>
      </c>
      <c r="P305">
        <v>12</v>
      </c>
      <c r="Q305" t="s">
        <v>1571</v>
      </c>
      <c r="R305" s="175" t="s">
        <v>1572</v>
      </c>
      <c r="S305" t="s">
        <v>1573</v>
      </c>
      <c r="T305" s="175" t="s">
        <v>1574</v>
      </c>
      <c r="U305" t="s">
        <v>1575</v>
      </c>
      <c r="V305" t="s">
        <v>1576</v>
      </c>
      <c r="W305" t="s">
        <v>369</v>
      </c>
      <c r="X305" s="175" t="s">
        <v>1577</v>
      </c>
      <c r="Y305" t="s">
        <v>1578</v>
      </c>
      <c r="Z305" t="s">
        <v>2001</v>
      </c>
      <c r="AA305" t="s">
        <v>36</v>
      </c>
      <c r="AB305">
        <v>0</v>
      </c>
      <c r="AC305" t="s">
        <v>2185</v>
      </c>
      <c r="AD305" t="s">
        <v>2186</v>
      </c>
      <c r="AE305" t="s">
        <v>2187</v>
      </c>
      <c r="AF305" t="s">
        <v>1547</v>
      </c>
      <c r="AG305" t="s">
        <v>2408</v>
      </c>
      <c r="AH305" t="s">
        <v>2187</v>
      </c>
      <c r="AI305" t="s">
        <v>3197</v>
      </c>
      <c r="AJ305" t="s">
        <v>3197</v>
      </c>
      <c r="AK305" t="s">
        <v>3197</v>
      </c>
      <c r="AL305" t="s">
        <v>3197</v>
      </c>
      <c r="AM305" s="176">
        <v>780059607</v>
      </c>
      <c r="AN305" s="176">
        <v>812791305</v>
      </c>
      <c r="AO305" s="176" t="s">
        <v>2898</v>
      </c>
      <c r="AP305" s="176" t="s">
        <v>2899</v>
      </c>
      <c r="AQ305" s="176" t="s">
        <v>2900</v>
      </c>
      <c r="AR305" t="s">
        <v>1902</v>
      </c>
      <c r="AS305" s="175">
        <v>8</v>
      </c>
    </row>
    <row r="306" spans="1:45" x14ac:dyDescent="0.25">
      <c r="A306">
        <v>2</v>
      </c>
      <c r="B306" t="s">
        <v>3255</v>
      </c>
      <c r="C306">
        <v>305</v>
      </c>
      <c r="D306" t="s">
        <v>264</v>
      </c>
      <c r="E306" t="s">
        <v>265</v>
      </c>
      <c r="F306" t="s">
        <v>2388</v>
      </c>
      <c r="G306" t="s">
        <v>1579</v>
      </c>
      <c r="H306" t="s">
        <v>1580</v>
      </c>
      <c r="I306" s="181">
        <v>0.8</v>
      </c>
      <c r="J306">
        <v>2023</v>
      </c>
      <c r="K306" t="s">
        <v>1581</v>
      </c>
      <c r="L306" t="s">
        <v>1582</v>
      </c>
      <c r="M306" t="s">
        <v>25</v>
      </c>
      <c r="N306" t="s">
        <v>2404</v>
      </c>
      <c r="O306" t="s">
        <v>1495</v>
      </c>
      <c r="P306">
        <v>41</v>
      </c>
      <c r="Q306" t="s">
        <v>2112</v>
      </c>
      <c r="R306" s="175" t="s">
        <v>1583</v>
      </c>
      <c r="S306" t="s">
        <v>1584</v>
      </c>
      <c r="T306" s="175" t="s">
        <v>1585</v>
      </c>
      <c r="U306" t="s">
        <v>1586</v>
      </c>
      <c r="V306" t="s">
        <v>1587</v>
      </c>
      <c r="W306" t="s">
        <v>1588</v>
      </c>
      <c r="X306" s="175" t="s">
        <v>1589</v>
      </c>
      <c r="Y306" t="s">
        <v>1590</v>
      </c>
      <c r="Z306" t="s">
        <v>2074</v>
      </c>
      <c r="AA306" t="s">
        <v>36</v>
      </c>
      <c r="AB306">
        <v>500</v>
      </c>
      <c r="AC306" t="s">
        <v>2185</v>
      </c>
      <c r="AD306" t="s">
        <v>2186</v>
      </c>
      <c r="AE306" t="s">
        <v>2187</v>
      </c>
      <c r="AF306" t="s">
        <v>1547</v>
      </c>
      <c r="AG306" t="s">
        <v>2408</v>
      </c>
      <c r="AH306" t="s">
        <v>2187</v>
      </c>
      <c r="AI306">
        <v>500</v>
      </c>
      <c r="AJ306">
        <v>500</v>
      </c>
      <c r="AK306">
        <v>500</v>
      </c>
      <c r="AL306">
        <v>500</v>
      </c>
      <c r="AM306" s="176">
        <v>100000000</v>
      </c>
      <c r="AN306" s="176">
        <v>105870000</v>
      </c>
      <c r="AO306" s="176">
        <v>109945995</v>
      </c>
      <c r="AP306" s="176" t="s">
        <v>2875</v>
      </c>
      <c r="AQ306" s="176" t="s">
        <v>2876</v>
      </c>
      <c r="AR306" t="s">
        <v>1902</v>
      </c>
      <c r="AS306" s="175">
        <v>8</v>
      </c>
    </row>
    <row r="307" spans="1:45" x14ac:dyDescent="0.25">
      <c r="A307">
        <v>2</v>
      </c>
      <c r="B307" t="s">
        <v>3255</v>
      </c>
      <c r="C307">
        <v>306</v>
      </c>
      <c r="D307" t="s">
        <v>264</v>
      </c>
      <c r="E307" t="s">
        <v>265</v>
      </c>
      <c r="F307" t="s">
        <v>2388</v>
      </c>
      <c r="G307" t="s">
        <v>1579</v>
      </c>
      <c r="H307" t="s">
        <v>1580</v>
      </c>
      <c r="I307" s="181">
        <v>0.8</v>
      </c>
      <c r="J307">
        <v>2023</v>
      </c>
      <c r="K307" t="s">
        <v>1581</v>
      </c>
      <c r="L307" t="s">
        <v>1582</v>
      </c>
      <c r="M307" t="s">
        <v>25</v>
      </c>
      <c r="N307" t="s">
        <v>2404</v>
      </c>
      <c r="O307" t="s">
        <v>1495</v>
      </c>
      <c r="P307">
        <v>41</v>
      </c>
      <c r="Q307" t="s">
        <v>2112</v>
      </c>
      <c r="R307" s="175" t="s">
        <v>1583</v>
      </c>
      <c r="S307" t="s">
        <v>1584</v>
      </c>
      <c r="T307" s="175">
        <v>4101074</v>
      </c>
      <c r="U307" t="s">
        <v>1591</v>
      </c>
      <c r="V307" t="s">
        <v>1592</v>
      </c>
      <c r="W307" t="s">
        <v>807</v>
      </c>
      <c r="X307" s="175" t="s">
        <v>1593</v>
      </c>
      <c r="Y307" t="s">
        <v>1594</v>
      </c>
      <c r="Z307" t="s">
        <v>3157</v>
      </c>
      <c r="AA307" t="s">
        <v>36</v>
      </c>
      <c r="AB307">
        <v>200</v>
      </c>
      <c r="AC307" t="s">
        <v>2185</v>
      </c>
      <c r="AD307" t="s">
        <v>2186</v>
      </c>
      <c r="AE307" t="s">
        <v>2187</v>
      </c>
      <c r="AF307" t="s">
        <v>1547</v>
      </c>
      <c r="AG307" t="s">
        <v>2408</v>
      </c>
      <c r="AH307" t="s">
        <v>2187</v>
      </c>
      <c r="AI307">
        <v>20</v>
      </c>
      <c r="AJ307">
        <v>30</v>
      </c>
      <c r="AK307">
        <v>30</v>
      </c>
      <c r="AL307">
        <v>20</v>
      </c>
      <c r="AM307" s="176">
        <v>50000000</v>
      </c>
      <c r="AN307" s="176">
        <v>52935000</v>
      </c>
      <c r="AO307" s="176" t="s">
        <v>2754</v>
      </c>
      <c r="AP307" s="176" t="s">
        <v>2849</v>
      </c>
      <c r="AQ307" s="176" t="s">
        <v>2850</v>
      </c>
      <c r="AR307" t="s">
        <v>1902</v>
      </c>
      <c r="AS307" s="175">
        <v>8</v>
      </c>
    </row>
    <row r="308" spans="1:45" x14ac:dyDescent="0.25">
      <c r="A308">
        <v>2</v>
      </c>
      <c r="B308" t="s">
        <v>3255</v>
      </c>
      <c r="C308">
        <v>307</v>
      </c>
      <c r="D308" t="s">
        <v>264</v>
      </c>
      <c r="E308" t="s">
        <v>265</v>
      </c>
      <c r="F308" t="s">
        <v>2388</v>
      </c>
      <c r="G308" t="s">
        <v>1579</v>
      </c>
      <c r="H308" t="s">
        <v>1580</v>
      </c>
      <c r="I308" s="181">
        <v>0.8</v>
      </c>
      <c r="J308">
        <v>2023</v>
      </c>
      <c r="K308" t="s">
        <v>1581</v>
      </c>
      <c r="L308" t="s">
        <v>1582</v>
      </c>
      <c r="M308" t="s">
        <v>25</v>
      </c>
      <c r="N308" t="s">
        <v>2404</v>
      </c>
      <c r="O308" t="s">
        <v>1495</v>
      </c>
      <c r="P308">
        <v>41</v>
      </c>
      <c r="Q308" t="s">
        <v>2112</v>
      </c>
      <c r="R308" s="175" t="s">
        <v>1583</v>
      </c>
      <c r="S308" t="s">
        <v>1584</v>
      </c>
      <c r="T308" s="175" t="s">
        <v>1596</v>
      </c>
      <c r="U308" t="s">
        <v>1597</v>
      </c>
      <c r="V308" t="s">
        <v>1598</v>
      </c>
      <c r="W308" t="s">
        <v>1599</v>
      </c>
      <c r="X308" s="175" t="s">
        <v>1600</v>
      </c>
      <c r="Y308" t="s">
        <v>1601</v>
      </c>
      <c r="Z308" t="s">
        <v>3158</v>
      </c>
      <c r="AA308" t="s">
        <v>25</v>
      </c>
      <c r="AB308">
        <v>1</v>
      </c>
      <c r="AC308" t="s">
        <v>2185</v>
      </c>
      <c r="AD308" t="s">
        <v>2208</v>
      </c>
      <c r="AE308" t="s">
        <v>2187</v>
      </c>
      <c r="AF308" t="s">
        <v>1547</v>
      </c>
      <c r="AG308" t="s">
        <v>2408</v>
      </c>
      <c r="AH308" t="s">
        <v>2187</v>
      </c>
      <c r="AI308" t="s">
        <v>3197</v>
      </c>
      <c r="AJ308" t="s">
        <v>3197</v>
      </c>
      <c r="AK308" t="s">
        <v>3197</v>
      </c>
      <c r="AL308" t="s">
        <v>3197</v>
      </c>
      <c r="AM308" s="176">
        <v>100000000</v>
      </c>
      <c r="AN308" s="176">
        <v>105870000</v>
      </c>
      <c r="AO308" s="176">
        <v>109945995</v>
      </c>
      <c r="AP308" s="176" t="s">
        <v>2875</v>
      </c>
      <c r="AQ308" s="176" t="s">
        <v>2876</v>
      </c>
      <c r="AR308" t="s">
        <v>1902</v>
      </c>
      <c r="AS308" s="175">
        <v>8</v>
      </c>
    </row>
    <row r="309" spans="1:45" x14ac:dyDescent="0.25">
      <c r="A309">
        <v>2</v>
      </c>
      <c r="B309" t="s">
        <v>3255</v>
      </c>
      <c r="C309">
        <v>308</v>
      </c>
      <c r="D309" t="s">
        <v>264</v>
      </c>
      <c r="E309" t="s">
        <v>265</v>
      </c>
      <c r="F309" t="s">
        <v>2388</v>
      </c>
      <c r="G309" t="s">
        <v>1579</v>
      </c>
      <c r="H309" t="s">
        <v>1580</v>
      </c>
      <c r="I309" s="181">
        <v>0.8</v>
      </c>
      <c r="J309">
        <v>2023</v>
      </c>
      <c r="K309" t="s">
        <v>1581</v>
      </c>
      <c r="L309" t="s">
        <v>1582</v>
      </c>
      <c r="M309" t="s">
        <v>25</v>
      </c>
      <c r="N309" t="s">
        <v>2404</v>
      </c>
      <c r="O309" t="s">
        <v>1495</v>
      </c>
      <c r="P309">
        <v>41</v>
      </c>
      <c r="Q309" t="s">
        <v>2112</v>
      </c>
      <c r="R309" s="175" t="s">
        <v>1583</v>
      </c>
      <c r="S309" t="s">
        <v>1584</v>
      </c>
      <c r="T309" s="175" t="s">
        <v>1603</v>
      </c>
      <c r="U309" t="s">
        <v>1604</v>
      </c>
      <c r="V309" t="s">
        <v>1605</v>
      </c>
      <c r="W309" t="s">
        <v>1606</v>
      </c>
      <c r="X309" s="175" t="s">
        <v>1607</v>
      </c>
      <c r="Y309" t="s">
        <v>1608</v>
      </c>
      <c r="Z309" t="s">
        <v>1609</v>
      </c>
      <c r="AA309" t="s">
        <v>36</v>
      </c>
      <c r="AB309">
        <v>1</v>
      </c>
      <c r="AC309" t="s">
        <v>2185</v>
      </c>
      <c r="AD309" t="s">
        <v>2186</v>
      </c>
      <c r="AE309" t="s">
        <v>2187</v>
      </c>
      <c r="AF309" t="s">
        <v>1547</v>
      </c>
      <c r="AG309" t="s">
        <v>2408</v>
      </c>
      <c r="AH309" t="s">
        <v>2187</v>
      </c>
      <c r="AI309">
        <v>0</v>
      </c>
      <c r="AJ309">
        <v>0</v>
      </c>
      <c r="AK309" t="s">
        <v>3197</v>
      </c>
      <c r="AL309" t="s">
        <v>3233</v>
      </c>
      <c r="AM309" s="176">
        <v>0</v>
      </c>
      <c r="AN309" s="176">
        <v>0</v>
      </c>
      <c r="AO309" s="176">
        <v>311550000</v>
      </c>
      <c r="AP309" s="176">
        <v>329837985</v>
      </c>
      <c r="AQ309" s="176">
        <v>641387985</v>
      </c>
      <c r="AR309" t="s">
        <v>1902</v>
      </c>
      <c r="AS309" s="175">
        <v>8</v>
      </c>
    </row>
    <row r="310" spans="1:45" x14ac:dyDescent="0.25">
      <c r="A310">
        <v>2</v>
      </c>
      <c r="B310" t="s">
        <v>3255</v>
      </c>
      <c r="C310">
        <v>309</v>
      </c>
      <c r="D310" t="s">
        <v>264</v>
      </c>
      <c r="E310" t="s">
        <v>265</v>
      </c>
      <c r="F310" t="s">
        <v>2388</v>
      </c>
      <c r="G310" t="s">
        <v>1579</v>
      </c>
      <c r="H310" t="s">
        <v>1580</v>
      </c>
      <c r="I310" s="181">
        <v>0.8</v>
      </c>
      <c r="J310">
        <v>2023</v>
      </c>
      <c r="K310" t="s">
        <v>1581</v>
      </c>
      <c r="L310" t="s">
        <v>1582</v>
      </c>
      <c r="M310" t="s">
        <v>25</v>
      </c>
      <c r="N310" t="s">
        <v>2404</v>
      </c>
      <c r="O310" t="s">
        <v>1495</v>
      </c>
      <c r="P310">
        <v>41</v>
      </c>
      <c r="Q310" t="s">
        <v>2112</v>
      </c>
      <c r="R310" s="175" t="s">
        <v>1583</v>
      </c>
      <c r="S310" t="s">
        <v>1584</v>
      </c>
      <c r="T310" s="175" t="s">
        <v>1603</v>
      </c>
      <c r="U310" t="s">
        <v>1604</v>
      </c>
      <c r="V310" t="s">
        <v>1605</v>
      </c>
      <c r="W310" t="s">
        <v>1606</v>
      </c>
      <c r="X310" s="175" t="s">
        <v>1607</v>
      </c>
      <c r="Y310" t="s">
        <v>1608</v>
      </c>
      <c r="Z310" t="s">
        <v>3159</v>
      </c>
      <c r="AA310" t="s">
        <v>36</v>
      </c>
      <c r="AB310">
        <v>89</v>
      </c>
      <c r="AC310" t="s">
        <v>2185</v>
      </c>
      <c r="AD310" t="s">
        <v>2208</v>
      </c>
      <c r="AE310" t="s">
        <v>2187</v>
      </c>
      <c r="AF310" t="s">
        <v>1547</v>
      </c>
      <c r="AG310" t="s">
        <v>2408</v>
      </c>
      <c r="AH310" t="s">
        <v>2187</v>
      </c>
      <c r="AI310">
        <v>30</v>
      </c>
      <c r="AJ310">
        <v>50</v>
      </c>
      <c r="AK310">
        <v>40</v>
      </c>
      <c r="AL310">
        <v>30</v>
      </c>
      <c r="AM310" s="176">
        <v>100000000</v>
      </c>
      <c r="AN310" s="176">
        <v>105870000</v>
      </c>
      <c r="AO310" s="176">
        <v>109945995</v>
      </c>
      <c r="AP310" s="176" t="s">
        <v>2875</v>
      </c>
      <c r="AQ310" s="176" t="s">
        <v>2876</v>
      </c>
      <c r="AR310" t="s">
        <v>1902</v>
      </c>
      <c r="AS310" s="175">
        <v>8</v>
      </c>
    </row>
    <row r="311" spans="1:45" x14ac:dyDescent="0.25">
      <c r="A311">
        <v>2</v>
      </c>
      <c r="B311" t="s">
        <v>3255</v>
      </c>
      <c r="C311">
        <v>310</v>
      </c>
      <c r="D311" t="s">
        <v>264</v>
      </c>
      <c r="E311" t="s">
        <v>265</v>
      </c>
      <c r="F311" t="s">
        <v>2388</v>
      </c>
      <c r="G311" t="s">
        <v>1579</v>
      </c>
      <c r="H311" t="s">
        <v>1580</v>
      </c>
      <c r="I311" s="181">
        <v>0.8</v>
      </c>
      <c r="J311">
        <v>2023</v>
      </c>
      <c r="K311" t="s">
        <v>1581</v>
      </c>
      <c r="L311" t="s">
        <v>1582</v>
      </c>
      <c r="M311" t="s">
        <v>25</v>
      </c>
      <c r="N311" t="s">
        <v>2404</v>
      </c>
      <c r="O311" t="s">
        <v>1495</v>
      </c>
      <c r="P311">
        <v>41</v>
      </c>
      <c r="Q311" t="s">
        <v>2112</v>
      </c>
      <c r="R311" s="175" t="s">
        <v>1583</v>
      </c>
      <c r="S311" t="s">
        <v>1584</v>
      </c>
      <c r="T311" s="175" t="s">
        <v>1611</v>
      </c>
      <c r="U311" t="s">
        <v>1612</v>
      </c>
      <c r="V311" t="s">
        <v>1613</v>
      </c>
      <c r="W311" t="s">
        <v>1614</v>
      </c>
      <c r="X311" s="175" t="s">
        <v>1615</v>
      </c>
      <c r="Y311" t="s">
        <v>1614</v>
      </c>
      <c r="Z311" t="s">
        <v>3160</v>
      </c>
      <c r="AA311" t="s">
        <v>36</v>
      </c>
      <c r="AB311">
        <v>850</v>
      </c>
      <c r="AC311" t="s">
        <v>2185</v>
      </c>
      <c r="AD311" t="s">
        <v>2405</v>
      </c>
      <c r="AE311" t="s">
        <v>2187</v>
      </c>
      <c r="AF311" t="s">
        <v>1547</v>
      </c>
      <c r="AG311" t="s">
        <v>2408</v>
      </c>
      <c r="AH311" t="s">
        <v>2187</v>
      </c>
      <c r="AI311">
        <v>100</v>
      </c>
      <c r="AJ311">
        <v>100</v>
      </c>
      <c r="AK311">
        <v>100</v>
      </c>
      <c r="AL311">
        <v>100</v>
      </c>
      <c r="AM311" s="176">
        <v>50000000</v>
      </c>
      <c r="AN311" s="176">
        <v>52935000</v>
      </c>
      <c r="AO311" s="176" t="s">
        <v>2754</v>
      </c>
      <c r="AP311" s="176" t="s">
        <v>2849</v>
      </c>
      <c r="AQ311" s="176" t="s">
        <v>2850</v>
      </c>
      <c r="AR311" t="s">
        <v>1902</v>
      </c>
      <c r="AS311" s="175">
        <v>8</v>
      </c>
    </row>
    <row r="312" spans="1:45" x14ac:dyDescent="0.25">
      <c r="A312">
        <v>2</v>
      </c>
      <c r="B312" t="s">
        <v>3255</v>
      </c>
      <c r="C312">
        <v>311</v>
      </c>
      <c r="D312" t="s">
        <v>264</v>
      </c>
      <c r="E312" t="s">
        <v>265</v>
      </c>
      <c r="F312" t="s">
        <v>2388</v>
      </c>
      <c r="G312" t="s">
        <v>1579</v>
      </c>
      <c r="H312" t="s">
        <v>1580</v>
      </c>
      <c r="I312" s="181">
        <v>0.8</v>
      </c>
      <c r="J312">
        <v>2023</v>
      </c>
      <c r="K312" t="s">
        <v>1581</v>
      </c>
      <c r="L312" t="s">
        <v>1582</v>
      </c>
      <c r="M312" t="s">
        <v>25</v>
      </c>
      <c r="N312" t="s">
        <v>2404</v>
      </c>
      <c r="O312" t="s">
        <v>1495</v>
      </c>
      <c r="P312">
        <v>41</v>
      </c>
      <c r="Q312" t="s">
        <v>2112</v>
      </c>
      <c r="R312" s="175" t="s">
        <v>1583</v>
      </c>
      <c r="S312" t="s">
        <v>1584</v>
      </c>
      <c r="T312" s="175" t="s">
        <v>1617</v>
      </c>
      <c r="U312" t="s">
        <v>1618</v>
      </c>
      <c r="V312" t="s">
        <v>1619</v>
      </c>
      <c r="W312" t="s">
        <v>1620</v>
      </c>
      <c r="X312" s="175" t="s">
        <v>1621</v>
      </c>
      <c r="Y312" t="s">
        <v>1622</v>
      </c>
      <c r="Z312" t="s">
        <v>3161</v>
      </c>
      <c r="AA312" t="s">
        <v>36</v>
      </c>
      <c r="AB312">
        <v>6</v>
      </c>
      <c r="AC312" t="s">
        <v>2185</v>
      </c>
      <c r="AD312" t="s">
        <v>2186</v>
      </c>
      <c r="AE312" t="s">
        <v>2187</v>
      </c>
      <c r="AF312" t="s">
        <v>1547</v>
      </c>
      <c r="AG312" t="s">
        <v>2408</v>
      </c>
      <c r="AH312" t="s">
        <v>2187</v>
      </c>
      <c r="AI312">
        <v>2</v>
      </c>
      <c r="AJ312">
        <v>4</v>
      </c>
      <c r="AK312">
        <v>3</v>
      </c>
      <c r="AL312">
        <v>3</v>
      </c>
      <c r="AM312" s="176">
        <v>50000000</v>
      </c>
      <c r="AN312" s="176">
        <v>52935000</v>
      </c>
      <c r="AO312" s="176" t="s">
        <v>2754</v>
      </c>
      <c r="AP312" s="176" t="s">
        <v>2849</v>
      </c>
      <c r="AQ312" s="176" t="s">
        <v>2850</v>
      </c>
      <c r="AR312" t="s">
        <v>1902</v>
      </c>
      <c r="AS312" s="175">
        <v>8</v>
      </c>
    </row>
    <row r="313" spans="1:45" x14ac:dyDescent="0.25">
      <c r="A313">
        <v>2</v>
      </c>
      <c r="B313" t="s">
        <v>3255</v>
      </c>
      <c r="C313">
        <v>312</v>
      </c>
      <c r="D313" t="s">
        <v>264</v>
      </c>
      <c r="E313" t="s">
        <v>265</v>
      </c>
      <c r="F313" t="s">
        <v>2388</v>
      </c>
      <c r="G313" t="s">
        <v>1579</v>
      </c>
      <c r="H313" t="s">
        <v>1580</v>
      </c>
      <c r="I313" s="181">
        <v>0.8</v>
      </c>
      <c r="J313">
        <v>2023</v>
      </c>
      <c r="K313" t="s">
        <v>1581</v>
      </c>
      <c r="L313" t="s">
        <v>1582</v>
      </c>
      <c r="M313" t="s">
        <v>25</v>
      </c>
      <c r="N313" t="s">
        <v>2404</v>
      </c>
      <c r="O313" t="s">
        <v>1495</v>
      </c>
      <c r="P313">
        <v>41</v>
      </c>
      <c r="Q313" t="s">
        <v>2112</v>
      </c>
      <c r="R313" s="175" t="s">
        <v>1583</v>
      </c>
      <c r="S313" t="s">
        <v>1584</v>
      </c>
      <c r="T313" s="175" t="s">
        <v>1624</v>
      </c>
      <c r="U313" t="s">
        <v>1625</v>
      </c>
      <c r="V313" t="s">
        <v>1626</v>
      </c>
      <c r="W313" t="s">
        <v>203</v>
      </c>
      <c r="X313" s="175" t="s">
        <v>1627</v>
      </c>
      <c r="Y313" t="s">
        <v>1628</v>
      </c>
      <c r="Z313" t="s">
        <v>3162</v>
      </c>
      <c r="AA313" t="s">
        <v>36</v>
      </c>
      <c r="AB313">
        <v>1500</v>
      </c>
      <c r="AC313" t="s">
        <v>2185</v>
      </c>
      <c r="AD313" t="s">
        <v>2186</v>
      </c>
      <c r="AE313" t="s">
        <v>2187</v>
      </c>
      <c r="AF313" t="s">
        <v>1547</v>
      </c>
      <c r="AG313" t="s">
        <v>2408</v>
      </c>
      <c r="AH313" t="s">
        <v>2187</v>
      </c>
      <c r="AI313">
        <v>500</v>
      </c>
      <c r="AJ313">
        <v>500</v>
      </c>
      <c r="AK313">
        <v>500</v>
      </c>
      <c r="AL313">
        <v>500</v>
      </c>
      <c r="AM313" s="176">
        <v>200000000</v>
      </c>
      <c r="AN313" s="176">
        <v>206640000</v>
      </c>
      <c r="AO313" s="176">
        <v>214595630</v>
      </c>
      <c r="AP313" s="176">
        <v>133454473</v>
      </c>
      <c r="AQ313" s="176">
        <v>754690103</v>
      </c>
      <c r="AR313" t="s">
        <v>1902</v>
      </c>
      <c r="AS313" s="175">
        <v>8</v>
      </c>
    </row>
    <row r="314" spans="1:45" x14ac:dyDescent="0.25">
      <c r="A314">
        <v>2</v>
      </c>
      <c r="B314" t="s">
        <v>3255</v>
      </c>
      <c r="C314">
        <v>313</v>
      </c>
      <c r="D314" t="s">
        <v>264</v>
      </c>
      <c r="E314" t="s">
        <v>265</v>
      </c>
      <c r="F314" t="s">
        <v>2388</v>
      </c>
      <c r="G314" t="s">
        <v>3163</v>
      </c>
      <c r="H314" t="s">
        <v>1630</v>
      </c>
      <c r="I314" s="181">
        <v>0.5</v>
      </c>
      <c r="J314">
        <v>2023</v>
      </c>
      <c r="K314" t="s">
        <v>1631</v>
      </c>
      <c r="L314" t="s">
        <v>1632</v>
      </c>
      <c r="M314" t="s">
        <v>25</v>
      </c>
      <c r="N314" t="s">
        <v>2191</v>
      </c>
      <c r="O314" t="s">
        <v>1495</v>
      </c>
      <c r="P314">
        <v>45</v>
      </c>
      <c r="Q314" t="s">
        <v>786</v>
      </c>
      <c r="R314" s="175" t="s">
        <v>787</v>
      </c>
      <c r="S314" t="s">
        <v>788</v>
      </c>
      <c r="T314" s="175" t="s">
        <v>1633</v>
      </c>
      <c r="U314" t="s">
        <v>201</v>
      </c>
      <c r="V314" t="s">
        <v>944</v>
      </c>
      <c r="W314" t="s">
        <v>203</v>
      </c>
      <c r="X314" s="175" t="s">
        <v>1634</v>
      </c>
      <c r="Y314" t="s">
        <v>297</v>
      </c>
      <c r="Z314" t="s">
        <v>2080</v>
      </c>
      <c r="AA314" t="s">
        <v>36</v>
      </c>
      <c r="AB314">
        <v>600</v>
      </c>
      <c r="AC314" t="s">
        <v>2185</v>
      </c>
      <c r="AD314" t="s">
        <v>2208</v>
      </c>
      <c r="AE314" t="s">
        <v>2187</v>
      </c>
      <c r="AF314" t="s">
        <v>1547</v>
      </c>
      <c r="AG314" t="s">
        <v>2210</v>
      </c>
      <c r="AH314" t="s">
        <v>2187</v>
      </c>
      <c r="AI314">
        <v>300</v>
      </c>
      <c r="AJ314">
        <v>400</v>
      </c>
      <c r="AK314">
        <v>336</v>
      </c>
      <c r="AL314">
        <v>100</v>
      </c>
      <c r="AM314" s="176">
        <v>70000000</v>
      </c>
      <c r="AN314" s="176">
        <v>74109000</v>
      </c>
      <c r="AO314" s="176" t="s">
        <v>2787</v>
      </c>
      <c r="AP314" s="176" t="s">
        <v>2901</v>
      </c>
      <c r="AQ314" s="176" t="s">
        <v>2902</v>
      </c>
      <c r="AR314" t="s">
        <v>1902</v>
      </c>
      <c r="AS314" s="175">
        <v>8</v>
      </c>
    </row>
    <row r="315" spans="1:45" x14ac:dyDescent="0.25">
      <c r="A315">
        <v>2</v>
      </c>
      <c r="B315" t="s">
        <v>3255</v>
      </c>
      <c r="C315">
        <v>314</v>
      </c>
      <c r="D315" t="s">
        <v>328</v>
      </c>
      <c r="E315" t="s">
        <v>465</v>
      </c>
      <c r="F315" t="s">
        <v>2384</v>
      </c>
      <c r="G315" t="s">
        <v>466</v>
      </c>
      <c r="H315" t="s">
        <v>467</v>
      </c>
      <c r="I315" s="183">
        <v>80</v>
      </c>
      <c r="J315">
        <v>2022</v>
      </c>
      <c r="K315" t="s">
        <v>1635</v>
      </c>
      <c r="L315" t="s">
        <v>469</v>
      </c>
      <c r="M315" t="s">
        <v>36</v>
      </c>
      <c r="O315" t="s">
        <v>470</v>
      </c>
      <c r="P315">
        <v>45</v>
      </c>
      <c r="Q315" t="s">
        <v>786</v>
      </c>
      <c r="R315" s="175">
        <v>4599</v>
      </c>
      <c r="S315" t="s">
        <v>1143</v>
      </c>
      <c r="T315" s="175" t="s">
        <v>1636</v>
      </c>
      <c r="U315" t="s">
        <v>232</v>
      </c>
      <c r="V315" t="s">
        <v>1637</v>
      </c>
      <c r="W315" t="s">
        <v>1638</v>
      </c>
      <c r="X315" s="175" t="s">
        <v>1639</v>
      </c>
      <c r="Y315" t="s">
        <v>1640</v>
      </c>
      <c r="Z315" t="s">
        <v>1641</v>
      </c>
      <c r="AA315" t="s">
        <v>36</v>
      </c>
      <c r="AB315">
        <v>1</v>
      </c>
      <c r="AC315" t="s">
        <v>2185</v>
      </c>
      <c r="AD315" t="s">
        <v>2186</v>
      </c>
      <c r="AE315" t="s">
        <v>2187</v>
      </c>
      <c r="AF315" t="s">
        <v>2187</v>
      </c>
      <c r="AG315" t="s">
        <v>2210</v>
      </c>
      <c r="AH315" t="s">
        <v>2187</v>
      </c>
      <c r="AI315" t="s">
        <v>3197</v>
      </c>
      <c r="AJ315" t="s">
        <v>3197</v>
      </c>
      <c r="AK315" t="s">
        <v>3197</v>
      </c>
      <c r="AL315" t="s">
        <v>3197</v>
      </c>
      <c r="AM315" s="176">
        <v>200000000</v>
      </c>
      <c r="AN315" s="176">
        <v>211740000</v>
      </c>
      <c r="AO315" s="176">
        <v>223099851</v>
      </c>
      <c r="AP315" s="176" t="s">
        <v>2903</v>
      </c>
      <c r="AQ315" s="176" t="s">
        <v>2904</v>
      </c>
      <c r="AR315" t="s">
        <v>1902</v>
      </c>
      <c r="AS315" s="175">
        <v>8</v>
      </c>
    </row>
    <row r="316" spans="1:45" x14ac:dyDescent="0.25">
      <c r="A316">
        <v>2</v>
      </c>
      <c r="B316" t="s">
        <v>3255</v>
      </c>
      <c r="C316">
        <v>315</v>
      </c>
      <c r="D316" t="s">
        <v>328</v>
      </c>
      <c r="E316" t="s">
        <v>465</v>
      </c>
      <c r="F316" t="s">
        <v>2384</v>
      </c>
      <c r="G316" t="s">
        <v>466</v>
      </c>
      <c r="H316" t="s">
        <v>467</v>
      </c>
      <c r="I316" s="183">
        <v>80</v>
      </c>
      <c r="J316">
        <v>2022</v>
      </c>
      <c r="K316" t="s">
        <v>1635</v>
      </c>
      <c r="L316" t="s">
        <v>469</v>
      </c>
      <c r="M316" t="s">
        <v>36</v>
      </c>
      <c r="O316" t="s">
        <v>470</v>
      </c>
      <c r="P316">
        <v>45</v>
      </c>
      <c r="Q316" t="s">
        <v>786</v>
      </c>
      <c r="R316" s="175">
        <v>4501</v>
      </c>
      <c r="S316" t="s">
        <v>788</v>
      </c>
      <c r="T316" s="175" t="s">
        <v>1555</v>
      </c>
      <c r="U316" t="s">
        <v>2510</v>
      </c>
      <c r="V316" t="s">
        <v>2511</v>
      </c>
      <c r="W316" t="s">
        <v>500</v>
      </c>
      <c r="X316" s="175" t="s">
        <v>1558</v>
      </c>
      <c r="Y316" t="s">
        <v>1559</v>
      </c>
      <c r="Z316" t="s">
        <v>2409</v>
      </c>
      <c r="AA316" t="s">
        <v>36</v>
      </c>
      <c r="AB316">
        <v>0</v>
      </c>
      <c r="AC316" t="s">
        <v>2185</v>
      </c>
      <c r="AD316" t="s">
        <v>2186</v>
      </c>
      <c r="AE316" t="s">
        <v>2187</v>
      </c>
      <c r="AF316" t="s">
        <v>2187</v>
      </c>
      <c r="AG316" t="s">
        <v>2210</v>
      </c>
      <c r="AH316" t="s">
        <v>2187</v>
      </c>
      <c r="AI316" t="s">
        <v>3197</v>
      </c>
      <c r="AJ316" t="s">
        <v>3197</v>
      </c>
      <c r="AK316" t="s">
        <v>3197</v>
      </c>
      <c r="AL316" t="s">
        <v>3197</v>
      </c>
      <c r="AM316" s="176">
        <v>95000000</v>
      </c>
      <c r="AN316" s="176">
        <v>100576500</v>
      </c>
      <c r="AO316" s="176" t="s">
        <v>2905</v>
      </c>
      <c r="AP316" s="176" t="s">
        <v>2906</v>
      </c>
      <c r="AQ316" s="176" t="s">
        <v>2907</v>
      </c>
      <c r="AR316" t="s">
        <v>1902</v>
      </c>
      <c r="AS316" s="175">
        <v>8</v>
      </c>
    </row>
    <row r="317" spans="1:45" x14ac:dyDescent="0.25">
      <c r="A317">
        <v>2</v>
      </c>
      <c r="B317" t="s">
        <v>3255</v>
      </c>
      <c r="C317">
        <v>316</v>
      </c>
      <c r="D317" t="s">
        <v>328</v>
      </c>
      <c r="E317" t="s">
        <v>465</v>
      </c>
      <c r="F317" t="s">
        <v>2384</v>
      </c>
      <c r="G317" t="s">
        <v>466</v>
      </c>
      <c r="H317" t="s">
        <v>467</v>
      </c>
      <c r="I317" s="183">
        <v>80</v>
      </c>
      <c r="J317">
        <v>2022</v>
      </c>
      <c r="K317" t="s">
        <v>1635</v>
      </c>
      <c r="L317" t="s">
        <v>469</v>
      </c>
      <c r="M317" t="s">
        <v>36</v>
      </c>
      <c r="O317" t="s">
        <v>470</v>
      </c>
      <c r="P317">
        <v>45</v>
      </c>
      <c r="Q317" t="s">
        <v>786</v>
      </c>
      <c r="R317" s="175" t="s">
        <v>1488</v>
      </c>
      <c r="S317" t="s">
        <v>1143</v>
      </c>
      <c r="T317" s="175" t="s">
        <v>1642</v>
      </c>
      <c r="U317" t="s">
        <v>1643</v>
      </c>
      <c r="V317" t="s">
        <v>1644</v>
      </c>
      <c r="W317" t="s">
        <v>968</v>
      </c>
      <c r="X317" s="175" t="s">
        <v>1645</v>
      </c>
      <c r="Y317" t="s">
        <v>1646</v>
      </c>
      <c r="Z317" t="s">
        <v>1647</v>
      </c>
      <c r="AA317" t="s">
        <v>36</v>
      </c>
      <c r="AB317">
        <v>0</v>
      </c>
      <c r="AC317" t="s">
        <v>2185</v>
      </c>
      <c r="AD317" t="s">
        <v>2208</v>
      </c>
      <c r="AE317" t="s">
        <v>2187</v>
      </c>
      <c r="AF317" t="s">
        <v>2187</v>
      </c>
      <c r="AG317" t="s">
        <v>2210</v>
      </c>
      <c r="AH317" t="s">
        <v>2187</v>
      </c>
      <c r="AI317" t="s">
        <v>3197</v>
      </c>
      <c r="AJ317" t="s">
        <v>3197</v>
      </c>
      <c r="AK317" t="s">
        <v>3197</v>
      </c>
      <c r="AL317" t="s">
        <v>3197</v>
      </c>
      <c r="AM317" s="176">
        <v>50000000</v>
      </c>
      <c r="AN317" s="176">
        <v>52935000</v>
      </c>
      <c r="AO317" s="176" t="s">
        <v>2754</v>
      </c>
      <c r="AP317" s="176" t="s">
        <v>2849</v>
      </c>
      <c r="AQ317" s="176" t="s">
        <v>2850</v>
      </c>
      <c r="AR317" t="s">
        <v>1902</v>
      </c>
      <c r="AS317" s="175">
        <v>8</v>
      </c>
    </row>
    <row r="318" spans="1:45" x14ac:dyDescent="0.25">
      <c r="A318">
        <v>2</v>
      </c>
      <c r="B318" t="s">
        <v>3255</v>
      </c>
      <c r="C318">
        <v>317</v>
      </c>
      <c r="D318" t="s">
        <v>264</v>
      </c>
      <c r="E318" t="s">
        <v>265</v>
      </c>
      <c r="F318" t="s">
        <v>2389</v>
      </c>
      <c r="G318" t="s">
        <v>1648</v>
      </c>
      <c r="H318" t="s">
        <v>1649</v>
      </c>
      <c r="I318" s="180">
        <v>0.46700000000000003</v>
      </c>
      <c r="J318">
        <v>2022</v>
      </c>
      <c r="K318" t="s">
        <v>1650</v>
      </c>
      <c r="L318" t="s">
        <v>1658</v>
      </c>
      <c r="M318" t="s">
        <v>25</v>
      </c>
      <c r="N318" t="s">
        <v>2188</v>
      </c>
      <c r="O318" t="s">
        <v>1721</v>
      </c>
      <c r="P318">
        <v>41</v>
      </c>
      <c r="Q318" t="s">
        <v>2112</v>
      </c>
      <c r="R318" s="175" t="s">
        <v>803</v>
      </c>
      <c r="S318" t="s">
        <v>830</v>
      </c>
      <c r="T318" s="175" t="s">
        <v>1651</v>
      </c>
      <c r="U318" t="s">
        <v>1652</v>
      </c>
      <c r="V318" t="s">
        <v>1653</v>
      </c>
      <c r="W318" t="s">
        <v>834</v>
      </c>
      <c r="X318" s="175" t="s">
        <v>1654</v>
      </c>
      <c r="Y318" t="s">
        <v>1655</v>
      </c>
      <c r="Z318" t="s">
        <v>1656</v>
      </c>
      <c r="AA318" t="s">
        <v>36</v>
      </c>
      <c r="AB318">
        <v>0</v>
      </c>
      <c r="AC318" t="s">
        <v>2185</v>
      </c>
      <c r="AD318" t="s">
        <v>2410</v>
      </c>
      <c r="AE318" t="s">
        <v>2189</v>
      </c>
      <c r="AF318" t="s">
        <v>2411</v>
      </c>
      <c r="AG318" t="s">
        <v>2190</v>
      </c>
      <c r="AH318" t="s">
        <v>2191</v>
      </c>
      <c r="AI318">
        <v>1</v>
      </c>
      <c r="AJ318">
        <v>2</v>
      </c>
      <c r="AK318">
        <v>2</v>
      </c>
      <c r="AL318">
        <v>2</v>
      </c>
      <c r="AM318" s="176">
        <v>195000000</v>
      </c>
      <c r="AN318" s="176">
        <v>206115000</v>
      </c>
      <c r="AO318" s="176">
        <v>212298450</v>
      </c>
      <c r="AP318" s="176" t="s">
        <v>2908</v>
      </c>
      <c r="AQ318" s="176" t="s">
        <v>2909</v>
      </c>
      <c r="AR318" t="s">
        <v>2014</v>
      </c>
      <c r="AS318" s="175">
        <v>4</v>
      </c>
    </row>
    <row r="319" spans="1:45" x14ac:dyDescent="0.25">
      <c r="A319">
        <v>2</v>
      </c>
      <c r="B319" t="s">
        <v>3255</v>
      </c>
      <c r="C319">
        <v>318</v>
      </c>
      <c r="D319" t="s">
        <v>264</v>
      </c>
      <c r="E319" t="s">
        <v>265</v>
      </c>
      <c r="F319" t="s">
        <v>2389</v>
      </c>
      <c r="G319" t="s">
        <v>1648</v>
      </c>
      <c r="H319" t="s">
        <v>1649</v>
      </c>
      <c r="I319" s="180">
        <v>0.46700000000000003</v>
      </c>
      <c r="J319">
        <v>2022</v>
      </c>
      <c r="K319" t="s">
        <v>1650</v>
      </c>
      <c r="L319" t="s">
        <v>1658</v>
      </c>
      <c r="M319" t="s">
        <v>25</v>
      </c>
      <c r="N319" t="s">
        <v>2188</v>
      </c>
      <c r="O319" t="s">
        <v>1721</v>
      </c>
      <c r="P319">
        <v>41</v>
      </c>
      <c r="Q319" t="s">
        <v>2112</v>
      </c>
      <c r="R319" s="175" t="s">
        <v>803</v>
      </c>
      <c r="S319" t="s">
        <v>830</v>
      </c>
      <c r="T319" s="175" t="s">
        <v>1659</v>
      </c>
      <c r="U319" t="s">
        <v>1019</v>
      </c>
      <c r="V319" t="s">
        <v>1020</v>
      </c>
      <c r="W319" t="s">
        <v>834</v>
      </c>
      <c r="X319" s="175" t="s">
        <v>1660</v>
      </c>
      <c r="Y319" t="s">
        <v>1021</v>
      </c>
      <c r="Z319" t="s">
        <v>2065</v>
      </c>
      <c r="AA319" t="s">
        <v>36</v>
      </c>
      <c r="AB319">
        <v>0</v>
      </c>
      <c r="AC319" t="s">
        <v>2192</v>
      </c>
      <c r="AD319" t="s">
        <v>2410</v>
      </c>
      <c r="AE319" t="s">
        <v>2189</v>
      </c>
      <c r="AF319" t="s">
        <v>2411</v>
      </c>
      <c r="AG319" t="s">
        <v>2190</v>
      </c>
      <c r="AH319" t="s">
        <v>2191</v>
      </c>
      <c r="AI319">
        <v>42</v>
      </c>
      <c r="AJ319">
        <v>42</v>
      </c>
      <c r="AK319">
        <v>42</v>
      </c>
      <c r="AL319">
        <v>42</v>
      </c>
      <c r="AM319" s="176" t="s">
        <v>2910</v>
      </c>
      <c r="AN319" s="176" t="s">
        <v>2911</v>
      </c>
      <c r="AO319" s="176" t="s">
        <v>2912</v>
      </c>
      <c r="AP319" s="176" t="s">
        <v>2913</v>
      </c>
      <c r="AQ319" s="176" t="s">
        <v>2914</v>
      </c>
      <c r="AR319" t="s">
        <v>2014</v>
      </c>
      <c r="AS319" s="175">
        <v>4</v>
      </c>
    </row>
    <row r="320" spans="1:45" x14ac:dyDescent="0.25">
      <c r="A320">
        <v>2</v>
      </c>
      <c r="B320" t="s">
        <v>3255</v>
      </c>
      <c r="C320">
        <v>319</v>
      </c>
      <c r="D320" t="s">
        <v>264</v>
      </c>
      <c r="E320" t="s">
        <v>265</v>
      </c>
      <c r="F320" t="s">
        <v>2389</v>
      </c>
      <c r="G320" t="s">
        <v>1648</v>
      </c>
      <c r="H320" t="s">
        <v>1649</v>
      </c>
      <c r="I320" s="180">
        <v>0.46700000000000003</v>
      </c>
      <c r="J320">
        <v>2022</v>
      </c>
      <c r="K320" t="s">
        <v>1650</v>
      </c>
      <c r="L320" t="s">
        <v>1658</v>
      </c>
      <c r="M320" t="s">
        <v>25</v>
      </c>
      <c r="N320" t="s">
        <v>2188</v>
      </c>
      <c r="O320" t="s">
        <v>1721</v>
      </c>
      <c r="P320">
        <v>45</v>
      </c>
      <c r="Q320" t="s">
        <v>786</v>
      </c>
      <c r="R320" s="175" t="s">
        <v>1467</v>
      </c>
      <c r="S320" t="s">
        <v>1468</v>
      </c>
      <c r="T320" s="175" t="s">
        <v>1502</v>
      </c>
      <c r="U320" t="s">
        <v>1503</v>
      </c>
      <c r="V320" t="s">
        <v>1504</v>
      </c>
      <c r="W320" t="s">
        <v>792</v>
      </c>
      <c r="X320" s="175" t="s">
        <v>1505</v>
      </c>
      <c r="Y320" t="s">
        <v>1506</v>
      </c>
      <c r="Z320" t="s">
        <v>1661</v>
      </c>
      <c r="AA320" t="s">
        <v>36</v>
      </c>
      <c r="AB320">
        <v>14</v>
      </c>
      <c r="AC320" t="s">
        <v>2192</v>
      </c>
      <c r="AD320" t="s">
        <v>2410</v>
      </c>
      <c r="AE320" t="s">
        <v>2189</v>
      </c>
      <c r="AF320" t="s">
        <v>2412</v>
      </c>
      <c r="AG320" t="s">
        <v>2190</v>
      </c>
      <c r="AH320" t="s">
        <v>2191</v>
      </c>
      <c r="AI320">
        <v>18</v>
      </c>
      <c r="AJ320">
        <v>18</v>
      </c>
      <c r="AK320">
        <v>18</v>
      </c>
      <c r="AL320">
        <v>18</v>
      </c>
      <c r="AM320" s="176">
        <v>125000000</v>
      </c>
      <c r="AN320" s="176">
        <v>132125000</v>
      </c>
      <c r="AO320" s="176">
        <v>136088750</v>
      </c>
      <c r="AP320" s="176" t="s">
        <v>2915</v>
      </c>
      <c r="AQ320" s="176" t="s">
        <v>2916</v>
      </c>
      <c r="AR320" t="s">
        <v>2014</v>
      </c>
      <c r="AS320" s="175">
        <v>4</v>
      </c>
    </row>
    <row r="321" spans="1:45" x14ac:dyDescent="0.25">
      <c r="A321">
        <v>2</v>
      </c>
      <c r="B321" t="s">
        <v>3255</v>
      </c>
      <c r="C321">
        <v>320</v>
      </c>
      <c r="D321" t="s">
        <v>264</v>
      </c>
      <c r="E321" t="s">
        <v>265</v>
      </c>
      <c r="F321" t="s">
        <v>2389</v>
      </c>
      <c r="G321" t="s">
        <v>1648</v>
      </c>
      <c r="H321" t="s">
        <v>1649</v>
      </c>
      <c r="I321" s="180">
        <v>0.46700000000000003</v>
      </c>
      <c r="J321">
        <v>2022</v>
      </c>
      <c r="K321" t="s">
        <v>1650</v>
      </c>
      <c r="L321" t="s">
        <v>1658</v>
      </c>
      <c r="M321" t="s">
        <v>25</v>
      </c>
      <c r="N321" t="s">
        <v>2188</v>
      </c>
      <c r="O321" t="s">
        <v>1721</v>
      </c>
      <c r="P321">
        <v>41</v>
      </c>
      <c r="Q321" t="s">
        <v>2112</v>
      </c>
      <c r="R321" s="175" t="s">
        <v>1662</v>
      </c>
      <c r="S321" t="s">
        <v>1663</v>
      </c>
      <c r="T321" s="175" t="s">
        <v>1664</v>
      </c>
      <c r="U321" t="s">
        <v>1665</v>
      </c>
      <c r="V321" t="s">
        <v>1666</v>
      </c>
      <c r="W321" t="s">
        <v>203</v>
      </c>
      <c r="X321" s="175">
        <v>410204500</v>
      </c>
      <c r="Y321" t="s">
        <v>297</v>
      </c>
      <c r="Z321" t="s">
        <v>2002</v>
      </c>
      <c r="AA321" t="s">
        <v>36</v>
      </c>
      <c r="AB321">
        <v>1112</v>
      </c>
      <c r="AC321" t="s">
        <v>2192</v>
      </c>
      <c r="AD321" t="s">
        <v>2410</v>
      </c>
      <c r="AE321" t="s">
        <v>2189</v>
      </c>
      <c r="AF321" t="s">
        <v>2412</v>
      </c>
      <c r="AG321" t="s">
        <v>2190</v>
      </c>
      <c r="AH321" t="s">
        <v>2191</v>
      </c>
      <c r="AI321">
        <v>2000</v>
      </c>
      <c r="AJ321">
        <v>2000</v>
      </c>
      <c r="AK321">
        <v>2000</v>
      </c>
      <c r="AL321">
        <v>2000</v>
      </c>
      <c r="AM321" s="176">
        <v>140000000</v>
      </c>
      <c r="AN321" s="176">
        <v>147980000</v>
      </c>
      <c r="AO321" s="176">
        <v>152419400</v>
      </c>
      <c r="AP321" s="176">
        <v>156991982</v>
      </c>
      <c r="AQ321" s="176">
        <v>597391382</v>
      </c>
      <c r="AR321" t="s">
        <v>2014</v>
      </c>
      <c r="AS321" s="175">
        <v>4</v>
      </c>
    </row>
    <row r="322" spans="1:45" x14ac:dyDescent="0.25">
      <c r="A322">
        <v>2</v>
      </c>
      <c r="B322" t="s">
        <v>3255</v>
      </c>
      <c r="C322">
        <v>321</v>
      </c>
      <c r="D322" t="s">
        <v>264</v>
      </c>
      <c r="E322" t="s">
        <v>265</v>
      </c>
      <c r="F322" t="s">
        <v>2389</v>
      </c>
      <c r="G322" t="s">
        <v>1648</v>
      </c>
      <c r="H322" t="s">
        <v>1649</v>
      </c>
      <c r="I322" s="180">
        <v>0.46700000000000003</v>
      </c>
      <c r="J322">
        <v>2022</v>
      </c>
      <c r="K322" t="s">
        <v>1650</v>
      </c>
      <c r="L322" t="s">
        <v>1658</v>
      </c>
      <c r="M322" t="s">
        <v>25</v>
      </c>
      <c r="N322" t="s">
        <v>2188</v>
      </c>
      <c r="O322" t="s">
        <v>1721</v>
      </c>
      <c r="P322">
        <v>41</v>
      </c>
      <c r="Q322" t="s">
        <v>2112</v>
      </c>
      <c r="R322" s="175" t="s">
        <v>1662</v>
      </c>
      <c r="S322" t="s">
        <v>1663</v>
      </c>
      <c r="T322" s="175" t="s">
        <v>1667</v>
      </c>
      <c r="U322" t="s">
        <v>1562</v>
      </c>
      <c r="V322" t="s">
        <v>1668</v>
      </c>
      <c r="W322" t="s">
        <v>500</v>
      </c>
      <c r="X322" s="175">
        <v>410204000</v>
      </c>
      <c r="Y322" t="s">
        <v>1565</v>
      </c>
      <c r="Z322" t="s">
        <v>2066</v>
      </c>
      <c r="AA322" t="s">
        <v>36</v>
      </c>
      <c r="AB322">
        <v>0</v>
      </c>
      <c r="AC322" t="s">
        <v>2185</v>
      </c>
      <c r="AD322" t="s">
        <v>2410</v>
      </c>
      <c r="AE322" t="s">
        <v>2189</v>
      </c>
      <c r="AF322" t="s">
        <v>2412</v>
      </c>
      <c r="AG322" t="s">
        <v>2190</v>
      </c>
      <c r="AH322" t="s">
        <v>2191</v>
      </c>
      <c r="AI322" t="s">
        <v>3197</v>
      </c>
      <c r="AJ322" t="s">
        <v>3197</v>
      </c>
      <c r="AK322" t="s">
        <v>3197</v>
      </c>
      <c r="AL322" t="s">
        <v>3197</v>
      </c>
      <c r="AM322" s="176">
        <v>50000000</v>
      </c>
      <c r="AN322" s="176">
        <v>52850000</v>
      </c>
      <c r="AO322" s="176">
        <v>54435500</v>
      </c>
      <c r="AP322" s="176">
        <v>56068565</v>
      </c>
      <c r="AQ322" s="176">
        <v>213354065</v>
      </c>
      <c r="AR322" t="s">
        <v>2014</v>
      </c>
      <c r="AS322" s="175">
        <v>4</v>
      </c>
    </row>
    <row r="323" spans="1:45" x14ac:dyDescent="0.25">
      <c r="A323">
        <v>2</v>
      </c>
      <c r="B323" t="s">
        <v>3255</v>
      </c>
      <c r="C323">
        <v>322</v>
      </c>
      <c r="D323" t="s">
        <v>264</v>
      </c>
      <c r="E323" t="s">
        <v>265</v>
      </c>
      <c r="F323" t="s">
        <v>2389</v>
      </c>
      <c r="G323" t="s">
        <v>1648</v>
      </c>
      <c r="H323" t="s">
        <v>1649</v>
      </c>
      <c r="I323" s="180">
        <v>0.46700000000000003</v>
      </c>
      <c r="J323">
        <v>2022</v>
      </c>
      <c r="K323" t="s">
        <v>1650</v>
      </c>
      <c r="L323" t="s">
        <v>1658</v>
      </c>
      <c r="M323" t="s">
        <v>25</v>
      </c>
      <c r="N323" t="s">
        <v>2188</v>
      </c>
      <c r="O323" t="s">
        <v>1721</v>
      </c>
      <c r="P323">
        <v>41</v>
      </c>
      <c r="Q323" t="s">
        <v>2112</v>
      </c>
      <c r="R323" s="175" t="s">
        <v>1662</v>
      </c>
      <c r="S323" t="s">
        <v>1663</v>
      </c>
      <c r="T323" s="175" t="s">
        <v>1669</v>
      </c>
      <c r="U323" t="s">
        <v>1670</v>
      </c>
      <c r="V323" t="s">
        <v>1671</v>
      </c>
      <c r="W323" t="s">
        <v>1672</v>
      </c>
      <c r="X323" s="175">
        <v>410204700</v>
      </c>
      <c r="Y323" t="s">
        <v>1673</v>
      </c>
      <c r="Z323" t="s">
        <v>2067</v>
      </c>
      <c r="AA323" t="s">
        <v>36</v>
      </c>
      <c r="AB323">
        <v>42</v>
      </c>
      <c r="AC323" t="s">
        <v>2192</v>
      </c>
      <c r="AD323" t="s">
        <v>2410</v>
      </c>
      <c r="AE323" t="s">
        <v>2189</v>
      </c>
      <c r="AF323" t="s">
        <v>2412</v>
      </c>
      <c r="AG323" t="s">
        <v>2190</v>
      </c>
      <c r="AH323" t="s">
        <v>2191</v>
      </c>
      <c r="AI323">
        <v>42</v>
      </c>
      <c r="AJ323">
        <v>42</v>
      </c>
      <c r="AK323">
        <v>42</v>
      </c>
      <c r="AL323">
        <v>42</v>
      </c>
      <c r="AM323" s="176" t="s">
        <v>2917</v>
      </c>
      <c r="AN323" s="176" t="s">
        <v>2918</v>
      </c>
      <c r="AO323" s="176" t="s">
        <v>2919</v>
      </c>
      <c r="AP323" s="176" t="s">
        <v>2920</v>
      </c>
      <c r="AQ323" s="176" t="s">
        <v>2921</v>
      </c>
      <c r="AR323" t="s">
        <v>2014</v>
      </c>
      <c r="AS323" s="175">
        <v>4</v>
      </c>
    </row>
    <row r="324" spans="1:45" x14ac:dyDescent="0.25">
      <c r="A324">
        <v>2</v>
      </c>
      <c r="B324" t="s">
        <v>3255</v>
      </c>
      <c r="C324">
        <v>323</v>
      </c>
      <c r="D324" t="s">
        <v>264</v>
      </c>
      <c r="E324" t="s">
        <v>265</v>
      </c>
      <c r="F324" t="s">
        <v>2389</v>
      </c>
      <c r="G324" t="s">
        <v>638</v>
      </c>
      <c r="H324" t="s">
        <v>639</v>
      </c>
      <c r="I324" s="188">
        <v>2.75E-2</v>
      </c>
      <c r="J324">
        <v>2023</v>
      </c>
      <c r="K324" t="s">
        <v>640</v>
      </c>
      <c r="L324" t="s">
        <v>641</v>
      </c>
      <c r="M324" t="s">
        <v>25</v>
      </c>
      <c r="O324" t="s">
        <v>642</v>
      </c>
      <c r="P324">
        <v>43</v>
      </c>
      <c r="Q324" t="s">
        <v>1674</v>
      </c>
      <c r="R324" s="175" t="s">
        <v>644</v>
      </c>
      <c r="S324" t="s">
        <v>2469</v>
      </c>
      <c r="T324" s="175" t="s">
        <v>1675</v>
      </c>
      <c r="U324" t="s">
        <v>647</v>
      </c>
      <c r="V324" t="s">
        <v>648</v>
      </c>
      <c r="W324" t="s">
        <v>203</v>
      </c>
      <c r="X324" s="175" t="s">
        <v>1676</v>
      </c>
      <c r="Y324" t="s">
        <v>649</v>
      </c>
      <c r="Z324" t="s">
        <v>2003</v>
      </c>
      <c r="AA324" t="s">
        <v>36</v>
      </c>
      <c r="AB324">
        <v>150</v>
      </c>
      <c r="AC324" t="s">
        <v>2192</v>
      </c>
      <c r="AD324" t="s">
        <v>2410</v>
      </c>
      <c r="AE324" t="s">
        <v>2189</v>
      </c>
      <c r="AF324" t="s">
        <v>2198</v>
      </c>
      <c r="AG324" t="s">
        <v>2191</v>
      </c>
      <c r="AH324" t="s">
        <v>2190</v>
      </c>
      <c r="AI324">
        <v>200</v>
      </c>
      <c r="AJ324">
        <v>200</v>
      </c>
      <c r="AK324">
        <v>200</v>
      </c>
      <c r="AL324">
        <v>200</v>
      </c>
      <c r="AM324" s="176" t="s">
        <v>2922</v>
      </c>
      <c r="AN324" s="176" t="s">
        <v>2923</v>
      </c>
      <c r="AO324" s="176" t="s">
        <v>2924</v>
      </c>
      <c r="AP324" s="176" t="s">
        <v>2925</v>
      </c>
      <c r="AQ324" s="176" t="s">
        <v>2926</v>
      </c>
      <c r="AR324" t="s">
        <v>2014</v>
      </c>
      <c r="AS324" s="175">
        <v>4</v>
      </c>
    </row>
    <row r="325" spans="1:45" x14ac:dyDescent="0.25">
      <c r="A325">
        <v>2</v>
      </c>
      <c r="B325" t="s">
        <v>3255</v>
      </c>
      <c r="C325">
        <v>324</v>
      </c>
      <c r="D325" t="s">
        <v>264</v>
      </c>
      <c r="E325" t="s">
        <v>265</v>
      </c>
      <c r="F325" t="s">
        <v>2389</v>
      </c>
      <c r="G325" t="s">
        <v>1648</v>
      </c>
      <c r="H325" t="s">
        <v>1649</v>
      </c>
      <c r="I325" s="180">
        <v>0.46700000000000003</v>
      </c>
      <c r="J325">
        <v>2022</v>
      </c>
      <c r="K325" t="s">
        <v>1650</v>
      </c>
      <c r="L325" t="s">
        <v>1658</v>
      </c>
      <c r="M325" t="s">
        <v>25</v>
      </c>
      <c r="N325" t="s">
        <v>27</v>
      </c>
      <c r="O325" t="s">
        <v>1721</v>
      </c>
      <c r="P325">
        <v>41</v>
      </c>
      <c r="Q325" t="s">
        <v>2112</v>
      </c>
      <c r="R325" s="175">
        <v>4104</v>
      </c>
      <c r="S325" t="s">
        <v>1677</v>
      </c>
      <c r="T325" s="175" t="s">
        <v>1678</v>
      </c>
      <c r="U325" t="s">
        <v>1679</v>
      </c>
      <c r="V325" t="s">
        <v>1680</v>
      </c>
      <c r="W325" t="s">
        <v>428</v>
      </c>
      <c r="X325" s="175" t="s">
        <v>1681</v>
      </c>
      <c r="Y325" t="s">
        <v>1679</v>
      </c>
      <c r="Z325" t="s">
        <v>1682</v>
      </c>
      <c r="AA325" t="s">
        <v>36</v>
      </c>
      <c r="AB325">
        <v>0</v>
      </c>
      <c r="AC325" t="s">
        <v>2185</v>
      </c>
      <c r="AD325" t="s">
        <v>2193</v>
      </c>
      <c r="AE325" t="s">
        <v>2194</v>
      </c>
      <c r="AF325" t="s">
        <v>1657</v>
      </c>
      <c r="AG325" t="s">
        <v>2190</v>
      </c>
      <c r="AH325" t="s">
        <v>2191</v>
      </c>
      <c r="AI325">
        <v>1</v>
      </c>
      <c r="AJ325">
        <v>5</v>
      </c>
      <c r="AK325">
        <v>3</v>
      </c>
      <c r="AL325">
        <v>3</v>
      </c>
      <c r="AM325" s="176" t="s">
        <v>2927</v>
      </c>
      <c r="AN325" s="176" t="s">
        <v>2928</v>
      </c>
      <c r="AO325" s="176" t="s">
        <v>2929</v>
      </c>
      <c r="AP325" s="176" t="s">
        <v>2930</v>
      </c>
      <c r="AQ325" s="176" t="s">
        <v>2931</v>
      </c>
      <c r="AR325" t="s">
        <v>2014</v>
      </c>
      <c r="AS325" s="175">
        <v>4</v>
      </c>
    </row>
    <row r="326" spans="1:45" x14ac:dyDescent="0.25">
      <c r="A326">
        <v>2</v>
      </c>
      <c r="B326" t="s">
        <v>3255</v>
      </c>
      <c r="C326">
        <v>325</v>
      </c>
      <c r="D326" t="s">
        <v>264</v>
      </c>
      <c r="E326" t="s">
        <v>265</v>
      </c>
      <c r="F326" t="s">
        <v>2389</v>
      </c>
      <c r="G326" t="s">
        <v>1648</v>
      </c>
      <c r="H326" t="s">
        <v>1649</v>
      </c>
      <c r="I326" s="180">
        <v>0.46700000000000003</v>
      </c>
      <c r="J326">
        <v>2022</v>
      </c>
      <c r="K326" t="s">
        <v>1650</v>
      </c>
      <c r="L326" t="s">
        <v>1658</v>
      </c>
      <c r="M326" t="s">
        <v>25</v>
      </c>
      <c r="N326" t="s">
        <v>27</v>
      </c>
      <c r="O326" t="s">
        <v>1721</v>
      </c>
      <c r="P326">
        <v>41</v>
      </c>
      <c r="Q326" t="s">
        <v>2112</v>
      </c>
      <c r="R326" s="175">
        <v>4104</v>
      </c>
      <c r="S326" t="s">
        <v>1677</v>
      </c>
      <c r="T326" s="175" t="s">
        <v>1683</v>
      </c>
      <c r="U326" t="s">
        <v>1684</v>
      </c>
      <c r="V326" t="s">
        <v>1685</v>
      </c>
      <c r="W326" t="s">
        <v>1686</v>
      </c>
      <c r="X326" s="175" t="s">
        <v>1687</v>
      </c>
      <c r="Y326" t="s">
        <v>1688</v>
      </c>
      <c r="Z326" t="s">
        <v>1689</v>
      </c>
      <c r="AA326" t="s">
        <v>36</v>
      </c>
      <c r="AB326">
        <v>4000</v>
      </c>
      <c r="AC326" t="s">
        <v>2192</v>
      </c>
      <c r="AD326" t="s">
        <v>2193</v>
      </c>
      <c r="AE326" t="s">
        <v>2194</v>
      </c>
      <c r="AF326" t="s">
        <v>1657</v>
      </c>
      <c r="AG326" t="s">
        <v>2190</v>
      </c>
      <c r="AH326" t="s">
        <v>2191</v>
      </c>
      <c r="AI326">
        <v>10000</v>
      </c>
      <c r="AJ326">
        <v>10000</v>
      </c>
      <c r="AK326">
        <v>10000</v>
      </c>
      <c r="AL326">
        <v>10000</v>
      </c>
      <c r="AM326" s="176" t="s">
        <v>2932</v>
      </c>
      <c r="AN326" s="176">
        <v>5072254202</v>
      </c>
      <c r="AO326" s="176" t="s">
        <v>2933</v>
      </c>
      <c r="AP326" s="176" t="s">
        <v>2934</v>
      </c>
      <c r="AQ326" s="176" t="s">
        <v>2935</v>
      </c>
      <c r="AR326" t="s">
        <v>2014</v>
      </c>
      <c r="AS326" s="175">
        <v>4</v>
      </c>
    </row>
    <row r="327" spans="1:45" x14ac:dyDescent="0.25">
      <c r="A327">
        <v>2</v>
      </c>
      <c r="B327" t="s">
        <v>3255</v>
      </c>
      <c r="C327">
        <v>326</v>
      </c>
      <c r="D327" t="s">
        <v>264</v>
      </c>
      <c r="E327" t="s">
        <v>265</v>
      </c>
      <c r="F327" t="s">
        <v>2389</v>
      </c>
      <c r="G327" t="s">
        <v>1648</v>
      </c>
      <c r="H327" t="s">
        <v>1649</v>
      </c>
      <c r="I327" s="180">
        <v>0.46700000000000003</v>
      </c>
      <c r="J327">
        <v>2022</v>
      </c>
      <c r="K327" t="s">
        <v>1650</v>
      </c>
      <c r="L327" t="s">
        <v>1658</v>
      </c>
      <c r="M327" t="s">
        <v>25</v>
      </c>
      <c r="N327" t="s">
        <v>27</v>
      </c>
      <c r="O327" t="s">
        <v>1721</v>
      </c>
      <c r="P327">
        <v>41</v>
      </c>
      <c r="Q327" t="s">
        <v>2112</v>
      </c>
      <c r="R327" s="175">
        <v>4104</v>
      </c>
      <c r="S327" t="s">
        <v>1677</v>
      </c>
      <c r="T327" s="175" t="s">
        <v>1690</v>
      </c>
      <c r="U327" t="s">
        <v>1691</v>
      </c>
      <c r="V327" t="s">
        <v>1692</v>
      </c>
      <c r="W327" t="s">
        <v>1693</v>
      </c>
      <c r="X327" s="175" t="s">
        <v>1694</v>
      </c>
      <c r="Y327" t="s">
        <v>1691</v>
      </c>
      <c r="Z327" t="s">
        <v>1695</v>
      </c>
      <c r="AA327" t="s">
        <v>36</v>
      </c>
      <c r="AB327">
        <v>0</v>
      </c>
      <c r="AC327" t="s">
        <v>2185</v>
      </c>
      <c r="AD327" t="s">
        <v>2193</v>
      </c>
      <c r="AE327" t="s">
        <v>2194</v>
      </c>
      <c r="AF327" t="s">
        <v>1657</v>
      </c>
      <c r="AG327" t="s">
        <v>2190</v>
      </c>
      <c r="AH327" t="s">
        <v>2191</v>
      </c>
      <c r="AI327">
        <v>30</v>
      </c>
      <c r="AJ327">
        <v>30</v>
      </c>
      <c r="AK327">
        <v>30</v>
      </c>
      <c r="AL327">
        <v>30</v>
      </c>
      <c r="AM327" s="176" t="s">
        <v>2936</v>
      </c>
      <c r="AN327" s="176" t="s">
        <v>2937</v>
      </c>
      <c r="AO327" s="176" t="s">
        <v>2938</v>
      </c>
      <c r="AP327" s="176" t="s">
        <v>2939</v>
      </c>
      <c r="AQ327" s="176" t="s">
        <v>2940</v>
      </c>
      <c r="AR327" t="s">
        <v>2014</v>
      </c>
      <c r="AS327" s="175">
        <v>4</v>
      </c>
    </row>
    <row r="328" spans="1:45" x14ac:dyDescent="0.25">
      <c r="A328">
        <v>2</v>
      </c>
      <c r="B328" t="s">
        <v>3255</v>
      </c>
      <c r="C328">
        <v>327</v>
      </c>
      <c r="D328" t="s">
        <v>264</v>
      </c>
      <c r="E328" t="s">
        <v>265</v>
      </c>
      <c r="F328" t="s">
        <v>2389</v>
      </c>
      <c r="G328" t="s">
        <v>1648</v>
      </c>
      <c r="H328" t="s">
        <v>1649</v>
      </c>
      <c r="I328" s="180">
        <v>0.46700000000000003</v>
      </c>
      <c r="J328">
        <v>2022</v>
      </c>
      <c r="K328" t="s">
        <v>1650</v>
      </c>
      <c r="L328" t="s">
        <v>1658</v>
      </c>
      <c r="M328" t="s">
        <v>25</v>
      </c>
      <c r="N328" t="s">
        <v>27</v>
      </c>
      <c r="O328" t="s">
        <v>1721</v>
      </c>
      <c r="P328">
        <v>41</v>
      </c>
      <c r="Q328" t="s">
        <v>2112</v>
      </c>
      <c r="R328" s="175">
        <v>4104</v>
      </c>
      <c r="S328" t="s">
        <v>1677</v>
      </c>
      <c r="T328" s="175" t="s">
        <v>1696</v>
      </c>
      <c r="U328" t="s">
        <v>1697</v>
      </c>
      <c r="V328" t="s">
        <v>1698</v>
      </c>
      <c r="W328" t="s">
        <v>685</v>
      </c>
      <c r="X328" s="175" t="s">
        <v>1699</v>
      </c>
      <c r="Y328" t="s">
        <v>1700</v>
      </c>
      <c r="Z328" t="s">
        <v>2004</v>
      </c>
      <c r="AA328" t="s">
        <v>36</v>
      </c>
      <c r="AB328">
        <v>40</v>
      </c>
      <c r="AC328" t="s">
        <v>2185</v>
      </c>
      <c r="AD328" t="s">
        <v>2193</v>
      </c>
      <c r="AE328" t="s">
        <v>2194</v>
      </c>
      <c r="AF328" t="s">
        <v>1657</v>
      </c>
      <c r="AG328" t="s">
        <v>2190</v>
      </c>
      <c r="AH328" t="s">
        <v>2191</v>
      </c>
      <c r="AI328">
        <v>50</v>
      </c>
      <c r="AJ328">
        <v>50</v>
      </c>
      <c r="AK328">
        <v>50</v>
      </c>
      <c r="AL328">
        <v>50</v>
      </c>
      <c r="AM328" s="176">
        <v>145000000</v>
      </c>
      <c r="AN328" s="176">
        <v>153265000</v>
      </c>
      <c r="AO328" s="176">
        <v>157862950</v>
      </c>
      <c r="AP328" s="176" t="s">
        <v>2941</v>
      </c>
      <c r="AQ328" s="176" t="s">
        <v>2942</v>
      </c>
      <c r="AR328" t="s">
        <v>2014</v>
      </c>
      <c r="AS328" s="175">
        <v>4</v>
      </c>
    </row>
    <row r="329" spans="1:45" x14ac:dyDescent="0.25">
      <c r="A329">
        <v>2</v>
      </c>
      <c r="B329" t="s">
        <v>3255</v>
      </c>
      <c r="C329">
        <v>328</v>
      </c>
      <c r="D329" t="s">
        <v>264</v>
      </c>
      <c r="E329" t="s">
        <v>265</v>
      </c>
      <c r="F329" t="s">
        <v>2389</v>
      </c>
      <c r="G329" t="s">
        <v>1648</v>
      </c>
      <c r="H329" t="s">
        <v>1649</v>
      </c>
      <c r="I329" s="180">
        <v>0.46700000000000003</v>
      </c>
      <c r="J329">
        <v>2022</v>
      </c>
      <c r="K329" t="s">
        <v>1650</v>
      </c>
      <c r="L329" t="s">
        <v>1658</v>
      </c>
      <c r="M329" t="s">
        <v>25</v>
      </c>
      <c r="N329" t="s">
        <v>27</v>
      </c>
      <c r="O329" t="s">
        <v>1721</v>
      </c>
      <c r="P329">
        <v>45</v>
      </c>
      <c r="Q329" t="s">
        <v>786</v>
      </c>
      <c r="R329" s="175" t="s">
        <v>1467</v>
      </c>
      <c r="S329" t="s">
        <v>1468</v>
      </c>
      <c r="T329" s="175" t="s">
        <v>1701</v>
      </c>
      <c r="U329" t="s">
        <v>768</v>
      </c>
      <c r="V329" t="s">
        <v>1702</v>
      </c>
      <c r="W329" t="s">
        <v>500</v>
      </c>
      <c r="X329" s="175" t="s">
        <v>1703</v>
      </c>
      <c r="Y329" t="s">
        <v>771</v>
      </c>
      <c r="Z329" t="s">
        <v>1704</v>
      </c>
      <c r="AA329" t="s">
        <v>36</v>
      </c>
      <c r="AB329">
        <v>1</v>
      </c>
      <c r="AC329" t="s">
        <v>2185</v>
      </c>
      <c r="AD329" t="s">
        <v>2193</v>
      </c>
      <c r="AE329" t="s">
        <v>2194</v>
      </c>
      <c r="AF329" t="s">
        <v>1657</v>
      </c>
      <c r="AG329" t="s">
        <v>2190</v>
      </c>
      <c r="AH329" t="s">
        <v>2191</v>
      </c>
      <c r="AI329" t="s">
        <v>3197</v>
      </c>
      <c r="AJ329" t="s">
        <v>3197</v>
      </c>
      <c r="AK329" t="s">
        <v>3197</v>
      </c>
      <c r="AL329" t="s">
        <v>3197</v>
      </c>
      <c r="AM329" s="176">
        <v>90000000</v>
      </c>
      <c r="AN329" s="176">
        <v>95130000</v>
      </c>
      <c r="AO329" s="176">
        <v>97983900</v>
      </c>
      <c r="AP329" s="176">
        <v>100923417</v>
      </c>
      <c r="AQ329" s="176">
        <v>384037317</v>
      </c>
      <c r="AR329" t="s">
        <v>2014</v>
      </c>
      <c r="AS329" s="175">
        <v>4</v>
      </c>
    </row>
    <row r="330" spans="1:45" x14ac:dyDescent="0.25">
      <c r="A330">
        <v>2</v>
      </c>
      <c r="B330" t="s">
        <v>3255</v>
      </c>
      <c r="C330">
        <v>329</v>
      </c>
      <c r="D330" t="s">
        <v>264</v>
      </c>
      <c r="E330" t="s">
        <v>265</v>
      </c>
      <c r="F330" t="s">
        <v>2389</v>
      </c>
      <c r="G330" t="s">
        <v>1648</v>
      </c>
      <c r="H330" t="s">
        <v>1649</v>
      </c>
      <c r="I330" s="180">
        <v>0.46700000000000003</v>
      </c>
      <c r="J330">
        <v>2022</v>
      </c>
      <c r="K330" t="s">
        <v>1650</v>
      </c>
      <c r="L330" t="s">
        <v>1658</v>
      </c>
      <c r="M330" t="s">
        <v>25</v>
      </c>
      <c r="N330" t="s">
        <v>27</v>
      </c>
      <c r="O330" t="s">
        <v>1721</v>
      </c>
      <c r="P330">
        <v>41</v>
      </c>
      <c r="Q330" t="s">
        <v>2112</v>
      </c>
      <c r="R330" s="175">
        <v>4103</v>
      </c>
      <c r="S330" t="s">
        <v>830</v>
      </c>
      <c r="T330" s="175" t="s">
        <v>1705</v>
      </c>
      <c r="U330" t="s">
        <v>1706</v>
      </c>
      <c r="V330" t="s">
        <v>1707</v>
      </c>
      <c r="W330" t="s">
        <v>203</v>
      </c>
      <c r="X330" s="175" t="s">
        <v>1708</v>
      </c>
      <c r="Y330" t="s">
        <v>1709</v>
      </c>
      <c r="Z330" t="s">
        <v>1710</v>
      </c>
      <c r="AA330" t="s">
        <v>36</v>
      </c>
      <c r="AB330">
        <v>3000</v>
      </c>
      <c r="AC330" t="s">
        <v>2185</v>
      </c>
      <c r="AD330" t="s">
        <v>2410</v>
      </c>
      <c r="AE330" t="s">
        <v>2483</v>
      </c>
      <c r="AF330" t="s">
        <v>1657</v>
      </c>
      <c r="AG330" t="s">
        <v>2190</v>
      </c>
      <c r="AH330" t="s">
        <v>2191</v>
      </c>
      <c r="AI330">
        <v>2000</v>
      </c>
      <c r="AJ330">
        <v>2000</v>
      </c>
      <c r="AK330">
        <v>2000</v>
      </c>
      <c r="AL330">
        <v>2000</v>
      </c>
      <c r="AM330" s="176" t="s">
        <v>2943</v>
      </c>
      <c r="AN330" s="176" t="s">
        <v>2944</v>
      </c>
      <c r="AO330" s="176" t="s">
        <v>2945</v>
      </c>
      <c r="AP330" s="176" t="s">
        <v>2946</v>
      </c>
      <c r="AQ330" s="176" t="s">
        <v>2947</v>
      </c>
      <c r="AR330" t="s">
        <v>2014</v>
      </c>
      <c r="AS330" s="175">
        <v>4</v>
      </c>
    </row>
    <row r="331" spans="1:45" x14ac:dyDescent="0.25">
      <c r="A331">
        <v>2</v>
      </c>
      <c r="B331" t="s">
        <v>3255</v>
      </c>
      <c r="C331">
        <v>330</v>
      </c>
      <c r="D331" t="s">
        <v>264</v>
      </c>
      <c r="E331" t="s">
        <v>265</v>
      </c>
      <c r="F331" t="s">
        <v>2389</v>
      </c>
      <c r="G331" t="s">
        <v>1648</v>
      </c>
      <c r="H331" t="s">
        <v>1649</v>
      </c>
      <c r="I331" s="180">
        <v>0.46700000000000003</v>
      </c>
      <c r="J331">
        <v>2022</v>
      </c>
      <c r="K331" t="s">
        <v>1650</v>
      </c>
      <c r="L331" t="s">
        <v>1658</v>
      </c>
      <c r="M331" t="s">
        <v>25</v>
      </c>
      <c r="N331" t="s">
        <v>27</v>
      </c>
      <c r="O331" t="s">
        <v>1721</v>
      </c>
      <c r="P331">
        <v>41</v>
      </c>
      <c r="Q331" t="s">
        <v>2112</v>
      </c>
      <c r="R331" s="175">
        <v>4103</v>
      </c>
      <c r="S331" t="s">
        <v>830</v>
      </c>
      <c r="T331" s="175" t="s">
        <v>831</v>
      </c>
      <c r="U331" t="s">
        <v>832</v>
      </c>
      <c r="V331" t="s">
        <v>833</v>
      </c>
      <c r="W331" t="s">
        <v>834</v>
      </c>
      <c r="X331" s="175" t="s">
        <v>835</v>
      </c>
      <c r="Y331" t="s">
        <v>836</v>
      </c>
      <c r="Z331" t="s">
        <v>1711</v>
      </c>
      <c r="AA331" t="s">
        <v>36</v>
      </c>
      <c r="AB331">
        <v>0</v>
      </c>
      <c r="AC331" t="s">
        <v>2185</v>
      </c>
      <c r="AD331" t="s">
        <v>2410</v>
      </c>
      <c r="AE331" t="s">
        <v>2483</v>
      </c>
      <c r="AF331" t="s">
        <v>1657</v>
      </c>
      <c r="AG331" t="s">
        <v>2190</v>
      </c>
      <c r="AH331" t="s">
        <v>2191</v>
      </c>
      <c r="AI331">
        <v>84</v>
      </c>
      <c r="AJ331">
        <v>84</v>
      </c>
      <c r="AK331">
        <v>84</v>
      </c>
      <c r="AL331">
        <v>84</v>
      </c>
      <c r="AM331" s="176" t="s">
        <v>2948</v>
      </c>
      <c r="AN331" s="176" t="s">
        <v>2949</v>
      </c>
      <c r="AO331" s="176" t="s">
        <v>2950</v>
      </c>
      <c r="AP331" s="176" t="s">
        <v>2951</v>
      </c>
      <c r="AQ331" s="176" t="s">
        <v>2952</v>
      </c>
      <c r="AR331" t="s">
        <v>2014</v>
      </c>
      <c r="AS331" s="175">
        <v>4</v>
      </c>
    </row>
    <row r="332" spans="1:45" x14ac:dyDescent="0.25">
      <c r="A332">
        <v>2</v>
      </c>
      <c r="B332" t="s">
        <v>3255</v>
      </c>
      <c r="C332">
        <v>331</v>
      </c>
      <c r="D332" t="s">
        <v>264</v>
      </c>
      <c r="E332" t="s">
        <v>265</v>
      </c>
      <c r="F332" t="s">
        <v>2389</v>
      </c>
      <c r="G332" t="s">
        <v>1648</v>
      </c>
      <c r="H332" t="s">
        <v>1649</v>
      </c>
      <c r="I332" s="180">
        <v>0.46700000000000003</v>
      </c>
      <c r="J332">
        <v>2022</v>
      </c>
      <c r="K332" t="s">
        <v>1650</v>
      </c>
      <c r="L332" t="s">
        <v>1658</v>
      </c>
      <c r="M332" t="s">
        <v>25</v>
      </c>
      <c r="N332" t="s">
        <v>27</v>
      </c>
      <c r="O332" t="s">
        <v>1721</v>
      </c>
      <c r="P332">
        <v>41</v>
      </c>
      <c r="Q332" t="s">
        <v>2112</v>
      </c>
      <c r="R332" s="175">
        <v>4103</v>
      </c>
      <c r="S332" t="s">
        <v>830</v>
      </c>
      <c r="T332" s="175" t="s">
        <v>1712</v>
      </c>
      <c r="U332" t="s">
        <v>1713</v>
      </c>
      <c r="V332" t="s">
        <v>1714</v>
      </c>
      <c r="W332" t="s">
        <v>834</v>
      </c>
      <c r="X332" s="175" t="s">
        <v>1715</v>
      </c>
      <c r="Y332" t="s">
        <v>1716</v>
      </c>
      <c r="Z332" t="s">
        <v>2005</v>
      </c>
      <c r="AA332" t="s">
        <v>36</v>
      </c>
      <c r="AB332">
        <v>22</v>
      </c>
      <c r="AC332" t="s">
        <v>2185</v>
      </c>
      <c r="AD332" t="s">
        <v>2410</v>
      </c>
      <c r="AE332" t="s">
        <v>2483</v>
      </c>
      <c r="AF332" t="s">
        <v>1657</v>
      </c>
      <c r="AG332" t="s">
        <v>2190</v>
      </c>
      <c r="AH332" t="s">
        <v>2191</v>
      </c>
      <c r="AI332">
        <v>10</v>
      </c>
      <c r="AJ332">
        <v>10</v>
      </c>
      <c r="AK332">
        <v>10</v>
      </c>
      <c r="AL332">
        <v>12</v>
      </c>
      <c r="AM332" s="176" t="s">
        <v>2953</v>
      </c>
      <c r="AN332" s="176" t="s">
        <v>2954</v>
      </c>
      <c r="AO332" s="176" t="s">
        <v>2955</v>
      </c>
      <c r="AP332" s="176" t="s">
        <v>2956</v>
      </c>
      <c r="AQ332" s="176" t="s">
        <v>2957</v>
      </c>
      <c r="AR332" t="s">
        <v>2014</v>
      </c>
      <c r="AS332" s="175">
        <v>4</v>
      </c>
    </row>
    <row r="333" spans="1:45" x14ac:dyDescent="0.25">
      <c r="A333">
        <v>2</v>
      </c>
      <c r="B333" t="s">
        <v>3255</v>
      </c>
      <c r="C333">
        <v>332</v>
      </c>
      <c r="D333" t="s">
        <v>264</v>
      </c>
      <c r="E333" t="s">
        <v>265</v>
      </c>
      <c r="F333" t="s">
        <v>2389</v>
      </c>
      <c r="G333" t="s">
        <v>1648</v>
      </c>
      <c r="H333" t="s">
        <v>1649</v>
      </c>
      <c r="I333" s="180">
        <v>0.46700000000000003</v>
      </c>
      <c r="J333">
        <v>2022</v>
      </c>
      <c r="K333" t="s">
        <v>1650</v>
      </c>
      <c r="L333" t="s">
        <v>1658</v>
      </c>
      <c r="M333" t="s">
        <v>25</v>
      </c>
      <c r="N333" t="s">
        <v>27</v>
      </c>
      <c r="O333" t="s">
        <v>1721</v>
      </c>
      <c r="P333">
        <v>45</v>
      </c>
      <c r="Q333" t="s">
        <v>786</v>
      </c>
      <c r="R333" s="175" t="s">
        <v>1488</v>
      </c>
      <c r="S333" t="s">
        <v>1143</v>
      </c>
      <c r="T333" s="175" t="s">
        <v>1489</v>
      </c>
      <c r="U333" t="s">
        <v>1000</v>
      </c>
      <c r="V333" t="s">
        <v>1490</v>
      </c>
      <c r="W333" t="s">
        <v>500</v>
      </c>
      <c r="X333" s="175" t="s">
        <v>1491</v>
      </c>
      <c r="Y333" t="s">
        <v>829</v>
      </c>
      <c r="Z333" t="s">
        <v>2082</v>
      </c>
      <c r="AA333" t="s">
        <v>36</v>
      </c>
      <c r="AB333">
        <v>0</v>
      </c>
      <c r="AC333" t="s">
        <v>2185</v>
      </c>
      <c r="AD333" t="s">
        <v>2410</v>
      </c>
      <c r="AE333" t="s">
        <v>2483</v>
      </c>
      <c r="AF333" t="s">
        <v>1657</v>
      </c>
      <c r="AG333" t="s">
        <v>2190</v>
      </c>
      <c r="AH333" t="s">
        <v>2191</v>
      </c>
      <c r="AI333" t="s">
        <v>3197</v>
      </c>
      <c r="AJ333" t="s">
        <v>3197</v>
      </c>
      <c r="AK333" t="s">
        <v>3197</v>
      </c>
      <c r="AL333" t="s">
        <v>3197</v>
      </c>
      <c r="AM333" s="176">
        <v>130000000</v>
      </c>
      <c r="AN333" s="176">
        <v>137410000</v>
      </c>
      <c r="AO333" s="176">
        <v>141532300</v>
      </c>
      <c r="AP333" s="176">
        <v>145778269</v>
      </c>
      <c r="AQ333" s="176">
        <v>554720569</v>
      </c>
      <c r="AR333" t="s">
        <v>2014</v>
      </c>
      <c r="AS333" s="175">
        <v>4</v>
      </c>
    </row>
    <row r="334" spans="1:45" x14ac:dyDescent="0.25">
      <c r="A334">
        <v>2</v>
      </c>
      <c r="B334" t="s">
        <v>3255</v>
      </c>
      <c r="C334">
        <v>333</v>
      </c>
      <c r="D334" t="s">
        <v>264</v>
      </c>
      <c r="E334" t="s">
        <v>265</v>
      </c>
      <c r="F334" t="s">
        <v>2389</v>
      </c>
      <c r="G334" t="s">
        <v>1648</v>
      </c>
      <c r="H334" t="s">
        <v>1649</v>
      </c>
      <c r="I334" s="180">
        <v>0.46700000000000003</v>
      </c>
      <c r="J334">
        <v>2022</v>
      </c>
      <c r="K334" t="s">
        <v>1650</v>
      </c>
      <c r="L334" t="s">
        <v>1658</v>
      </c>
      <c r="M334" t="s">
        <v>25</v>
      </c>
      <c r="N334" t="s">
        <v>27</v>
      </c>
      <c r="O334" t="s">
        <v>1721</v>
      </c>
      <c r="P334">
        <v>45</v>
      </c>
      <c r="Q334" t="s">
        <v>786</v>
      </c>
      <c r="R334" s="175" t="s">
        <v>1467</v>
      </c>
      <c r="S334" t="s">
        <v>1468</v>
      </c>
      <c r="T334" s="175" t="s">
        <v>1481</v>
      </c>
      <c r="U334" t="s">
        <v>1482</v>
      </c>
      <c r="V334" t="s">
        <v>1483</v>
      </c>
      <c r="W334" t="s">
        <v>1484</v>
      </c>
      <c r="X334" s="175" t="s">
        <v>1485</v>
      </c>
      <c r="Y334" t="s">
        <v>1486</v>
      </c>
      <c r="Z334" t="s">
        <v>2068</v>
      </c>
      <c r="AA334" t="s">
        <v>36</v>
      </c>
      <c r="AB334">
        <v>8</v>
      </c>
      <c r="AC334" t="s">
        <v>2192</v>
      </c>
      <c r="AD334" t="s">
        <v>2410</v>
      </c>
      <c r="AE334" t="s">
        <v>2483</v>
      </c>
      <c r="AF334" t="s">
        <v>1657</v>
      </c>
      <c r="AG334" t="s">
        <v>2190</v>
      </c>
      <c r="AH334" t="s">
        <v>2191</v>
      </c>
      <c r="AI334">
        <v>8</v>
      </c>
      <c r="AJ334">
        <v>8</v>
      </c>
      <c r="AK334">
        <v>8</v>
      </c>
      <c r="AL334">
        <v>8</v>
      </c>
      <c r="AM334" s="176">
        <v>230000000</v>
      </c>
      <c r="AN334" s="176">
        <v>243110000</v>
      </c>
      <c r="AO334" s="176">
        <v>250403300</v>
      </c>
      <c r="AP334" s="176">
        <v>257915399</v>
      </c>
      <c r="AQ334" s="176">
        <v>981428699</v>
      </c>
      <c r="AR334" t="s">
        <v>2014</v>
      </c>
      <c r="AS334" s="175">
        <v>4</v>
      </c>
    </row>
    <row r="335" spans="1:45" x14ac:dyDescent="0.25">
      <c r="A335">
        <v>2</v>
      </c>
      <c r="B335" t="s">
        <v>3255</v>
      </c>
      <c r="C335">
        <v>334</v>
      </c>
      <c r="D335" t="s">
        <v>264</v>
      </c>
      <c r="E335" t="s">
        <v>265</v>
      </c>
      <c r="F335" t="s">
        <v>2389</v>
      </c>
      <c r="G335" t="s">
        <v>1717</v>
      </c>
      <c r="H335" t="s">
        <v>1718</v>
      </c>
      <c r="I335" s="183">
        <v>41.4</v>
      </c>
      <c r="J335">
        <v>2021</v>
      </c>
      <c r="K335" t="s">
        <v>1719</v>
      </c>
      <c r="L335" t="s">
        <v>1720</v>
      </c>
      <c r="M335" t="s">
        <v>36</v>
      </c>
      <c r="N335" t="s">
        <v>27</v>
      </c>
      <c r="O335" t="s">
        <v>1721</v>
      </c>
      <c r="P335">
        <v>41</v>
      </c>
      <c r="Q335" t="s">
        <v>2112</v>
      </c>
      <c r="R335" s="175" t="s">
        <v>1662</v>
      </c>
      <c r="S335" t="s">
        <v>1663</v>
      </c>
      <c r="T335" s="175">
        <v>4102003</v>
      </c>
      <c r="U335" t="s">
        <v>1722</v>
      </c>
      <c r="V335" t="s">
        <v>1723</v>
      </c>
      <c r="W335" t="s">
        <v>1724</v>
      </c>
      <c r="X335" s="175" t="s">
        <v>1725</v>
      </c>
      <c r="Y335" t="s">
        <v>1726</v>
      </c>
      <c r="Z335" t="s">
        <v>2006</v>
      </c>
      <c r="AA335" t="s">
        <v>36</v>
      </c>
      <c r="AB335">
        <v>1200</v>
      </c>
      <c r="AC335" t="s">
        <v>2185</v>
      </c>
      <c r="AD335" t="s">
        <v>2484</v>
      </c>
      <c r="AE335" t="s">
        <v>2195</v>
      </c>
      <c r="AF335" t="s">
        <v>2196</v>
      </c>
      <c r="AG335" t="s">
        <v>2190</v>
      </c>
      <c r="AH335" t="s">
        <v>2191</v>
      </c>
      <c r="AI335">
        <v>100</v>
      </c>
      <c r="AJ335">
        <v>100</v>
      </c>
      <c r="AK335">
        <v>100</v>
      </c>
      <c r="AL335">
        <v>100</v>
      </c>
      <c r="AM335" s="176">
        <v>130000000</v>
      </c>
      <c r="AN335" s="176">
        <v>137410000</v>
      </c>
      <c r="AO335" s="176">
        <v>141532300</v>
      </c>
      <c r="AP335" s="176">
        <v>145778269</v>
      </c>
      <c r="AQ335" s="176">
        <v>554720569</v>
      </c>
      <c r="AR335" t="s">
        <v>2014</v>
      </c>
      <c r="AS335" s="175">
        <v>4</v>
      </c>
    </row>
    <row r="336" spans="1:45" x14ac:dyDescent="0.25">
      <c r="A336">
        <v>2</v>
      </c>
      <c r="B336" t="s">
        <v>3255</v>
      </c>
      <c r="C336">
        <v>335</v>
      </c>
      <c r="D336" t="s">
        <v>264</v>
      </c>
      <c r="E336" t="s">
        <v>265</v>
      </c>
      <c r="F336" t="s">
        <v>2389</v>
      </c>
      <c r="G336" t="s">
        <v>1717</v>
      </c>
      <c r="H336" t="s">
        <v>1718</v>
      </c>
      <c r="I336" s="183">
        <v>41.4</v>
      </c>
      <c r="J336">
        <v>2021</v>
      </c>
      <c r="K336" t="s">
        <v>1719</v>
      </c>
      <c r="L336" t="s">
        <v>1720</v>
      </c>
      <c r="M336" t="s">
        <v>36</v>
      </c>
      <c r="N336" t="s">
        <v>27</v>
      </c>
      <c r="O336" t="s">
        <v>1721</v>
      </c>
      <c r="P336">
        <v>41</v>
      </c>
      <c r="Q336" t="s">
        <v>2112</v>
      </c>
      <c r="R336" s="175" t="s">
        <v>1662</v>
      </c>
      <c r="S336" t="s">
        <v>1663</v>
      </c>
      <c r="T336" s="175">
        <v>4102041</v>
      </c>
      <c r="U336" t="s">
        <v>1727</v>
      </c>
      <c r="V336" t="s">
        <v>1728</v>
      </c>
      <c r="W336" t="s">
        <v>1729</v>
      </c>
      <c r="X336" s="175" t="s">
        <v>1730</v>
      </c>
      <c r="Y336" t="s">
        <v>1731</v>
      </c>
      <c r="Z336" t="s">
        <v>2007</v>
      </c>
      <c r="AA336" t="s">
        <v>36</v>
      </c>
      <c r="AB336">
        <v>42</v>
      </c>
      <c r="AC336" t="s">
        <v>2185</v>
      </c>
      <c r="AD336" t="s">
        <v>2484</v>
      </c>
      <c r="AE336" t="s">
        <v>2195</v>
      </c>
      <c r="AF336" t="s">
        <v>2197</v>
      </c>
      <c r="AG336" t="s">
        <v>2190</v>
      </c>
      <c r="AH336" t="s">
        <v>2191</v>
      </c>
      <c r="AI336">
        <v>10</v>
      </c>
      <c r="AJ336">
        <v>10</v>
      </c>
      <c r="AK336">
        <v>12</v>
      </c>
      <c r="AL336">
        <v>10</v>
      </c>
      <c r="AM336" s="176">
        <v>150000000</v>
      </c>
      <c r="AN336" s="176">
        <v>158550000</v>
      </c>
      <c r="AO336" s="176">
        <v>163306500</v>
      </c>
      <c r="AP336" s="176">
        <v>168205695</v>
      </c>
      <c r="AQ336" s="176">
        <v>640062195</v>
      </c>
      <c r="AR336" t="s">
        <v>2014</v>
      </c>
      <c r="AS336" s="175">
        <v>4</v>
      </c>
    </row>
    <row r="337" spans="1:45" x14ac:dyDescent="0.25">
      <c r="A337">
        <v>2</v>
      </c>
      <c r="B337" t="s">
        <v>3255</v>
      </c>
      <c r="C337">
        <v>336</v>
      </c>
      <c r="D337" t="s">
        <v>264</v>
      </c>
      <c r="E337" t="s">
        <v>265</v>
      </c>
      <c r="F337" t="s">
        <v>2389</v>
      </c>
      <c r="G337" t="s">
        <v>1717</v>
      </c>
      <c r="H337" t="s">
        <v>1718</v>
      </c>
      <c r="I337" s="183">
        <v>41.4</v>
      </c>
      <c r="J337">
        <v>2021</v>
      </c>
      <c r="K337" t="s">
        <v>1719</v>
      </c>
      <c r="L337" t="s">
        <v>1720</v>
      </c>
      <c r="M337" t="s">
        <v>36</v>
      </c>
      <c r="N337" t="s">
        <v>27</v>
      </c>
      <c r="O337" t="s">
        <v>1721</v>
      </c>
      <c r="P337">
        <v>41</v>
      </c>
      <c r="Q337" t="s">
        <v>2112</v>
      </c>
      <c r="R337" s="175" t="s">
        <v>1662</v>
      </c>
      <c r="S337" t="s">
        <v>1663</v>
      </c>
      <c r="T337" s="175">
        <v>4102047</v>
      </c>
      <c r="U337" t="s">
        <v>1670</v>
      </c>
      <c r="V337" t="s">
        <v>1671</v>
      </c>
      <c r="W337" t="s">
        <v>1672</v>
      </c>
      <c r="X337" s="175" t="s">
        <v>1732</v>
      </c>
      <c r="Y337" t="s">
        <v>1673</v>
      </c>
      <c r="Z337" t="s">
        <v>1988</v>
      </c>
      <c r="AA337" t="s">
        <v>36</v>
      </c>
      <c r="AB337">
        <v>42</v>
      </c>
      <c r="AC337" t="s">
        <v>2185</v>
      </c>
      <c r="AD337" t="s">
        <v>2484</v>
      </c>
      <c r="AE337" t="s">
        <v>2195</v>
      </c>
      <c r="AF337" t="s">
        <v>2197</v>
      </c>
      <c r="AG337" t="s">
        <v>2190</v>
      </c>
      <c r="AH337" t="s">
        <v>2191</v>
      </c>
      <c r="AI337">
        <v>10</v>
      </c>
      <c r="AJ337">
        <v>10</v>
      </c>
      <c r="AK337">
        <v>12</v>
      </c>
      <c r="AL337">
        <v>10</v>
      </c>
      <c r="AM337" s="176">
        <v>145000000</v>
      </c>
      <c r="AN337" s="176">
        <v>153265000</v>
      </c>
      <c r="AO337" s="176">
        <v>157862950</v>
      </c>
      <c r="AP337" s="176" t="s">
        <v>2941</v>
      </c>
      <c r="AQ337" s="176" t="s">
        <v>2942</v>
      </c>
      <c r="AR337" t="s">
        <v>2014</v>
      </c>
      <c r="AS337" s="175">
        <v>4</v>
      </c>
    </row>
    <row r="338" spans="1:45" x14ac:dyDescent="0.25">
      <c r="A338">
        <v>2</v>
      </c>
      <c r="B338" t="s">
        <v>3255</v>
      </c>
      <c r="C338">
        <v>337</v>
      </c>
      <c r="D338" t="s">
        <v>264</v>
      </c>
      <c r="E338" t="s">
        <v>265</v>
      </c>
      <c r="F338" t="s">
        <v>2389</v>
      </c>
      <c r="G338" t="s">
        <v>1717</v>
      </c>
      <c r="H338" t="s">
        <v>1718</v>
      </c>
      <c r="I338" s="183">
        <v>41.4</v>
      </c>
      <c r="J338">
        <v>2021</v>
      </c>
      <c r="K338" t="s">
        <v>1719</v>
      </c>
      <c r="L338" t="s">
        <v>1720</v>
      </c>
      <c r="M338" t="s">
        <v>36</v>
      </c>
      <c r="N338" t="s">
        <v>27</v>
      </c>
      <c r="O338" t="s">
        <v>1721</v>
      </c>
      <c r="P338">
        <v>41</v>
      </c>
      <c r="Q338" t="s">
        <v>2112</v>
      </c>
      <c r="R338" s="175" t="s">
        <v>1662</v>
      </c>
      <c r="S338" t="s">
        <v>1663</v>
      </c>
      <c r="T338" s="175" t="s">
        <v>1733</v>
      </c>
      <c r="U338" t="s">
        <v>1734</v>
      </c>
      <c r="V338" t="s">
        <v>1735</v>
      </c>
      <c r="W338" t="s">
        <v>358</v>
      </c>
      <c r="X338" s="175" t="s">
        <v>1736</v>
      </c>
      <c r="Y338" t="s">
        <v>1737</v>
      </c>
      <c r="Z338" t="s">
        <v>1738</v>
      </c>
      <c r="AA338" t="s">
        <v>36</v>
      </c>
      <c r="AB338">
        <v>16</v>
      </c>
      <c r="AC338" t="s">
        <v>2185</v>
      </c>
      <c r="AD338" t="s">
        <v>2484</v>
      </c>
      <c r="AE338" t="s">
        <v>2195</v>
      </c>
      <c r="AF338" t="s">
        <v>2197</v>
      </c>
      <c r="AG338" t="s">
        <v>2190</v>
      </c>
      <c r="AH338" t="s">
        <v>2191</v>
      </c>
      <c r="AI338">
        <v>5</v>
      </c>
      <c r="AJ338">
        <v>5</v>
      </c>
      <c r="AK338">
        <v>5</v>
      </c>
      <c r="AL338">
        <v>5</v>
      </c>
      <c r="AM338" s="176">
        <v>80000000</v>
      </c>
      <c r="AN338" s="176">
        <v>84560000</v>
      </c>
      <c r="AO338" s="176">
        <v>87096800</v>
      </c>
      <c r="AP338" s="176">
        <v>89709704</v>
      </c>
      <c r="AQ338" s="176">
        <v>341366504</v>
      </c>
      <c r="AR338" t="s">
        <v>2014</v>
      </c>
      <c r="AS338" s="175">
        <v>4</v>
      </c>
    </row>
    <row r="339" spans="1:45" x14ac:dyDescent="0.25">
      <c r="A339">
        <v>2</v>
      </c>
      <c r="B339" t="s">
        <v>3255</v>
      </c>
      <c r="C339">
        <v>338</v>
      </c>
      <c r="D339" t="s">
        <v>264</v>
      </c>
      <c r="E339" t="s">
        <v>265</v>
      </c>
      <c r="F339" t="s">
        <v>2389</v>
      </c>
      <c r="G339" t="s">
        <v>1717</v>
      </c>
      <c r="H339" t="s">
        <v>1718</v>
      </c>
      <c r="I339" s="183">
        <v>41.4</v>
      </c>
      <c r="J339">
        <v>2021</v>
      </c>
      <c r="K339" t="s">
        <v>1719</v>
      </c>
      <c r="L339" t="s">
        <v>1720</v>
      </c>
      <c r="M339" t="s">
        <v>36</v>
      </c>
      <c r="N339" t="s">
        <v>27</v>
      </c>
      <c r="O339" t="s">
        <v>1721</v>
      </c>
      <c r="P339">
        <v>45</v>
      </c>
      <c r="Q339" t="s">
        <v>786</v>
      </c>
      <c r="R339" s="175" t="s">
        <v>1467</v>
      </c>
      <c r="S339" t="s">
        <v>1468</v>
      </c>
      <c r="T339" s="175" t="s">
        <v>1481</v>
      </c>
      <c r="U339" t="s">
        <v>1482</v>
      </c>
      <c r="V339" t="s">
        <v>1483</v>
      </c>
      <c r="W339" t="s">
        <v>1484</v>
      </c>
      <c r="X339" s="175" t="s">
        <v>1485</v>
      </c>
      <c r="Y339" t="s">
        <v>1486</v>
      </c>
      <c r="Z339" t="s">
        <v>2008</v>
      </c>
      <c r="AA339" t="s">
        <v>36</v>
      </c>
      <c r="AB339">
        <v>16</v>
      </c>
      <c r="AC339" t="s">
        <v>2185</v>
      </c>
      <c r="AD339" t="s">
        <v>2484</v>
      </c>
      <c r="AE339" t="s">
        <v>2195</v>
      </c>
      <c r="AF339" t="s">
        <v>2197</v>
      </c>
      <c r="AG339" t="s">
        <v>2190</v>
      </c>
      <c r="AH339" t="s">
        <v>2191</v>
      </c>
      <c r="AI339">
        <v>4</v>
      </c>
      <c r="AJ339">
        <v>4</v>
      </c>
      <c r="AK339">
        <v>4</v>
      </c>
      <c r="AL339">
        <v>4</v>
      </c>
      <c r="AM339" s="176">
        <v>120000000</v>
      </c>
      <c r="AN339" s="176">
        <v>126840000</v>
      </c>
      <c r="AO339" s="176">
        <v>130645200</v>
      </c>
      <c r="AP339" s="176">
        <v>134564556</v>
      </c>
      <c r="AQ339" s="176">
        <v>512049756</v>
      </c>
      <c r="AR339" t="s">
        <v>2014</v>
      </c>
      <c r="AS339" s="175">
        <v>4</v>
      </c>
    </row>
    <row r="340" spans="1:45" x14ac:dyDescent="0.25">
      <c r="A340">
        <v>2</v>
      </c>
      <c r="B340" t="s">
        <v>3255</v>
      </c>
      <c r="C340">
        <v>339</v>
      </c>
      <c r="D340" t="s">
        <v>264</v>
      </c>
      <c r="E340" t="s">
        <v>265</v>
      </c>
      <c r="F340" t="s">
        <v>2389</v>
      </c>
      <c r="G340" t="s">
        <v>1717</v>
      </c>
      <c r="H340" t="s">
        <v>1718</v>
      </c>
      <c r="I340" s="183">
        <v>41.4</v>
      </c>
      <c r="J340">
        <v>2021</v>
      </c>
      <c r="K340" t="s">
        <v>1719</v>
      </c>
      <c r="L340" t="s">
        <v>1720</v>
      </c>
      <c r="M340" t="s">
        <v>36</v>
      </c>
      <c r="N340" t="s">
        <v>27</v>
      </c>
      <c r="O340" t="s">
        <v>1721</v>
      </c>
      <c r="P340">
        <v>41</v>
      </c>
      <c r="Q340" t="s">
        <v>1823</v>
      </c>
      <c r="R340" s="175" t="s">
        <v>1662</v>
      </c>
      <c r="S340" t="s">
        <v>1663</v>
      </c>
      <c r="T340" s="175" t="s">
        <v>1739</v>
      </c>
      <c r="U340" t="s">
        <v>1740</v>
      </c>
      <c r="V340" t="s">
        <v>1741</v>
      </c>
      <c r="W340" t="s">
        <v>1742</v>
      </c>
      <c r="X340" s="175" t="s">
        <v>1743</v>
      </c>
      <c r="Y340" t="s">
        <v>1744</v>
      </c>
      <c r="Z340" t="s">
        <v>1745</v>
      </c>
      <c r="AA340" t="s">
        <v>36</v>
      </c>
      <c r="AB340">
        <v>500</v>
      </c>
      <c r="AC340" t="s">
        <v>2185</v>
      </c>
      <c r="AD340" t="s">
        <v>2484</v>
      </c>
      <c r="AE340" t="s">
        <v>2195</v>
      </c>
      <c r="AF340" t="s">
        <v>2197</v>
      </c>
      <c r="AG340" t="s">
        <v>2190</v>
      </c>
      <c r="AH340" t="s">
        <v>2191</v>
      </c>
      <c r="AI340">
        <v>200</v>
      </c>
      <c r="AJ340">
        <v>200</v>
      </c>
      <c r="AK340">
        <v>200</v>
      </c>
      <c r="AL340">
        <v>200</v>
      </c>
      <c r="AM340" s="176">
        <v>100000000</v>
      </c>
      <c r="AN340" s="176">
        <v>105700000</v>
      </c>
      <c r="AO340" s="176">
        <v>108871000</v>
      </c>
      <c r="AP340" s="176">
        <v>112137130</v>
      </c>
      <c r="AQ340" s="176">
        <v>426708130</v>
      </c>
      <c r="AR340" t="s">
        <v>2014</v>
      </c>
      <c r="AS340" s="175">
        <v>4</v>
      </c>
    </row>
    <row r="341" spans="1:45" x14ac:dyDescent="0.25">
      <c r="A341">
        <v>2</v>
      </c>
      <c r="B341" t="s">
        <v>3255</v>
      </c>
      <c r="C341">
        <v>340</v>
      </c>
      <c r="D341" t="s">
        <v>264</v>
      </c>
      <c r="E341" t="s">
        <v>265</v>
      </c>
      <c r="F341" t="s">
        <v>2389</v>
      </c>
      <c r="G341" t="s">
        <v>1746</v>
      </c>
      <c r="H341" t="s">
        <v>1747</v>
      </c>
      <c r="I341" s="191">
        <v>0.3</v>
      </c>
      <c r="J341">
        <v>2023</v>
      </c>
      <c r="K341" t="s">
        <v>1721</v>
      </c>
      <c r="L341" t="s">
        <v>1748</v>
      </c>
      <c r="M341" t="s">
        <v>25</v>
      </c>
      <c r="N341" t="s">
        <v>27</v>
      </c>
      <c r="O341" t="s">
        <v>1721</v>
      </c>
      <c r="P341">
        <v>41</v>
      </c>
      <c r="Q341" t="s">
        <v>1823</v>
      </c>
      <c r="R341" s="175">
        <v>4103</v>
      </c>
      <c r="S341" t="s">
        <v>830</v>
      </c>
      <c r="T341" s="175" t="s">
        <v>1749</v>
      </c>
      <c r="U341" t="s">
        <v>1750</v>
      </c>
      <c r="V341" t="s">
        <v>1751</v>
      </c>
      <c r="W341" t="s">
        <v>119</v>
      </c>
      <c r="X341" s="175">
        <v>410305200</v>
      </c>
      <c r="Y341" t="s">
        <v>1752</v>
      </c>
      <c r="Z341" t="s">
        <v>1753</v>
      </c>
      <c r="AA341" t="s">
        <v>36</v>
      </c>
      <c r="AB341">
        <v>2000</v>
      </c>
      <c r="AC341" t="s">
        <v>2192</v>
      </c>
      <c r="AD341" t="s">
        <v>2413</v>
      </c>
      <c r="AE341" t="s">
        <v>2414</v>
      </c>
      <c r="AF341" t="s">
        <v>1547</v>
      </c>
      <c r="AG341" t="s">
        <v>2190</v>
      </c>
      <c r="AH341" t="s">
        <v>2191</v>
      </c>
      <c r="AI341">
        <v>3000</v>
      </c>
      <c r="AJ341">
        <v>3000</v>
      </c>
      <c r="AK341">
        <v>3000</v>
      </c>
      <c r="AL341">
        <v>3000</v>
      </c>
      <c r="AM341" s="176" t="s">
        <v>2958</v>
      </c>
      <c r="AN341" s="176" t="s">
        <v>2959</v>
      </c>
      <c r="AO341" s="176" t="s">
        <v>2960</v>
      </c>
      <c r="AP341" s="176" t="s">
        <v>2961</v>
      </c>
      <c r="AQ341" s="176" t="s">
        <v>2962</v>
      </c>
      <c r="AR341" t="s">
        <v>2014</v>
      </c>
      <c r="AS341" s="175">
        <v>4</v>
      </c>
    </row>
    <row r="342" spans="1:45" x14ac:dyDescent="0.25">
      <c r="A342">
        <v>2</v>
      </c>
      <c r="B342" t="s">
        <v>3255</v>
      </c>
      <c r="C342">
        <v>341</v>
      </c>
      <c r="D342" t="s">
        <v>264</v>
      </c>
      <c r="E342" t="s">
        <v>265</v>
      </c>
      <c r="F342" t="s">
        <v>2389</v>
      </c>
      <c r="G342" t="s">
        <v>1746</v>
      </c>
      <c r="H342" t="s">
        <v>1747</v>
      </c>
      <c r="I342" s="191">
        <v>0.3</v>
      </c>
      <c r="J342">
        <v>2023</v>
      </c>
      <c r="K342" t="s">
        <v>1721</v>
      </c>
      <c r="L342" t="s">
        <v>1748</v>
      </c>
      <c r="M342" t="s">
        <v>25</v>
      </c>
      <c r="N342" t="s">
        <v>27</v>
      </c>
      <c r="O342" t="s">
        <v>1721</v>
      </c>
      <c r="P342">
        <v>41</v>
      </c>
      <c r="Q342" t="s">
        <v>1823</v>
      </c>
      <c r="R342" s="175">
        <v>4104</v>
      </c>
      <c r="S342" t="s">
        <v>1677</v>
      </c>
      <c r="T342" s="175" t="s">
        <v>1754</v>
      </c>
      <c r="U342" t="s">
        <v>1755</v>
      </c>
      <c r="V342" t="s">
        <v>1756</v>
      </c>
      <c r="W342" t="s">
        <v>203</v>
      </c>
      <c r="X342" s="175">
        <v>410402000</v>
      </c>
      <c r="Y342" t="s">
        <v>1757</v>
      </c>
      <c r="Z342" t="s">
        <v>1758</v>
      </c>
      <c r="AA342" t="s">
        <v>36</v>
      </c>
      <c r="AB342">
        <v>0</v>
      </c>
      <c r="AC342" t="s">
        <v>2185</v>
      </c>
      <c r="AD342" t="s">
        <v>2413</v>
      </c>
      <c r="AE342" t="s">
        <v>2415</v>
      </c>
      <c r="AF342" t="s">
        <v>1547</v>
      </c>
      <c r="AG342" t="s">
        <v>2190</v>
      </c>
      <c r="AH342" t="s">
        <v>2191</v>
      </c>
      <c r="AI342">
        <v>100</v>
      </c>
      <c r="AJ342">
        <v>100</v>
      </c>
      <c r="AK342">
        <v>100</v>
      </c>
      <c r="AL342">
        <v>100</v>
      </c>
      <c r="AM342" s="176" t="s">
        <v>2963</v>
      </c>
      <c r="AN342" s="176" t="s">
        <v>2964</v>
      </c>
      <c r="AO342" s="176" t="s">
        <v>2965</v>
      </c>
      <c r="AP342" s="176" t="s">
        <v>2966</v>
      </c>
      <c r="AQ342" s="176" t="s">
        <v>2967</v>
      </c>
      <c r="AR342" t="s">
        <v>2014</v>
      </c>
      <c r="AS342" s="175">
        <v>4</v>
      </c>
    </row>
    <row r="343" spans="1:45" x14ac:dyDescent="0.25">
      <c r="A343">
        <v>2</v>
      </c>
      <c r="B343" t="s">
        <v>3255</v>
      </c>
      <c r="C343">
        <v>342</v>
      </c>
      <c r="D343" t="s">
        <v>264</v>
      </c>
      <c r="E343" t="s">
        <v>265</v>
      </c>
      <c r="F343" t="s">
        <v>2389</v>
      </c>
      <c r="G343" t="s">
        <v>1746</v>
      </c>
      <c r="H343" t="s">
        <v>1747</v>
      </c>
      <c r="I343" s="191">
        <v>0.3</v>
      </c>
      <c r="J343">
        <v>2023</v>
      </c>
      <c r="K343" t="s">
        <v>1721</v>
      </c>
      <c r="L343" t="s">
        <v>1748</v>
      </c>
      <c r="M343" t="s">
        <v>25</v>
      </c>
      <c r="N343" t="s">
        <v>27</v>
      </c>
      <c r="O343" t="s">
        <v>1721</v>
      </c>
      <c r="P343">
        <v>45</v>
      </c>
      <c r="Q343" t="s">
        <v>786</v>
      </c>
      <c r="R343" s="175">
        <v>4502</v>
      </c>
      <c r="S343" t="s">
        <v>1468</v>
      </c>
      <c r="T343" s="175" t="s">
        <v>1481</v>
      </c>
      <c r="U343" t="s">
        <v>1482</v>
      </c>
      <c r="V343" t="s">
        <v>1483</v>
      </c>
      <c r="W343" t="s">
        <v>1484</v>
      </c>
      <c r="X343" s="175">
        <v>450203300</v>
      </c>
      <c r="Y343" t="s">
        <v>1486</v>
      </c>
      <c r="Z343" t="s">
        <v>2069</v>
      </c>
      <c r="AA343" t="s">
        <v>36</v>
      </c>
      <c r="AB343">
        <v>12</v>
      </c>
      <c r="AC343" t="s">
        <v>2185</v>
      </c>
      <c r="AD343" t="s">
        <v>2413</v>
      </c>
      <c r="AE343" t="s">
        <v>2416</v>
      </c>
      <c r="AF343" t="s">
        <v>1547</v>
      </c>
      <c r="AG343" t="s">
        <v>2190</v>
      </c>
      <c r="AH343" t="s">
        <v>2191</v>
      </c>
      <c r="AI343">
        <v>3</v>
      </c>
      <c r="AJ343">
        <v>3</v>
      </c>
      <c r="AK343">
        <v>3</v>
      </c>
      <c r="AL343">
        <v>3</v>
      </c>
      <c r="AM343" s="176" t="s">
        <v>2968</v>
      </c>
      <c r="AN343" s="176" t="s">
        <v>2969</v>
      </c>
      <c r="AO343" s="176" t="s">
        <v>2970</v>
      </c>
      <c r="AP343" s="176" t="s">
        <v>2971</v>
      </c>
      <c r="AQ343" s="176" t="s">
        <v>2972</v>
      </c>
      <c r="AR343" t="s">
        <v>2014</v>
      </c>
      <c r="AS343" s="175">
        <v>4</v>
      </c>
    </row>
    <row r="344" spans="1:45" x14ac:dyDescent="0.25">
      <c r="A344">
        <v>2</v>
      </c>
      <c r="B344" t="s">
        <v>3255</v>
      </c>
      <c r="C344">
        <v>343</v>
      </c>
      <c r="D344" t="s">
        <v>264</v>
      </c>
      <c r="E344" t="s">
        <v>265</v>
      </c>
      <c r="F344" t="s">
        <v>2389</v>
      </c>
      <c r="G344" t="s">
        <v>1759</v>
      </c>
      <c r="H344" t="s">
        <v>1760</v>
      </c>
      <c r="I344" s="183">
        <v>215</v>
      </c>
      <c r="J344">
        <v>2023</v>
      </c>
      <c r="K344" t="s">
        <v>1761</v>
      </c>
      <c r="L344" t="s">
        <v>1762</v>
      </c>
      <c r="M344" t="s">
        <v>36</v>
      </c>
      <c r="N344" t="s">
        <v>27</v>
      </c>
      <c r="O344" t="s">
        <v>1721</v>
      </c>
      <c r="P344">
        <v>45</v>
      </c>
      <c r="Q344" t="s">
        <v>786</v>
      </c>
      <c r="R344" s="175" t="s">
        <v>1467</v>
      </c>
      <c r="S344" t="s">
        <v>1468</v>
      </c>
      <c r="T344" s="175" t="s">
        <v>1763</v>
      </c>
      <c r="U344" t="s">
        <v>1764</v>
      </c>
      <c r="V344" t="s">
        <v>1765</v>
      </c>
      <c r="W344" t="s">
        <v>369</v>
      </c>
      <c r="X344" s="175" t="s">
        <v>1766</v>
      </c>
      <c r="Y344" t="s">
        <v>1767</v>
      </c>
      <c r="Z344" t="s">
        <v>2070</v>
      </c>
      <c r="AA344" t="s">
        <v>36</v>
      </c>
      <c r="AB344">
        <v>0</v>
      </c>
      <c r="AC344" t="s">
        <v>2192</v>
      </c>
      <c r="AD344" t="s">
        <v>2413</v>
      </c>
      <c r="AE344" t="s">
        <v>2417</v>
      </c>
      <c r="AF344" t="s">
        <v>1547</v>
      </c>
      <c r="AG344" t="s">
        <v>2190</v>
      </c>
      <c r="AH344" t="s">
        <v>2191</v>
      </c>
      <c r="AI344">
        <v>1</v>
      </c>
      <c r="AJ344">
        <v>1</v>
      </c>
      <c r="AK344">
        <v>1</v>
      </c>
      <c r="AL344">
        <v>1</v>
      </c>
      <c r="AM344" s="176" t="s">
        <v>2973</v>
      </c>
      <c r="AN344" s="176" t="s">
        <v>2974</v>
      </c>
      <c r="AO344" s="176" t="s">
        <v>2975</v>
      </c>
      <c r="AP344" s="176" t="s">
        <v>2976</v>
      </c>
      <c r="AQ344" s="176" t="s">
        <v>2977</v>
      </c>
      <c r="AR344" t="s">
        <v>2014</v>
      </c>
      <c r="AS344" s="175">
        <v>4</v>
      </c>
    </row>
    <row r="345" spans="1:45" x14ac:dyDescent="0.25">
      <c r="A345">
        <v>2</v>
      </c>
      <c r="B345" t="s">
        <v>3255</v>
      </c>
      <c r="C345">
        <v>344</v>
      </c>
      <c r="D345" t="s">
        <v>264</v>
      </c>
      <c r="E345" t="s">
        <v>265</v>
      </c>
      <c r="F345" t="s">
        <v>2389</v>
      </c>
      <c r="G345" t="s">
        <v>1759</v>
      </c>
      <c r="H345" t="s">
        <v>1760</v>
      </c>
      <c r="I345" s="183">
        <v>215</v>
      </c>
      <c r="J345">
        <v>2023</v>
      </c>
      <c r="K345" t="s">
        <v>1761</v>
      </c>
      <c r="L345" t="s">
        <v>1762</v>
      </c>
      <c r="M345" t="s">
        <v>36</v>
      </c>
      <c r="N345" t="s">
        <v>27</v>
      </c>
      <c r="O345" t="s">
        <v>1721</v>
      </c>
      <c r="P345">
        <v>45</v>
      </c>
      <c r="Q345" t="s">
        <v>786</v>
      </c>
      <c r="R345" s="175" t="s">
        <v>1467</v>
      </c>
      <c r="S345" t="s">
        <v>1468</v>
      </c>
      <c r="T345" s="175" t="s">
        <v>1502</v>
      </c>
      <c r="U345" t="s">
        <v>1503</v>
      </c>
      <c r="V345" t="s">
        <v>1504</v>
      </c>
      <c r="W345" t="s">
        <v>792</v>
      </c>
      <c r="X345" s="175" t="s">
        <v>1505</v>
      </c>
      <c r="Y345" t="s">
        <v>1506</v>
      </c>
      <c r="Z345" t="s">
        <v>1768</v>
      </c>
      <c r="AA345" t="s">
        <v>764</v>
      </c>
      <c r="AB345">
        <v>4</v>
      </c>
      <c r="AC345" t="s">
        <v>2185</v>
      </c>
      <c r="AD345" t="s">
        <v>2413</v>
      </c>
      <c r="AE345" t="s">
        <v>2417</v>
      </c>
      <c r="AF345" t="s">
        <v>1547</v>
      </c>
      <c r="AG345" t="s">
        <v>2190</v>
      </c>
      <c r="AH345" t="s">
        <v>2191</v>
      </c>
      <c r="AI345">
        <v>1</v>
      </c>
      <c r="AJ345">
        <v>1</v>
      </c>
      <c r="AK345">
        <v>1</v>
      </c>
      <c r="AL345">
        <v>1</v>
      </c>
      <c r="AM345" s="176" t="s">
        <v>2978</v>
      </c>
      <c r="AN345" s="176" t="s">
        <v>2979</v>
      </c>
      <c r="AO345" s="176" t="s">
        <v>2980</v>
      </c>
      <c r="AP345" s="176" t="s">
        <v>2981</v>
      </c>
      <c r="AQ345" s="176" t="s">
        <v>2982</v>
      </c>
      <c r="AR345" t="s">
        <v>2014</v>
      </c>
      <c r="AS345" s="175">
        <v>4</v>
      </c>
    </row>
    <row r="346" spans="1:45" x14ac:dyDescent="0.25">
      <c r="A346">
        <v>2</v>
      </c>
      <c r="B346" t="s">
        <v>3255</v>
      </c>
      <c r="C346">
        <v>345</v>
      </c>
      <c r="D346" t="s">
        <v>264</v>
      </c>
      <c r="E346" t="s">
        <v>265</v>
      </c>
      <c r="F346" t="s">
        <v>2389</v>
      </c>
      <c r="G346" t="s">
        <v>1759</v>
      </c>
      <c r="H346" t="s">
        <v>1760</v>
      </c>
      <c r="I346" s="183">
        <v>215</v>
      </c>
      <c r="J346">
        <v>2023</v>
      </c>
      <c r="K346" t="s">
        <v>1761</v>
      </c>
      <c r="L346" t="s">
        <v>1762</v>
      </c>
      <c r="M346" t="s">
        <v>36</v>
      </c>
      <c r="N346" t="s">
        <v>27</v>
      </c>
      <c r="O346" t="s">
        <v>1721</v>
      </c>
      <c r="P346">
        <v>45</v>
      </c>
      <c r="Q346" t="s">
        <v>786</v>
      </c>
      <c r="R346" s="175" t="s">
        <v>1488</v>
      </c>
      <c r="S346" t="s">
        <v>1143</v>
      </c>
      <c r="T346" s="175" t="s">
        <v>1769</v>
      </c>
      <c r="U346" t="s">
        <v>498</v>
      </c>
      <c r="V346" t="s">
        <v>1770</v>
      </c>
      <c r="W346" t="s">
        <v>500</v>
      </c>
      <c r="X346" s="175" t="s">
        <v>1771</v>
      </c>
      <c r="Y346" t="s">
        <v>1772</v>
      </c>
      <c r="Z346" t="s">
        <v>1773</v>
      </c>
      <c r="AA346" t="s">
        <v>36</v>
      </c>
      <c r="AB346">
        <v>0</v>
      </c>
      <c r="AC346" t="s">
        <v>2185</v>
      </c>
      <c r="AD346" t="s">
        <v>2413</v>
      </c>
      <c r="AE346" t="s">
        <v>2417</v>
      </c>
      <c r="AF346" t="s">
        <v>1547</v>
      </c>
      <c r="AG346" t="s">
        <v>2190</v>
      </c>
      <c r="AH346" t="s">
        <v>2191</v>
      </c>
      <c r="AI346">
        <v>1</v>
      </c>
      <c r="AJ346">
        <v>1</v>
      </c>
      <c r="AK346">
        <v>1</v>
      </c>
      <c r="AL346">
        <v>1</v>
      </c>
      <c r="AM346" s="176" t="s">
        <v>2983</v>
      </c>
      <c r="AN346" s="176" t="s">
        <v>2984</v>
      </c>
      <c r="AO346" s="176" t="s">
        <v>2985</v>
      </c>
      <c r="AP346" s="176" t="s">
        <v>2986</v>
      </c>
      <c r="AQ346" s="176" t="s">
        <v>2987</v>
      </c>
      <c r="AR346" t="s">
        <v>2014</v>
      </c>
      <c r="AS346" s="175">
        <v>4</v>
      </c>
    </row>
    <row r="347" spans="1:45" x14ac:dyDescent="0.25">
      <c r="A347">
        <v>2</v>
      </c>
      <c r="B347" t="s">
        <v>3255</v>
      </c>
      <c r="C347">
        <v>346</v>
      </c>
      <c r="D347" t="s">
        <v>328</v>
      </c>
      <c r="E347" t="s">
        <v>465</v>
      </c>
      <c r="F347" t="s">
        <v>2389</v>
      </c>
      <c r="G347" t="s">
        <v>1492</v>
      </c>
      <c r="H347" t="s">
        <v>3149</v>
      </c>
      <c r="I347" s="183" t="s">
        <v>1494</v>
      </c>
      <c r="J347" t="s">
        <v>1494</v>
      </c>
      <c r="K347" t="s">
        <v>1495</v>
      </c>
      <c r="L347" t="s">
        <v>1496</v>
      </c>
      <c r="M347" t="s">
        <v>25</v>
      </c>
      <c r="O347" t="s">
        <v>1495</v>
      </c>
      <c r="P347" t="s">
        <v>785</v>
      </c>
      <c r="Q347" t="s">
        <v>786</v>
      </c>
      <c r="R347" s="175" t="s">
        <v>787</v>
      </c>
      <c r="S347" t="s">
        <v>788</v>
      </c>
      <c r="T347" s="175" t="s">
        <v>789</v>
      </c>
      <c r="U347" t="s">
        <v>790</v>
      </c>
      <c r="V347" t="s">
        <v>791</v>
      </c>
      <c r="W347" t="s">
        <v>792</v>
      </c>
      <c r="X347" s="175" t="s">
        <v>793</v>
      </c>
      <c r="Y347" t="s">
        <v>794</v>
      </c>
      <c r="Z347" t="s">
        <v>2122</v>
      </c>
      <c r="AA347" t="s">
        <v>36</v>
      </c>
      <c r="AB347">
        <v>0</v>
      </c>
      <c r="AC347" t="s">
        <v>2185</v>
      </c>
      <c r="AD347" t="s">
        <v>3164</v>
      </c>
      <c r="AE347" t="s">
        <v>3165</v>
      </c>
      <c r="AF347" t="s">
        <v>1778</v>
      </c>
      <c r="AG347" t="s">
        <v>2298</v>
      </c>
      <c r="AH347" t="s">
        <v>2187</v>
      </c>
      <c r="AI347">
        <v>1</v>
      </c>
      <c r="AJ347">
        <v>13</v>
      </c>
      <c r="AK347">
        <v>13</v>
      </c>
      <c r="AL347">
        <v>11</v>
      </c>
      <c r="AM347" s="176">
        <v>92222222</v>
      </c>
      <c r="AN347" s="176">
        <v>202776389</v>
      </c>
      <c r="AO347" s="176">
        <v>203084680</v>
      </c>
      <c r="AP347" s="176">
        <v>93402221</v>
      </c>
      <c r="AQ347" s="176">
        <v>591485512</v>
      </c>
      <c r="AR347" t="s">
        <v>1518</v>
      </c>
      <c r="AS347" s="175">
        <v>11</v>
      </c>
    </row>
    <row r="348" spans="1:45" x14ac:dyDescent="0.25">
      <c r="A348">
        <v>2</v>
      </c>
      <c r="B348" t="s">
        <v>3255</v>
      </c>
      <c r="C348">
        <v>347</v>
      </c>
      <c r="D348" t="s">
        <v>264</v>
      </c>
      <c r="E348" t="s">
        <v>265</v>
      </c>
      <c r="F348" t="s">
        <v>2389</v>
      </c>
      <c r="G348" t="s">
        <v>1774</v>
      </c>
      <c r="H348" t="s">
        <v>1775</v>
      </c>
      <c r="I348" s="180">
        <v>0.46800000000000003</v>
      </c>
      <c r="J348">
        <v>2023</v>
      </c>
      <c r="K348" t="s">
        <v>3166</v>
      </c>
      <c r="L348" t="s">
        <v>1777</v>
      </c>
      <c r="M348" t="s">
        <v>25</v>
      </c>
      <c r="N348" t="s">
        <v>27</v>
      </c>
      <c r="O348" t="s">
        <v>1518</v>
      </c>
      <c r="P348">
        <v>17</v>
      </c>
      <c r="Q348" t="s">
        <v>680</v>
      </c>
      <c r="R348" s="175" t="s">
        <v>681</v>
      </c>
      <c r="S348" t="s">
        <v>682</v>
      </c>
      <c r="T348" s="175">
        <v>1702007</v>
      </c>
      <c r="U348" t="s">
        <v>683</v>
      </c>
      <c r="V348" t="s">
        <v>684</v>
      </c>
      <c r="W348" t="s">
        <v>685</v>
      </c>
      <c r="X348" s="175" t="s">
        <v>933</v>
      </c>
      <c r="Y348" t="s">
        <v>686</v>
      </c>
      <c r="Z348" t="s">
        <v>2176</v>
      </c>
      <c r="AA348" t="s">
        <v>36</v>
      </c>
      <c r="AB348">
        <v>92</v>
      </c>
      <c r="AC348" t="s">
        <v>2185</v>
      </c>
      <c r="AD348" t="s">
        <v>3167</v>
      </c>
      <c r="AE348" t="s">
        <v>3165</v>
      </c>
      <c r="AF348" t="s">
        <v>3168</v>
      </c>
      <c r="AG348" t="s">
        <v>3169</v>
      </c>
      <c r="AH348" t="s">
        <v>2302</v>
      </c>
      <c r="AI348">
        <v>0</v>
      </c>
      <c r="AJ348">
        <v>150</v>
      </c>
      <c r="AK348">
        <v>150</v>
      </c>
      <c r="AL348">
        <v>120</v>
      </c>
      <c r="AM348" s="176">
        <v>0</v>
      </c>
      <c r="AN348" s="176">
        <v>2000000000</v>
      </c>
      <c r="AO348" s="176">
        <v>1400000000</v>
      </c>
      <c r="AP348" s="176">
        <v>600000000</v>
      </c>
      <c r="AQ348" s="176">
        <v>4000000000</v>
      </c>
      <c r="AR348" t="s">
        <v>1518</v>
      </c>
      <c r="AS348" s="175">
        <v>11</v>
      </c>
    </row>
    <row r="349" spans="1:45" x14ac:dyDescent="0.25">
      <c r="A349">
        <v>2</v>
      </c>
      <c r="B349" t="s">
        <v>3255</v>
      </c>
      <c r="C349">
        <v>348</v>
      </c>
      <c r="D349" t="s">
        <v>264</v>
      </c>
      <c r="E349" t="s">
        <v>265</v>
      </c>
      <c r="F349" t="s">
        <v>2389</v>
      </c>
      <c r="G349" t="s">
        <v>1774</v>
      </c>
      <c r="H349" t="s">
        <v>1775</v>
      </c>
      <c r="I349" s="180">
        <v>0.46800000000000003</v>
      </c>
      <c r="J349">
        <v>2023</v>
      </c>
      <c r="K349" t="s">
        <v>3166</v>
      </c>
      <c r="L349" t="s">
        <v>1777</v>
      </c>
      <c r="M349" t="s">
        <v>25</v>
      </c>
      <c r="N349" t="s">
        <v>27</v>
      </c>
      <c r="O349" t="s">
        <v>1518</v>
      </c>
      <c r="P349">
        <v>17</v>
      </c>
      <c r="Q349" t="s">
        <v>680</v>
      </c>
      <c r="R349" s="175" t="s">
        <v>681</v>
      </c>
      <c r="S349" t="s">
        <v>682</v>
      </c>
      <c r="T349" s="175">
        <v>1702011</v>
      </c>
      <c r="U349" t="s">
        <v>1779</v>
      </c>
      <c r="V349" t="s">
        <v>1780</v>
      </c>
      <c r="W349" t="s">
        <v>839</v>
      </c>
      <c r="X349" s="175" t="s">
        <v>1781</v>
      </c>
      <c r="Y349" t="s">
        <v>1782</v>
      </c>
      <c r="Z349" t="s">
        <v>1783</v>
      </c>
      <c r="AA349" t="s">
        <v>36</v>
      </c>
      <c r="AB349">
        <v>92</v>
      </c>
      <c r="AC349" t="s">
        <v>2185</v>
      </c>
      <c r="AD349" t="s">
        <v>3170</v>
      </c>
      <c r="AE349" t="s">
        <v>3165</v>
      </c>
      <c r="AF349" t="s">
        <v>3168</v>
      </c>
      <c r="AG349" t="s">
        <v>3169</v>
      </c>
      <c r="AH349" t="s">
        <v>2302</v>
      </c>
      <c r="AI349">
        <v>30</v>
      </c>
      <c r="AJ349">
        <v>180</v>
      </c>
      <c r="AK349">
        <v>180</v>
      </c>
      <c r="AL349">
        <v>30</v>
      </c>
      <c r="AM349" s="176">
        <v>309722222</v>
      </c>
      <c r="AN349" s="176">
        <v>710276389</v>
      </c>
      <c r="AO349" s="176">
        <v>710584698</v>
      </c>
      <c r="AP349" s="176">
        <v>310902221</v>
      </c>
      <c r="AQ349" s="176">
        <v>2041485530</v>
      </c>
      <c r="AR349" t="s">
        <v>1518</v>
      </c>
      <c r="AS349" s="175">
        <v>11</v>
      </c>
    </row>
    <row r="350" spans="1:45" x14ac:dyDescent="0.25">
      <c r="A350">
        <v>2</v>
      </c>
      <c r="B350" t="s">
        <v>3255</v>
      </c>
      <c r="C350">
        <v>349</v>
      </c>
      <c r="D350" t="s">
        <v>264</v>
      </c>
      <c r="E350" t="s">
        <v>265</v>
      </c>
      <c r="F350" t="s">
        <v>2389</v>
      </c>
      <c r="G350" t="s">
        <v>1774</v>
      </c>
      <c r="H350" t="s">
        <v>1775</v>
      </c>
      <c r="I350" s="180">
        <v>0.46800000000000003</v>
      </c>
      <c r="J350">
        <v>2023</v>
      </c>
      <c r="K350" t="s">
        <v>3166</v>
      </c>
      <c r="L350" t="s">
        <v>1777</v>
      </c>
      <c r="M350" t="s">
        <v>25</v>
      </c>
      <c r="N350" t="s">
        <v>27</v>
      </c>
      <c r="O350" t="s">
        <v>1518</v>
      </c>
      <c r="P350">
        <v>35</v>
      </c>
      <c r="Q350" t="s">
        <v>1784</v>
      </c>
      <c r="R350" s="175" t="s">
        <v>1043</v>
      </c>
      <c r="S350" t="s">
        <v>320</v>
      </c>
      <c r="T350" s="175" t="s">
        <v>1044</v>
      </c>
      <c r="U350" t="s">
        <v>1045</v>
      </c>
      <c r="V350" t="s">
        <v>1046</v>
      </c>
      <c r="W350" t="s">
        <v>685</v>
      </c>
      <c r="X350" s="175" t="s">
        <v>1047</v>
      </c>
      <c r="Y350" t="s">
        <v>1048</v>
      </c>
      <c r="Z350" t="s">
        <v>1785</v>
      </c>
      <c r="AA350" t="s">
        <v>36</v>
      </c>
      <c r="AB350">
        <v>0</v>
      </c>
      <c r="AC350" t="s">
        <v>2185</v>
      </c>
      <c r="AD350" t="s">
        <v>3170</v>
      </c>
      <c r="AE350" t="s">
        <v>3165</v>
      </c>
      <c r="AF350" t="s">
        <v>3168</v>
      </c>
      <c r="AG350" t="s">
        <v>3169</v>
      </c>
      <c r="AH350" t="s">
        <v>2302</v>
      </c>
      <c r="AI350">
        <v>1</v>
      </c>
      <c r="AJ350">
        <v>3</v>
      </c>
      <c r="AK350">
        <v>2</v>
      </c>
      <c r="AL350">
        <v>1</v>
      </c>
      <c r="AM350" s="176">
        <v>114722222</v>
      </c>
      <c r="AN350" s="176">
        <v>255276389</v>
      </c>
      <c r="AO350" s="176">
        <v>255584680</v>
      </c>
      <c r="AP350" s="176">
        <v>115902221</v>
      </c>
      <c r="AQ350" s="176">
        <v>741485512</v>
      </c>
      <c r="AR350" t="s">
        <v>1518</v>
      </c>
      <c r="AS350" s="175">
        <v>11</v>
      </c>
    </row>
    <row r="351" spans="1:45" x14ac:dyDescent="0.25">
      <c r="A351">
        <v>2</v>
      </c>
      <c r="B351" t="s">
        <v>3255</v>
      </c>
      <c r="C351">
        <v>350</v>
      </c>
      <c r="D351" t="s">
        <v>630</v>
      </c>
      <c r="E351" t="s">
        <v>314</v>
      </c>
      <c r="F351" t="s">
        <v>2385</v>
      </c>
      <c r="G351" t="s">
        <v>926</v>
      </c>
      <c r="H351" t="s">
        <v>927</v>
      </c>
      <c r="I351" s="180" t="s">
        <v>928</v>
      </c>
      <c r="J351">
        <v>2018</v>
      </c>
      <c r="K351" t="s">
        <v>929</v>
      </c>
      <c r="L351" t="s">
        <v>930</v>
      </c>
      <c r="M351" t="s">
        <v>25</v>
      </c>
      <c r="N351" t="s">
        <v>27</v>
      </c>
      <c r="O351" t="s">
        <v>678</v>
      </c>
      <c r="P351">
        <v>36</v>
      </c>
      <c r="Q351" t="s">
        <v>1023</v>
      </c>
      <c r="R351" s="175" t="s">
        <v>1786</v>
      </c>
      <c r="S351" t="s">
        <v>1024</v>
      </c>
      <c r="T351" s="175" t="s">
        <v>1787</v>
      </c>
      <c r="U351" t="s">
        <v>1121</v>
      </c>
      <c r="V351" t="s">
        <v>1788</v>
      </c>
      <c r="W351" t="s">
        <v>1123</v>
      </c>
      <c r="X351" s="175" t="s">
        <v>1789</v>
      </c>
      <c r="Y351" t="s">
        <v>1124</v>
      </c>
      <c r="Z351" t="s">
        <v>2123</v>
      </c>
      <c r="AA351" t="s">
        <v>36</v>
      </c>
      <c r="AB351">
        <v>21</v>
      </c>
      <c r="AC351" t="s">
        <v>2185</v>
      </c>
      <c r="AD351" t="s">
        <v>3170</v>
      </c>
      <c r="AE351" t="s">
        <v>3165</v>
      </c>
      <c r="AF351" t="s">
        <v>3168</v>
      </c>
      <c r="AG351" t="s">
        <v>3169</v>
      </c>
      <c r="AH351" t="s">
        <v>2302</v>
      </c>
      <c r="AI351">
        <v>100</v>
      </c>
      <c r="AJ351">
        <v>800</v>
      </c>
      <c r="AK351">
        <v>900</v>
      </c>
      <c r="AL351">
        <v>300</v>
      </c>
      <c r="AM351" s="176" t="s">
        <v>2988</v>
      </c>
      <c r="AN351" s="176">
        <v>4348965254</v>
      </c>
      <c r="AO351" s="176">
        <v>4349273545</v>
      </c>
      <c r="AP351" s="176">
        <v>1870340305</v>
      </c>
      <c r="AQ351" s="176" t="s">
        <v>2989</v>
      </c>
      <c r="AR351" t="s">
        <v>1518</v>
      </c>
      <c r="AS351" s="175">
        <v>11</v>
      </c>
    </row>
    <row r="352" spans="1:45" x14ac:dyDescent="0.25">
      <c r="A352">
        <v>2</v>
      </c>
      <c r="B352" t="s">
        <v>3255</v>
      </c>
      <c r="C352">
        <v>351</v>
      </c>
      <c r="D352" t="s">
        <v>264</v>
      </c>
      <c r="E352" t="s">
        <v>265</v>
      </c>
      <c r="F352" t="s">
        <v>2388</v>
      </c>
      <c r="G352" t="s">
        <v>1774</v>
      </c>
      <c r="H352" t="s">
        <v>1775</v>
      </c>
      <c r="I352" s="180">
        <v>0.46800000000000003</v>
      </c>
      <c r="J352">
        <v>2023</v>
      </c>
      <c r="K352" t="s">
        <v>3166</v>
      </c>
      <c r="L352" t="s">
        <v>1777</v>
      </c>
      <c r="M352" t="s">
        <v>25</v>
      </c>
      <c r="N352" t="s">
        <v>27</v>
      </c>
      <c r="O352" t="s">
        <v>1518</v>
      </c>
      <c r="P352" t="s">
        <v>785</v>
      </c>
      <c r="Q352" t="s">
        <v>786</v>
      </c>
      <c r="R352" s="175" t="s">
        <v>787</v>
      </c>
      <c r="S352" t="s">
        <v>788</v>
      </c>
      <c r="T352" s="175" t="s">
        <v>1790</v>
      </c>
      <c r="U352" t="s">
        <v>1791</v>
      </c>
      <c r="V352" t="s">
        <v>1792</v>
      </c>
      <c r="W352" t="s">
        <v>968</v>
      </c>
      <c r="X352" s="175" t="s">
        <v>1793</v>
      </c>
      <c r="Y352" t="s">
        <v>1146</v>
      </c>
      <c r="Z352" t="s">
        <v>1794</v>
      </c>
      <c r="AA352" t="s">
        <v>36</v>
      </c>
      <c r="AB352">
        <v>0</v>
      </c>
      <c r="AC352" t="s">
        <v>2185</v>
      </c>
      <c r="AD352" t="s">
        <v>3171</v>
      </c>
      <c r="AE352" t="s">
        <v>3165</v>
      </c>
      <c r="AF352" t="s">
        <v>3172</v>
      </c>
      <c r="AG352" t="s">
        <v>3173</v>
      </c>
      <c r="AH352" t="s">
        <v>2302</v>
      </c>
      <c r="AI352" t="s">
        <v>3202</v>
      </c>
      <c r="AJ352" t="s">
        <v>3204</v>
      </c>
      <c r="AK352" t="s">
        <v>3204</v>
      </c>
      <c r="AL352" t="s">
        <v>3202</v>
      </c>
      <c r="AM352" s="176">
        <v>84722222</v>
      </c>
      <c r="AN352" s="176">
        <v>185276389</v>
      </c>
      <c r="AO352" s="176">
        <v>185584680</v>
      </c>
      <c r="AP352" s="176">
        <v>85902221</v>
      </c>
      <c r="AQ352" s="176">
        <v>541485512</v>
      </c>
      <c r="AR352" t="s">
        <v>1518</v>
      </c>
      <c r="AS352" s="175">
        <v>11</v>
      </c>
    </row>
    <row r="353" spans="1:45" x14ac:dyDescent="0.25">
      <c r="A353">
        <v>2</v>
      </c>
      <c r="B353" t="s">
        <v>3255</v>
      </c>
      <c r="C353">
        <v>352</v>
      </c>
      <c r="D353" t="s">
        <v>264</v>
      </c>
      <c r="E353" t="s">
        <v>265</v>
      </c>
      <c r="F353" t="s">
        <v>2388</v>
      </c>
      <c r="G353" t="s">
        <v>1774</v>
      </c>
      <c r="H353" t="s">
        <v>1775</v>
      </c>
      <c r="I353" s="180">
        <v>0.46800000000000003</v>
      </c>
      <c r="J353">
        <v>2023</v>
      </c>
      <c r="K353" t="s">
        <v>3166</v>
      </c>
      <c r="L353" t="s">
        <v>1777</v>
      </c>
      <c r="M353" t="s">
        <v>25</v>
      </c>
      <c r="N353" t="s">
        <v>27</v>
      </c>
      <c r="O353" t="s">
        <v>1518</v>
      </c>
      <c r="P353">
        <v>36</v>
      </c>
      <c r="Q353" t="s">
        <v>1023</v>
      </c>
      <c r="R353" s="175" t="s">
        <v>1786</v>
      </c>
      <c r="S353" t="s">
        <v>1024</v>
      </c>
      <c r="T353" s="175" t="s">
        <v>1795</v>
      </c>
      <c r="U353" t="s">
        <v>1117</v>
      </c>
      <c r="V353" t="s">
        <v>1118</v>
      </c>
      <c r="W353" t="s">
        <v>369</v>
      </c>
      <c r="X353" s="175" t="s">
        <v>1796</v>
      </c>
      <c r="Y353" t="s">
        <v>1119</v>
      </c>
      <c r="Z353" t="s">
        <v>2124</v>
      </c>
      <c r="AA353" t="s">
        <v>36</v>
      </c>
      <c r="AB353">
        <v>0</v>
      </c>
      <c r="AC353" t="s">
        <v>2185</v>
      </c>
      <c r="AD353" t="s">
        <v>3171</v>
      </c>
      <c r="AE353" t="s">
        <v>3165</v>
      </c>
      <c r="AF353" t="s">
        <v>3172</v>
      </c>
      <c r="AG353" t="s">
        <v>3173</v>
      </c>
      <c r="AH353" t="s">
        <v>2302</v>
      </c>
      <c r="AI353" t="s">
        <v>3202</v>
      </c>
      <c r="AJ353" t="s">
        <v>3204</v>
      </c>
      <c r="AK353" t="s">
        <v>3204</v>
      </c>
      <c r="AL353" t="s">
        <v>3202</v>
      </c>
      <c r="AM353" s="176">
        <v>69722222</v>
      </c>
      <c r="AN353" s="176">
        <v>150276389</v>
      </c>
      <c r="AO353" s="176">
        <v>150584680</v>
      </c>
      <c r="AP353" s="176">
        <v>70902221</v>
      </c>
      <c r="AQ353" s="176">
        <v>441485512</v>
      </c>
      <c r="AR353" t="s">
        <v>1518</v>
      </c>
      <c r="AS353" s="175">
        <v>11</v>
      </c>
    </row>
    <row r="354" spans="1:45" x14ac:dyDescent="0.25">
      <c r="A354">
        <v>2</v>
      </c>
      <c r="B354" t="s">
        <v>3255</v>
      </c>
      <c r="C354">
        <v>353</v>
      </c>
      <c r="D354" t="s">
        <v>264</v>
      </c>
      <c r="E354" t="s">
        <v>265</v>
      </c>
      <c r="F354" t="s">
        <v>2388</v>
      </c>
      <c r="G354" t="s">
        <v>1774</v>
      </c>
      <c r="H354" t="s">
        <v>1775</v>
      </c>
      <c r="I354" s="180">
        <v>0.46800000000000003</v>
      </c>
      <c r="J354">
        <v>2023</v>
      </c>
      <c r="K354" t="s">
        <v>3166</v>
      </c>
      <c r="L354" t="s">
        <v>1777</v>
      </c>
      <c r="M354" t="s">
        <v>25</v>
      </c>
      <c r="N354" t="s">
        <v>27</v>
      </c>
      <c r="O354" t="s">
        <v>1518</v>
      </c>
      <c r="P354">
        <v>36</v>
      </c>
      <c r="Q354" t="s">
        <v>1023</v>
      </c>
      <c r="R354" s="175" t="s">
        <v>1786</v>
      </c>
      <c r="S354" t="s">
        <v>1024</v>
      </c>
      <c r="T354" s="175" t="s">
        <v>1797</v>
      </c>
      <c r="U354" t="s">
        <v>1798</v>
      </c>
      <c r="V354" t="s">
        <v>1799</v>
      </c>
      <c r="W354" t="s">
        <v>1606</v>
      </c>
      <c r="X354" s="175" t="s">
        <v>1800</v>
      </c>
      <c r="Y354" t="s">
        <v>1801</v>
      </c>
      <c r="Z354" t="s">
        <v>3174</v>
      </c>
      <c r="AA354" t="s">
        <v>36</v>
      </c>
      <c r="AB354">
        <v>4</v>
      </c>
      <c r="AC354" t="s">
        <v>2185</v>
      </c>
      <c r="AD354" t="s">
        <v>3171</v>
      </c>
      <c r="AE354" t="s">
        <v>3165</v>
      </c>
      <c r="AF354" t="s">
        <v>3172</v>
      </c>
      <c r="AG354" t="s">
        <v>3173</v>
      </c>
      <c r="AH354" t="s">
        <v>2302</v>
      </c>
      <c r="AI354">
        <v>2</v>
      </c>
      <c r="AJ354">
        <v>5</v>
      </c>
      <c r="AK354">
        <v>5</v>
      </c>
      <c r="AL354">
        <v>2</v>
      </c>
      <c r="AM354" s="176">
        <v>77222222</v>
      </c>
      <c r="AN354" s="176">
        <v>167776389</v>
      </c>
      <c r="AO354" s="176">
        <v>168084680</v>
      </c>
      <c r="AP354" s="176">
        <v>78402221</v>
      </c>
      <c r="AQ354" s="176">
        <v>491485512</v>
      </c>
      <c r="AR354" t="s">
        <v>1518</v>
      </c>
      <c r="AS354" s="175">
        <v>11</v>
      </c>
    </row>
    <row r="355" spans="1:45" x14ac:dyDescent="0.25">
      <c r="A355">
        <v>2</v>
      </c>
      <c r="B355" t="s">
        <v>3255</v>
      </c>
      <c r="C355">
        <v>354</v>
      </c>
      <c r="D355" t="s">
        <v>264</v>
      </c>
      <c r="E355" t="s">
        <v>265</v>
      </c>
      <c r="F355" t="s">
        <v>2388</v>
      </c>
      <c r="G355" t="s">
        <v>1803</v>
      </c>
      <c r="H355" t="s">
        <v>1804</v>
      </c>
      <c r="I355" s="178">
        <v>7.0999999999999994E-2</v>
      </c>
      <c r="J355">
        <v>2023</v>
      </c>
      <c r="K355" t="s">
        <v>1805</v>
      </c>
      <c r="L355" t="s">
        <v>1806</v>
      </c>
      <c r="M355" t="s">
        <v>25</v>
      </c>
      <c r="N355" t="s">
        <v>27</v>
      </c>
      <c r="O355" t="s">
        <v>1518</v>
      </c>
      <c r="P355" t="s">
        <v>1807</v>
      </c>
      <c r="Q355" t="s">
        <v>1388</v>
      </c>
      <c r="R355" s="175" t="s">
        <v>765</v>
      </c>
      <c r="S355" t="s">
        <v>766</v>
      </c>
      <c r="T355" s="175" t="s">
        <v>1808</v>
      </c>
      <c r="U355" t="s">
        <v>1809</v>
      </c>
      <c r="V355" t="s">
        <v>1810</v>
      </c>
      <c r="W355" t="s">
        <v>203</v>
      </c>
      <c r="X355" s="175" t="s">
        <v>1811</v>
      </c>
      <c r="Y355" t="s">
        <v>1812</v>
      </c>
      <c r="Z355" t="s">
        <v>1813</v>
      </c>
      <c r="AA355" t="s">
        <v>36</v>
      </c>
      <c r="AB355">
        <v>1627</v>
      </c>
      <c r="AC355" t="s">
        <v>2185</v>
      </c>
      <c r="AD355" t="s">
        <v>3171</v>
      </c>
      <c r="AE355" t="s">
        <v>3165</v>
      </c>
      <c r="AF355" t="s">
        <v>3168</v>
      </c>
      <c r="AG355" t="s">
        <v>3169</v>
      </c>
      <c r="AH355" t="s">
        <v>2298</v>
      </c>
      <c r="AI355">
        <v>0</v>
      </c>
      <c r="AJ355">
        <v>1500</v>
      </c>
      <c r="AK355">
        <v>0</v>
      </c>
      <c r="AL355">
        <v>0</v>
      </c>
      <c r="AM355" s="176">
        <v>0</v>
      </c>
      <c r="AN355" s="176">
        <v>1500000000</v>
      </c>
      <c r="AO355" s="176">
        <v>0</v>
      </c>
      <c r="AP355" s="176">
        <v>0</v>
      </c>
      <c r="AQ355" s="176">
        <v>1500000000</v>
      </c>
      <c r="AR355" t="s">
        <v>1518</v>
      </c>
      <c r="AS355" s="175">
        <v>11</v>
      </c>
    </row>
    <row r="356" spans="1:45" x14ac:dyDescent="0.25">
      <c r="A356">
        <v>2</v>
      </c>
      <c r="B356" t="s">
        <v>3255</v>
      </c>
      <c r="C356">
        <v>355</v>
      </c>
      <c r="D356" t="s">
        <v>264</v>
      </c>
      <c r="E356" t="s">
        <v>265</v>
      </c>
      <c r="F356" t="s">
        <v>2388</v>
      </c>
      <c r="G356" t="s">
        <v>1814</v>
      </c>
      <c r="H356" t="s">
        <v>1815</v>
      </c>
      <c r="I356" s="180">
        <v>0.1163</v>
      </c>
      <c r="J356">
        <v>2022</v>
      </c>
      <c r="K356" t="s">
        <v>1816</v>
      </c>
      <c r="L356" t="s">
        <v>1981</v>
      </c>
      <c r="M356" t="s">
        <v>25</v>
      </c>
      <c r="O356" t="s">
        <v>1518</v>
      </c>
      <c r="P356">
        <v>12</v>
      </c>
      <c r="Q356" t="s">
        <v>1571</v>
      </c>
      <c r="R356" s="175">
        <v>1202</v>
      </c>
      <c r="S356" t="s">
        <v>1983</v>
      </c>
      <c r="T356" s="175" t="s">
        <v>1817</v>
      </c>
      <c r="U356" t="s">
        <v>1818</v>
      </c>
      <c r="V356" t="s">
        <v>1819</v>
      </c>
      <c r="W356" t="s">
        <v>358</v>
      </c>
      <c r="X356" s="175" t="s">
        <v>1820</v>
      </c>
      <c r="Y356" t="s">
        <v>1821</v>
      </c>
      <c r="Z356" t="s">
        <v>1822</v>
      </c>
      <c r="AA356" t="s">
        <v>36</v>
      </c>
      <c r="AB356">
        <v>8</v>
      </c>
      <c r="AC356" t="s">
        <v>2185</v>
      </c>
      <c r="AD356" t="s">
        <v>3171</v>
      </c>
      <c r="AE356" t="s">
        <v>3165</v>
      </c>
      <c r="AF356" t="s">
        <v>1778</v>
      </c>
      <c r="AG356" t="s">
        <v>2298</v>
      </c>
      <c r="AH356" t="s">
        <v>2187</v>
      </c>
      <c r="AI356">
        <v>2</v>
      </c>
      <c r="AJ356">
        <v>15</v>
      </c>
      <c r="AK356">
        <v>16</v>
      </c>
      <c r="AL356">
        <v>3</v>
      </c>
      <c r="AM356" s="176">
        <v>107222222</v>
      </c>
      <c r="AN356" s="176">
        <v>237776389</v>
      </c>
      <c r="AO356" s="176">
        <v>238084680</v>
      </c>
      <c r="AP356" s="176">
        <v>108402221</v>
      </c>
      <c r="AQ356" s="176">
        <v>691485512</v>
      </c>
      <c r="AR356" t="s">
        <v>1518</v>
      </c>
      <c r="AS356" s="175">
        <v>11</v>
      </c>
    </row>
    <row r="357" spans="1:45" x14ac:dyDescent="0.25">
      <c r="A357">
        <v>2</v>
      </c>
      <c r="B357" t="s">
        <v>3255</v>
      </c>
      <c r="C357">
        <v>356</v>
      </c>
      <c r="D357" t="s">
        <v>264</v>
      </c>
      <c r="E357" t="s">
        <v>265</v>
      </c>
      <c r="F357" t="s">
        <v>2388</v>
      </c>
      <c r="G357" t="s">
        <v>1814</v>
      </c>
      <c r="H357" t="s">
        <v>1815</v>
      </c>
      <c r="I357" s="180">
        <v>0.1163</v>
      </c>
      <c r="J357">
        <v>2022</v>
      </c>
      <c r="K357" t="s">
        <v>1816</v>
      </c>
      <c r="L357" t="s">
        <v>1981</v>
      </c>
      <c r="M357" t="s">
        <v>25</v>
      </c>
      <c r="O357" t="s">
        <v>1518</v>
      </c>
      <c r="P357">
        <v>41</v>
      </c>
      <c r="Q357" t="s">
        <v>1823</v>
      </c>
      <c r="R357" s="175" t="s">
        <v>1583</v>
      </c>
      <c r="S357" t="s">
        <v>1584</v>
      </c>
      <c r="T357" s="175" t="s">
        <v>1824</v>
      </c>
      <c r="U357" t="s">
        <v>1825</v>
      </c>
      <c r="V357" t="s">
        <v>1826</v>
      </c>
      <c r="W357" t="s">
        <v>1827</v>
      </c>
      <c r="X357" s="175" t="s">
        <v>1828</v>
      </c>
      <c r="Y357" t="s">
        <v>1829</v>
      </c>
      <c r="Z357" t="s">
        <v>1830</v>
      </c>
      <c r="AA357" t="s">
        <v>36</v>
      </c>
      <c r="AB357">
        <v>0</v>
      </c>
      <c r="AC357" t="s">
        <v>2185</v>
      </c>
      <c r="AD357" t="s">
        <v>3171</v>
      </c>
      <c r="AE357" t="s">
        <v>3165</v>
      </c>
      <c r="AF357" t="s">
        <v>1778</v>
      </c>
      <c r="AG357" t="s">
        <v>2298</v>
      </c>
      <c r="AH357" t="s">
        <v>2187</v>
      </c>
      <c r="AI357">
        <v>1</v>
      </c>
      <c r="AJ357">
        <v>3</v>
      </c>
      <c r="AK357">
        <v>2</v>
      </c>
      <c r="AL357">
        <v>1</v>
      </c>
      <c r="AM357" s="176">
        <v>72722222</v>
      </c>
      <c r="AN357" s="176">
        <v>157276389</v>
      </c>
      <c r="AO357" s="176">
        <v>157584680</v>
      </c>
      <c r="AP357" s="176">
        <v>73902221</v>
      </c>
      <c r="AQ357" s="176">
        <v>461485512</v>
      </c>
      <c r="AR357" t="s">
        <v>1518</v>
      </c>
      <c r="AS357" s="175">
        <v>11</v>
      </c>
    </row>
    <row r="358" spans="1:45" x14ac:dyDescent="0.25">
      <c r="A358">
        <v>2</v>
      </c>
      <c r="B358" t="s">
        <v>3255</v>
      </c>
      <c r="C358">
        <v>357</v>
      </c>
      <c r="D358" t="s">
        <v>264</v>
      </c>
      <c r="E358" t="s">
        <v>265</v>
      </c>
      <c r="F358" t="s">
        <v>2388</v>
      </c>
      <c r="G358" t="s">
        <v>1814</v>
      </c>
      <c r="H358" t="s">
        <v>1815</v>
      </c>
      <c r="I358" s="180">
        <v>0.1163</v>
      </c>
      <c r="J358">
        <v>2022</v>
      </c>
      <c r="K358" t="s">
        <v>1816</v>
      </c>
      <c r="L358" t="s">
        <v>1981</v>
      </c>
      <c r="M358" t="s">
        <v>25</v>
      </c>
      <c r="O358" t="s">
        <v>1518</v>
      </c>
      <c r="P358" t="s">
        <v>785</v>
      </c>
      <c r="Q358" t="s">
        <v>786</v>
      </c>
      <c r="R358" s="175" t="s">
        <v>1467</v>
      </c>
      <c r="S358" t="s">
        <v>1468</v>
      </c>
      <c r="T358" s="175" t="s">
        <v>1530</v>
      </c>
      <c r="U358" t="s">
        <v>1531</v>
      </c>
      <c r="V358" t="s">
        <v>1532</v>
      </c>
      <c r="W358" t="s">
        <v>1533</v>
      </c>
      <c r="X358" s="175" t="s">
        <v>1534</v>
      </c>
      <c r="Y358" t="s">
        <v>1535</v>
      </c>
      <c r="Z358" t="s">
        <v>2125</v>
      </c>
      <c r="AA358" t="s">
        <v>36</v>
      </c>
      <c r="AB358">
        <v>1</v>
      </c>
      <c r="AC358" t="s">
        <v>2185</v>
      </c>
      <c r="AD358" t="s">
        <v>3171</v>
      </c>
      <c r="AE358" t="s">
        <v>3165</v>
      </c>
      <c r="AF358" t="s">
        <v>1778</v>
      </c>
      <c r="AG358" t="s">
        <v>2298</v>
      </c>
      <c r="AH358" t="s">
        <v>2187</v>
      </c>
      <c r="AI358" t="s">
        <v>3197</v>
      </c>
      <c r="AJ358" t="s">
        <v>3197</v>
      </c>
      <c r="AK358" t="s">
        <v>3197</v>
      </c>
      <c r="AL358" t="s">
        <v>3197</v>
      </c>
      <c r="AM358" s="176">
        <v>456722222</v>
      </c>
      <c r="AN358" s="176">
        <v>683326389</v>
      </c>
      <c r="AO358" s="176">
        <v>672536180</v>
      </c>
      <c r="AP358" s="176">
        <v>234402221</v>
      </c>
      <c r="AQ358" s="176">
        <v>2046987012</v>
      </c>
      <c r="AR358" t="s">
        <v>1518</v>
      </c>
      <c r="AS358" s="175">
        <v>11</v>
      </c>
    </row>
    <row r="359" spans="1:45" x14ac:dyDescent="0.25">
      <c r="A359">
        <v>2</v>
      </c>
      <c r="B359" t="s">
        <v>3255</v>
      </c>
      <c r="C359">
        <v>358</v>
      </c>
      <c r="D359" t="s">
        <v>264</v>
      </c>
      <c r="E359" t="s">
        <v>265</v>
      </c>
      <c r="F359" t="s">
        <v>2388</v>
      </c>
      <c r="G359" t="s">
        <v>1814</v>
      </c>
      <c r="H359" t="s">
        <v>1815</v>
      </c>
      <c r="I359" s="180">
        <v>0.1163</v>
      </c>
      <c r="J359">
        <v>2022</v>
      </c>
      <c r="K359" t="s">
        <v>1816</v>
      </c>
      <c r="L359" t="s">
        <v>1981</v>
      </c>
      <c r="M359" t="s">
        <v>25</v>
      </c>
      <c r="O359" t="s">
        <v>1518</v>
      </c>
      <c r="P359" t="s">
        <v>785</v>
      </c>
      <c r="Q359" t="s">
        <v>786</v>
      </c>
      <c r="R359" s="175" t="s">
        <v>1467</v>
      </c>
      <c r="S359" t="s">
        <v>1468</v>
      </c>
      <c r="T359" s="175" t="s">
        <v>1530</v>
      </c>
      <c r="U359" t="s">
        <v>1531</v>
      </c>
      <c r="V359" t="s">
        <v>1532</v>
      </c>
      <c r="W359" t="s">
        <v>1533</v>
      </c>
      <c r="X359" s="175" t="s">
        <v>1534</v>
      </c>
      <c r="Y359" t="s">
        <v>1535</v>
      </c>
      <c r="Z359" t="s">
        <v>2126</v>
      </c>
      <c r="AA359" t="s">
        <v>36</v>
      </c>
      <c r="AB359">
        <v>0</v>
      </c>
      <c r="AC359" t="s">
        <v>2185</v>
      </c>
      <c r="AD359" t="s">
        <v>3171</v>
      </c>
      <c r="AE359" t="s">
        <v>3165</v>
      </c>
      <c r="AF359" t="s">
        <v>1778</v>
      </c>
      <c r="AG359" t="s">
        <v>2298</v>
      </c>
      <c r="AH359" t="s">
        <v>2187</v>
      </c>
      <c r="AI359">
        <v>1</v>
      </c>
      <c r="AJ359">
        <v>1</v>
      </c>
      <c r="AK359">
        <v>1</v>
      </c>
      <c r="AL359">
        <v>1</v>
      </c>
      <c r="AM359" s="176">
        <v>107222222</v>
      </c>
      <c r="AN359" s="176">
        <v>237776389</v>
      </c>
      <c r="AO359" s="176">
        <v>238084680</v>
      </c>
      <c r="AP359" s="176">
        <v>108402221</v>
      </c>
      <c r="AQ359" s="176">
        <v>691485512</v>
      </c>
      <c r="AR359" t="s">
        <v>1518</v>
      </c>
      <c r="AS359" s="175">
        <v>11</v>
      </c>
    </row>
    <row r="360" spans="1:45" x14ac:dyDescent="0.25">
      <c r="A360">
        <v>2</v>
      </c>
      <c r="B360" t="s">
        <v>3255</v>
      </c>
      <c r="C360">
        <v>359</v>
      </c>
      <c r="D360" t="s">
        <v>264</v>
      </c>
      <c r="E360" t="s">
        <v>265</v>
      </c>
      <c r="F360" t="s">
        <v>2388</v>
      </c>
      <c r="G360" t="s">
        <v>1814</v>
      </c>
      <c r="H360" t="s">
        <v>1815</v>
      </c>
      <c r="I360" s="180">
        <v>0.1163</v>
      </c>
      <c r="J360">
        <v>2022</v>
      </c>
      <c r="K360" t="s">
        <v>1816</v>
      </c>
      <c r="L360" t="s">
        <v>1981</v>
      </c>
      <c r="M360" t="s">
        <v>25</v>
      </c>
      <c r="N360" t="s">
        <v>27</v>
      </c>
      <c r="O360" t="s">
        <v>1518</v>
      </c>
      <c r="P360">
        <v>45</v>
      </c>
      <c r="Q360" t="s">
        <v>940</v>
      </c>
      <c r="R360" s="175" t="s">
        <v>787</v>
      </c>
      <c r="S360" t="s">
        <v>788</v>
      </c>
      <c r="T360" s="175">
        <v>4501050</v>
      </c>
      <c r="U360" t="s">
        <v>1834</v>
      </c>
      <c r="V360" t="s">
        <v>1835</v>
      </c>
      <c r="W360" t="s">
        <v>1836</v>
      </c>
      <c r="X360" s="175">
        <v>450105000</v>
      </c>
      <c r="Y360" t="s">
        <v>1837</v>
      </c>
      <c r="Z360" t="s">
        <v>1838</v>
      </c>
      <c r="AA360" t="s">
        <v>36</v>
      </c>
      <c r="AB360">
        <v>1195</v>
      </c>
      <c r="AC360" t="s">
        <v>2185</v>
      </c>
      <c r="AD360" t="s">
        <v>3171</v>
      </c>
      <c r="AE360" t="s">
        <v>3165</v>
      </c>
      <c r="AF360" t="s">
        <v>1547</v>
      </c>
      <c r="AG360" t="s">
        <v>2298</v>
      </c>
      <c r="AH360" t="s">
        <v>2187</v>
      </c>
      <c r="AI360">
        <v>200</v>
      </c>
      <c r="AJ360">
        <v>500</v>
      </c>
      <c r="AK360">
        <v>500</v>
      </c>
      <c r="AL360">
        <v>300</v>
      </c>
      <c r="AM360" s="176">
        <v>549722222</v>
      </c>
      <c r="AN360" s="176">
        <v>1270276389</v>
      </c>
      <c r="AO360" s="176">
        <v>1270584680</v>
      </c>
      <c r="AP360" s="176">
        <v>550902221</v>
      </c>
      <c r="AQ360" s="176">
        <v>3641485512</v>
      </c>
      <c r="AR360" t="s">
        <v>1518</v>
      </c>
      <c r="AS360" s="175">
        <v>11</v>
      </c>
    </row>
    <row r="361" spans="1:45" x14ac:dyDescent="0.25">
      <c r="A361">
        <v>2</v>
      </c>
      <c r="B361" t="s">
        <v>3255</v>
      </c>
      <c r="C361">
        <v>360</v>
      </c>
      <c r="D361" t="s">
        <v>264</v>
      </c>
      <c r="E361" t="s">
        <v>265</v>
      </c>
      <c r="F361" t="s">
        <v>2388</v>
      </c>
      <c r="G361" t="s">
        <v>1814</v>
      </c>
      <c r="H361" t="s">
        <v>1815</v>
      </c>
      <c r="I361" s="180">
        <v>0.1163</v>
      </c>
      <c r="J361">
        <v>2022</v>
      </c>
      <c r="K361" t="s">
        <v>1816</v>
      </c>
      <c r="L361" t="s">
        <v>1981</v>
      </c>
      <c r="M361" t="s">
        <v>25</v>
      </c>
      <c r="N361" t="s">
        <v>27</v>
      </c>
      <c r="O361" t="s">
        <v>1518</v>
      </c>
      <c r="P361">
        <v>41</v>
      </c>
      <c r="Q361" t="s">
        <v>1823</v>
      </c>
      <c r="R361" s="175" t="s">
        <v>1662</v>
      </c>
      <c r="S361" t="s">
        <v>1663</v>
      </c>
      <c r="T361" s="175" t="s">
        <v>1831</v>
      </c>
      <c r="U361" t="s">
        <v>1825</v>
      </c>
      <c r="V361" t="s">
        <v>1832</v>
      </c>
      <c r="W361" t="s">
        <v>1827</v>
      </c>
      <c r="X361" s="175" t="s">
        <v>1833</v>
      </c>
      <c r="Y361" t="s">
        <v>1829</v>
      </c>
      <c r="Z361" t="s">
        <v>2127</v>
      </c>
      <c r="AA361" t="s">
        <v>36</v>
      </c>
      <c r="AB361">
        <v>0</v>
      </c>
      <c r="AC361" t="s">
        <v>2185</v>
      </c>
      <c r="AD361" t="s">
        <v>3171</v>
      </c>
      <c r="AE361" t="s">
        <v>3165</v>
      </c>
      <c r="AF361" t="s">
        <v>1778</v>
      </c>
      <c r="AG361" t="s">
        <v>2298</v>
      </c>
      <c r="AH361" t="s">
        <v>2187</v>
      </c>
      <c r="AI361">
        <v>1</v>
      </c>
      <c r="AJ361">
        <v>1</v>
      </c>
      <c r="AK361">
        <v>1</v>
      </c>
      <c r="AL361">
        <v>1</v>
      </c>
      <c r="AM361" s="176">
        <v>77222222</v>
      </c>
      <c r="AN361" s="176">
        <v>167776389</v>
      </c>
      <c r="AO361" s="176">
        <v>168084680</v>
      </c>
      <c r="AP361" s="176">
        <v>78402221</v>
      </c>
      <c r="AQ361" s="176">
        <v>491485512</v>
      </c>
      <c r="AR361" t="s">
        <v>1518</v>
      </c>
      <c r="AS361" s="175">
        <v>11</v>
      </c>
    </row>
    <row r="362" spans="1:45" x14ac:dyDescent="0.25">
      <c r="A362">
        <v>2</v>
      </c>
      <c r="B362" t="s">
        <v>3255</v>
      </c>
      <c r="C362">
        <v>361</v>
      </c>
      <c r="D362" t="s">
        <v>264</v>
      </c>
      <c r="E362" t="s">
        <v>265</v>
      </c>
      <c r="F362" t="s">
        <v>2388</v>
      </c>
      <c r="G362" t="s">
        <v>1814</v>
      </c>
      <c r="H362" t="s">
        <v>1815</v>
      </c>
      <c r="I362" s="180">
        <v>0.1163</v>
      </c>
      <c r="J362">
        <v>2022</v>
      </c>
      <c r="K362" t="s">
        <v>1816</v>
      </c>
      <c r="L362" t="s">
        <v>1981</v>
      </c>
      <c r="M362" t="s">
        <v>25</v>
      </c>
      <c r="N362" t="s">
        <v>27</v>
      </c>
      <c r="O362" t="s">
        <v>1518</v>
      </c>
      <c r="P362">
        <v>19</v>
      </c>
      <c r="Q362" t="s">
        <v>1839</v>
      </c>
      <c r="R362" s="175">
        <v>1905</v>
      </c>
      <c r="S362" t="s">
        <v>354</v>
      </c>
      <c r="T362" s="175">
        <v>190502</v>
      </c>
      <c r="U362" t="s">
        <v>1840</v>
      </c>
      <c r="V362" t="s">
        <v>1841</v>
      </c>
      <c r="W362" t="s">
        <v>358</v>
      </c>
      <c r="X362" s="175">
        <v>190502000</v>
      </c>
      <c r="Y362" t="s">
        <v>1842</v>
      </c>
      <c r="Z362" t="s">
        <v>1843</v>
      </c>
      <c r="AA362" t="s">
        <v>36</v>
      </c>
      <c r="AB362">
        <v>0</v>
      </c>
      <c r="AC362" t="s">
        <v>2185</v>
      </c>
      <c r="AD362" t="s">
        <v>3171</v>
      </c>
      <c r="AE362" t="s">
        <v>3165</v>
      </c>
      <c r="AF362" t="s">
        <v>1778</v>
      </c>
      <c r="AG362" t="s">
        <v>2298</v>
      </c>
      <c r="AH362" t="s">
        <v>2187</v>
      </c>
      <c r="AI362">
        <v>1</v>
      </c>
      <c r="AJ362">
        <v>1</v>
      </c>
      <c r="AK362">
        <v>1</v>
      </c>
      <c r="AL362">
        <v>1</v>
      </c>
      <c r="AM362" s="176">
        <v>86972222</v>
      </c>
      <c r="AN362" s="176">
        <v>190526389</v>
      </c>
      <c r="AO362" s="176">
        <v>190834680</v>
      </c>
      <c r="AP362" s="176">
        <v>88152221</v>
      </c>
      <c r="AQ362" s="176">
        <v>556485512</v>
      </c>
      <c r="AR362" t="s">
        <v>1518</v>
      </c>
      <c r="AS362" s="175">
        <v>11</v>
      </c>
    </row>
    <row r="363" spans="1:45" x14ac:dyDescent="0.25">
      <c r="A363">
        <v>2</v>
      </c>
      <c r="B363" t="s">
        <v>3255</v>
      </c>
      <c r="C363">
        <v>362</v>
      </c>
      <c r="D363" t="s">
        <v>264</v>
      </c>
      <c r="E363" t="s">
        <v>265</v>
      </c>
      <c r="F363" t="s">
        <v>2388</v>
      </c>
      <c r="G363" t="s">
        <v>1814</v>
      </c>
      <c r="H363" t="s">
        <v>1815</v>
      </c>
      <c r="I363" s="180">
        <f>+I360</f>
        <v>0.1163</v>
      </c>
      <c r="J363">
        <v>2025</v>
      </c>
      <c r="K363" t="s">
        <v>1816</v>
      </c>
      <c r="L363" t="s">
        <v>1981</v>
      </c>
      <c r="M363" t="s">
        <v>25</v>
      </c>
      <c r="N363" t="s">
        <v>27</v>
      </c>
      <c r="O363" t="s">
        <v>1518</v>
      </c>
      <c r="P363">
        <v>45</v>
      </c>
      <c r="Q363" t="s">
        <v>940</v>
      </c>
      <c r="R363" s="175" t="s">
        <v>787</v>
      </c>
      <c r="S363" t="s">
        <v>788</v>
      </c>
      <c r="T363" s="175" t="s">
        <v>1633</v>
      </c>
      <c r="U363" t="s">
        <v>201</v>
      </c>
      <c r="V363" t="s">
        <v>944</v>
      </c>
      <c r="W363" t="s">
        <v>203</v>
      </c>
      <c r="X363" s="175" t="s">
        <v>1634</v>
      </c>
      <c r="Y363" t="s">
        <v>297</v>
      </c>
      <c r="Z363" t="s">
        <v>2081</v>
      </c>
      <c r="AA363" t="s">
        <v>36</v>
      </c>
      <c r="AB363">
        <v>1195</v>
      </c>
      <c r="AC363" t="s">
        <v>2185</v>
      </c>
      <c r="AD363" t="s">
        <v>3171</v>
      </c>
      <c r="AE363" t="s">
        <v>3165</v>
      </c>
      <c r="AF363" t="s">
        <v>3175</v>
      </c>
      <c r="AG363" t="s">
        <v>2298</v>
      </c>
      <c r="AH363" t="s">
        <v>2187</v>
      </c>
      <c r="AI363">
        <v>1000</v>
      </c>
      <c r="AJ363">
        <v>2000</v>
      </c>
      <c r="AK363">
        <v>1000</v>
      </c>
      <c r="AL363">
        <v>1000</v>
      </c>
      <c r="AM363" s="176">
        <v>71222222</v>
      </c>
      <c r="AN363" s="176">
        <v>153776389</v>
      </c>
      <c r="AO363" s="176">
        <v>154084680</v>
      </c>
      <c r="AP363" s="176">
        <v>72402221</v>
      </c>
      <c r="AQ363" s="176">
        <v>451485512</v>
      </c>
      <c r="AR363" t="s">
        <v>1518</v>
      </c>
      <c r="AS363" s="175">
        <v>11</v>
      </c>
    </row>
    <row r="364" spans="1:45" x14ac:dyDescent="0.25">
      <c r="A364">
        <v>2</v>
      </c>
      <c r="B364" t="s">
        <v>3255</v>
      </c>
      <c r="C364">
        <v>363</v>
      </c>
      <c r="D364" t="s">
        <v>264</v>
      </c>
      <c r="E364" t="s">
        <v>265</v>
      </c>
      <c r="F364" t="s">
        <v>2388</v>
      </c>
      <c r="G364" t="s">
        <v>1814</v>
      </c>
      <c r="H364" t="s">
        <v>1815</v>
      </c>
      <c r="I364" s="180">
        <f t="shared" ref="I364:I367" si="0">+I363</f>
        <v>0.1163</v>
      </c>
      <c r="J364">
        <v>2025</v>
      </c>
      <c r="K364" t="s">
        <v>1816</v>
      </c>
      <c r="L364" t="s">
        <v>1981</v>
      </c>
      <c r="M364" t="s">
        <v>25</v>
      </c>
      <c r="N364" t="s">
        <v>27</v>
      </c>
      <c r="O364" t="s">
        <v>1518</v>
      </c>
      <c r="P364">
        <v>45</v>
      </c>
      <c r="Q364" t="s">
        <v>940</v>
      </c>
      <c r="R364" s="175" t="s">
        <v>787</v>
      </c>
      <c r="S364" t="s">
        <v>788</v>
      </c>
      <c r="T364" s="175" t="s">
        <v>1633</v>
      </c>
      <c r="U364" t="s">
        <v>201</v>
      </c>
      <c r="V364" t="s">
        <v>944</v>
      </c>
      <c r="W364" t="s">
        <v>203</v>
      </c>
      <c r="X364" s="175" t="s">
        <v>1634</v>
      </c>
      <c r="Y364" t="s">
        <v>297</v>
      </c>
      <c r="Z364" t="s">
        <v>1844</v>
      </c>
      <c r="AA364" t="s">
        <v>36</v>
      </c>
      <c r="AB364">
        <v>0</v>
      </c>
      <c r="AC364" t="s">
        <v>2185</v>
      </c>
      <c r="AD364" t="s">
        <v>3171</v>
      </c>
      <c r="AE364" t="s">
        <v>3165</v>
      </c>
      <c r="AF364" t="s">
        <v>3175</v>
      </c>
      <c r="AG364" t="s">
        <v>2298</v>
      </c>
      <c r="AH364" t="s">
        <v>2187</v>
      </c>
      <c r="AI364">
        <v>200</v>
      </c>
      <c r="AJ364">
        <v>600</v>
      </c>
      <c r="AK364">
        <v>600</v>
      </c>
      <c r="AL364">
        <v>600</v>
      </c>
      <c r="AM364" s="176">
        <v>62222222</v>
      </c>
      <c r="AN364" s="176">
        <v>132776389</v>
      </c>
      <c r="AO364" s="176">
        <v>133084680</v>
      </c>
      <c r="AP364" s="176">
        <v>63402221</v>
      </c>
      <c r="AQ364" s="176">
        <v>391485512</v>
      </c>
      <c r="AR364" t="s">
        <v>1518</v>
      </c>
      <c r="AS364" s="175">
        <v>11</v>
      </c>
    </row>
    <row r="365" spans="1:45" x14ac:dyDescent="0.25">
      <c r="A365">
        <v>2</v>
      </c>
      <c r="B365" t="s">
        <v>3255</v>
      </c>
      <c r="C365">
        <v>364</v>
      </c>
      <c r="D365" t="s">
        <v>264</v>
      </c>
      <c r="E365" t="s">
        <v>265</v>
      </c>
      <c r="F365" t="s">
        <v>2388</v>
      </c>
      <c r="G365" t="s">
        <v>1814</v>
      </c>
      <c r="H365" t="s">
        <v>1815</v>
      </c>
      <c r="I365" s="180">
        <f>+I363</f>
        <v>0.1163</v>
      </c>
      <c r="J365">
        <v>2023</v>
      </c>
      <c r="K365" t="s">
        <v>1816</v>
      </c>
      <c r="L365" t="s">
        <v>1981</v>
      </c>
      <c r="M365" t="s">
        <v>25</v>
      </c>
      <c r="N365" t="s">
        <v>27</v>
      </c>
      <c r="O365" t="s">
        <v>1518</v>
      </c>
      <c r="P365">
        <v>45</v>
      </c>
      <c r="Q365" t="s">
        <v>940</v>
      </c>
      <c r="R365" s="175" t="s">
        <v>1467</v>
      </c>
      <c r="S365" t="s">
        <v>1468</v>
      </c>
      <c r="T365" s="175" t="s">
        <v>1530</v>
      </c>
      <c r="U365" t="s">
        <v>1531</v>
      </c>
      <c r="V365" t="s">
        <v>1532</v>
      </c>
      <c r="W365" t="s">
        <v>1533</v>
      </c>
      <c r="X365" s="175" t="s">
        <v>1534</v>
      </c>
      <c r="Y365" t="s">
        <v>1535</v>
      </c>
      <c r="Z365" t="s">
        <v>3176</v>
      </c>
      <c r="AA365" t="s">
        <v>36</v>
      </c>
      <c r="AB365">
        <v>7</v>
      </c>
      <c r="AC365" t="s">
        <v>2185</v>
      </c>
      <c r="AD365" t="s">
        <v>3171</v>
      </c>
      <c r="AE365" t="s">
        <v>3165</v>
      </c>
      <c r="AF365" t="s">
        <v>3175</v>
      </c>
      <c r="AG365" t="s">
        <v>2298</v>
      </c>
      <c r="AH365" t="s">
        <v>2187</v>
      </c>
      <c r="AI365">
        <v>8</v>
      </c>
      <c r="AJ365">
        <v>3</v>
      </c>
      <c r="AK365">
        <v>1</v>
      </c>
      <c r="AL365">
        <v>1</v>
      </c>
      <c r="AM365" s="176">
        <v>384722222</v>
      </c>
      <c r="AN365" s="176">
        <v>885276389</v>
      </c>
      <c r="AO365" s="176">
        <v>885584680</v>
      </c>
      <c r="AP365" s="176">
        <v>385902221</v>
      </c>
      <c r="AQ365" s="176">
        <v>2541485512</v>
      </c>
      <c r="AR365" t="s">
        <v>1518</v>
      </c>
      <c r="AS365" s="175">
        <v>11</v>
      </c>
    </row>
    <row r="366" spans="1:45" x14ac:dyDescent="0.25">
      <c r="A366">
        <v>2</v>
      </c>
      <c r="B366" t="s">
        <v>3255</v>
      </c>
      <c r="C366">
        <v>365</v>
      </c>
      <c r="D366" t="s">
        <v>264</v>
      </c>
      <c r="E366" t="s">
        <v>265</v>
      </c>
      <c r="F366" t="s">
        <v>2388</v>
      </c>
      <c r="G366" t="s">
        <v>1814</v>
      </c>
      <c r="H366" t="s">
        <v>1815</v>
      </c>
      <c r="I366" s="180">
        <f t="shared" si="0"/>
        <v>0.1163</v>
      </c>
      <c r="J366">
        <v>2023</v>
      </c>
      <c r="K366" t="s">
        <v>1816</v>
      </c>
      <c r="L366" t="s">
        <v>1981</v>
      </c>
      <c r="M366" t="s">
        <v>25</v>
      </c>
      <c r="N366" t="s">
        <v>27</v>
      </c>
      <c r="O366" t="s">
        <v>1518</v>
      </c>
      <c r="P366" t="s">
        <v>785</v>
      </c>
      <c r="Q366" t="s">
        <v>786</v>
      </c>
      <c r="R366" s="175" t="s">
        <v>1467</v>
      </c>
      <c r="S366" t="s">
        <v>1468</v>
      </c>
      <c r="T366" s="175" t="s">
        <v>1845</v>
      </c>
      <c r="U366" t="s">
        <v>1846</v>
      </c>
      <c r="V366" t="s">
        <v>1847</v>
      </c>
      <c r="W366" t="s">
        <v>203</v>
      </c>
      <c r="X366" s="175">
        <v>450203700</v>
      </c>
      <c r="Y366" t="s">
        <v>1848</v>
      </c>
      <c r="Z366" t="s">
        <v>2128</v>
      </c>
      <c r="AA366" t="s">
        <v>36</v>
      </c>
      <c r="AC366" t="s">
        <v>2185</v>
      </c>
      <c r="AD366" t="s">
        <v>3171</v>
      </c>
      <c r="AE366" t="s">
        <v>3165</v>
      </c>
      <c r="AF366" t="s">
        <v>1547</v>
      </c>
      <c r="AG366" t="s">
        <v>2298</v>
      </c>
      <c r="AH366" t="s">
        <v>2187</v>
      </c>
      <c r="AI366">
        <v>80</v>
      </c>
      <c r="AJ366">
        <v>427</v>
      </c>
      <c r="AK366">
        <v>427</v>
      </c>
      <c r="AL366">
        <v>426</v>
      </c>
      <c r="AM366" s="176">
        <v>81722222</v>
      </c>
      <c r="AN366" s="176">
        <v>178276389</v>
      </c>
      <c r="AO366" s="176">
        <v>178584680</v>
      </c>
      <c r="AP366" s="176">
        <v>82902221</v>
      </c>
      <c r="AQ366" s="176">
        <v>521485512</v>
      </c>
      <c r="AR366" t="s">
        <v>1518</v>
      </c>
      <c r="AS366" s="175">
        <v>11</v>
      </c>
    </row>
    <row r="367" spans="1:45" x14ac:dyDescent="0.25">
      <c r="A367">
        <v>2</v>
      </c>
      <c r="B367" t="s">
        <v>3255</v>
      </c>
      <c r="C367">
        <v>366</v>
      </c>
      <c r="D367" t="s">
        <v>264</v>
      </c>
      <c r="E367" t="s">
        <v>265</v>
      </c>
      <c r="F367" t="s">
        <v>2388</v>
      </c>
      <c r="G367" t="s">
        <v>1814</v>
      </c>
      <c r="H367" t="s">
        <v>1815</v>
      </c>
      <c r="I367" s="180">
        <f t="shared" si="0"/>
        <v>0.1163</v>
      </c>
      <c r="J367">
        <v>2023</v>
      </c>
      <c r="K367" t="s">
        <v>1816</v>
      </c>
      <c r="L367" t="s">
        <v>1981</v>
      </c>
      <c r="M367" t="s">
        <v>25</v>
      </c>
      <c r="N367" t="s">
        <v>27</v>
      </c>
      <c r="O367" t="s">
        <v>1518</v>
      </c>
      <c r="P367">
        <v>45</v>
      </c>
      <c r="Q367" t="s">
        <v>940</v>
      </c>
      <c r="R367" s="175" t="s">
        <v>1467</v>
      </c>
      <c r="S367" t="s">
        <v>1468</v>
      </c>
      <c r="T367" s="175" t="s">
        <v>1849</v>
      </c>
      <c r="U367" t="s">
        <v>1850</v>
      </c>
      <c r="V367" t="s">
        <v>1851</v>
      </c>
      <c r="W367" t="s">
        <v>1852</v>
      </c>
      <c r="X367" s="175">
        <v>450202000</v>
      </c>
      <c r="Y367" t="s">
        <v>1853</v>
      </c>
      <c r="Z367" t="s">
        <v>1854</v>
      </c>
      <c r="AA367" t="s">
        <v>36</v>
      </c>
      <c r="AB367">
        <v>10</v>
      </c>
      <c r="AC367" t="s">
        <v>2185</v>
      </c>
      <c r="AD367" t="s">
        <v>3171</v>
      </c>
      <c r="AE367" t="s">
        <v>3165</v>
      </c>
      <c r="AF367" t="s">
        <v>1547</v>
      </c>
      <c r="AG367" t="s">
        <v>2298</v>
      </c>
      <c r="AH367" t="s">
        <v>2187</v>
      </c>
      <c r="AI367">
        <v>2</v>
      </c>
      <c r="AJ367">
        <v>5</v>
      </c>
      <c r="AK367">
        <v>5</v>
      </c>
      <c r="AL367">
        <v>2</v>
      </c>
      <c r="AM367" s="176">
        <v>77222222</v>
      </c>
      <c r="AN367" s="176">
        <v>167776389</v>
      </c>
      <c r="AO367" s="176">
        <v>168084680</v>
      </c>
      <c r="AP367" s="176">
        <v>78402221</v>
      </c>
      <c r="AQ367" s="176">
        <v>491485512</v>
      </c>
      <c r="AR367" t="s">
        <v>1518</v>
      </c>
      <c r="AS367" s="175">
        <v>11</v>
      </c>
    </row>
    <row r="368" spans="1:45" x14ac:dyDescent="0.25">
      <c r="A368">
        <v>2</v>
      </c>
      <c r="B368" t="s">
        <v>3255</v>
      </c>
      <c r="C368">
        <v>367</v>
      </c>
      <c r="D368" t="s">
        <v>264</v>
      </c>
      <c r="E368" t="s">
        <v>265</v>
      </c>
      <c r="F368" t="s">
        <v>2388</v>
      </c>
      <c r="G368" t="s">
        <v>1855</v>
      </c>
      <c r="H368" t="s">
        <v>1856</v>
      </c>
      <c r="I368" s="184">
        <v>49.3</v>
      </c>
      <c r="J368">
        <v>2022</v>
      </c>
      <c r="K368" t="s">
        <v>402</v>
      </c>
      <c r="L368" t="s">
        <v>3177</v>
      </c>
      <c r="M368" t="s">
        <v>36</v>
      </c>
      <c r="N368" t="s">
        <v>27</v>
      </c>
      <c r="O368" t="s">
        <v>1518</v>
      </c>
      <c r="P368">
        <v>19</v>
      </c>
      <c r="Q368" t="s">
        <v>1839</v>
      </c>
      <c r="R368" s="175" t="s">
        <v>353</v>
      </c>
      <c r="S368" t="s">
        <v>354</v>
      </c>
      <c r="T368" s="175" t="s">
        <v>1859</v>
      </c>
      <c r="U368" t="s">
        <v>1860</v>
      </c>
      <c r="V368" t="s">
        <v>1861</v>
      </c>
      <c r="W368" t="s">
        <v>358</v>
      </c>
      <c r="X368" s="175" t="s">
        <v>1862</v>
      </c>
      <c r="Y368" t="s">
        <v>1863</v>
      </c>
      <c r="Z368" t="s">
        <v>3178</v>
      </c>
      <c r="AA368" t="s">
        <v>36</v>
      </c>
      <c r="AB368">
        <v>7</v>
      </c>
      <c r="AC368" t="s">
        <v>2185</v>
      </c>
      <c r="AD368" t="s">
        <v>3171</v>
      </c>
      <c r="AE368" t="s">
        <v>3165</v>
      </c>
      <c r="AF368" t="s">
        <v>3179</v>
      </c>
      <c r="AG368" t="s">
        <v>2298</v>
      </c>
      <c r="AH368" t="s">
        <v>2187</v>
      </c>
      <c r="AI368">
        <v>1</v>
      </c>
      <c r="AJ368">
        <v>3</v>
      </c>
      <c r="AK368">
        <v>2</v>
      </c>
      <c r="AL368">
        <v>1</v>
      </c>
      <c r="AM368" s="176">
        <v>47222222</v>
      </c>
      <c r="AN368" s="176">
        <v>97776389</v>
      </c>
      <c r="AO368" s="176">
        <v>98084680</v>
      </c>
      <c r="AP368" s="176">
        <v>48402221</v>
      </c>
      <c r="AQ368" s="176">
        <v>291485512</v>
      </c>
      <c r="AR368" t="s">
        <v>1518</v>
      </c>
      <c r="AS368" s="175">
        <v>11</v>
      </c>
    </row>
    <row r="369" spans="1:45" x14ac:dyDescent="0.25">
      <c r="A369">
        <v>2</v>
      </c>
      <c r="B369" t="s">
        <v>3255</v>
      </c>
      <c r="C369">
        <v>368</v>
      </c>
      <c r="D369" t="s">
        <v>264</v>
      </c>
      <c r="E369" t="s">
        <v>265</v>
      </c>
      <c r="F369" t="s">
        <v>2388</v>
      </c>
      <c r="G369" t="s">
        <v>1855</v>
      </c>
      <c r="H369" t="s">
        <v>1856</v>
      </c>
      <c r="I369" s="184">
        <v>49.3</v>
      </c>
      <c r="J369">
        <v>2022</v>
      </c>
      <c r="K369" t="s">
        <v>402</v>
      </c>
      <c r="L369" t="s">
        <v>3177</v>
      </c>
      <c r="M369" t="s">
        <v>25</v>
      </c>
      <c r="N369" t="s">
        <v>27</v>
      </c>
      <c r="O369" t="s">
        <v>1518</v>
      </c>
      <c r="P369">
        <v>19</v>
      </c>
      <c r="Q369" t="s">
        <v>1839</v>
      </c>
      <c r="R369" s="175" t="s">
        <v>353</v>
      </c>
      <c r="S369" t="s">
        <v>354</v>
      </c>
      <c r="T369" s="175" t="s">
        <v>1864</v>
      </c>
      <c r="U369" t="s">
        <v>1865</v>
      </c>
      <c r="V369" t="s">
        <v>1866</v>
      </c>
      <c r="W369" t="s">
        <v>203</v>
      </c>
      <c r="X369" s="175" t="s">
        <v>1867</v>
      </c>
      <c r="Y369" t="s">
        <v>297</v>
      </c>
      <c r="Z369" t="s">
        <v>2420</v>
      </c>
      <c r="AA369" t="s">
        <v>36</v>
      </c>
      <c r="AB369">
        <v>5000</v>
      </c>
      <c r="AC369" t="s">
        <v>2185</v>
      </c>
      <c r="AD369" t="s">
        <v>3171</v>
      </c>
      <c r="AE369" t="s">
        <v>3165</v>
      </c>
      <c r="AF369" t="s">
        <v>3179</v>
      </c>
      <c r="AG369" t="s">
        <v>2298</v>
      </c>
      <c r="AH369" t="s">
        <v>2187</v>
      </c>
      <c r="AI369">
        <v>100</v>
      </c>
      <c r="AJ369">
        <v>2000</v>
      </c>
      <c r="AK369">
        <v>2000</v>
      </c>
      <c r="AL369">
        <v>900</v>
      </c>
      <c r="AM369" s="176">
        <v>44222222</v>
      </c>
      <c r="AN369" s="176">
        <v>90776389</v>
      </c>
      <c r="AO369" s="176">
        <v>91084680</v>
      </c>
      <c r="AP369" s="176">
        <v>45402221</v>
      </c>
      <c r="AQ369" s="176">
        <v>271485512</v>
      </c>
      <c r="AR369" t="s">
        <v>1518</v>
      </c>
      <c r="AS369" s="175">
        <v>11</v>
      </c>
    </row>
    <row r="370" spans="1:45" x14ac:dyDescent="0.25">
      <c r="A370">
        <v>2</v>
      </c>
      <c r="B370" t="s">
        <v>3255</v>
      </c>
      <c r="C370">
        <v>369</v>
      </c>
      <c r="D370" t="s">
        <v>264</v>
      </c>
      <c r="E370" t="s">
        <v>265</v>
      </c>
      <c r="F370" t="s">
        <v>2388</v>
      </c>
      <c r="G370" t="s">
        <v>1868</v>
      </c>
      <c r="H370" t="s">
        <v>1869</v>
      </c>
      <c r="I370" s="192">
        <v>3</v>
      </c>
      <c r="J370">
        <v>2022</v>
      </c>
      <c r="K370" t="s">
        <v>402</v>
      </c>
      <c r="L370" t="s">
        <v>3180</v>
      </c>
      <c r="M370" t="s">
        <v>36</v>
      </c>
      <c r="N370" t="s">
        <v>27</v>
      </c>
      <c r="O370" t="s">
        <v>1518</v>
      </c>
      <c r="P370">
        <v>19</v>
      </c>
      <c r="Q370" t="s">
        <v>1839</v>
      </c>
      <c r="R370" s="175" t="s">
        <v>353</v>
      </c>
      <c r="S370" t="s">
        <v>354</v>
      </c>
      <c r="T370" s="175" t="s">
        <v>1859</v>
      </c>
      <c r="U370" t="s">
        <v>1860</v>
      </c>
      <c r="V370" t="s">
        <v>1861</v>
      </c>
      <c r="W370" t="s">
        <v>358</v>
      </c>
      <c r="X370" s="175" t="s">
        <v>1862</v>
      </c>
      <c r="Y370" t="s">
        <v>1863</v>
      </c>
      <c r="Z370" t="s">
        <v>2009</v>
      </c>
      <c r="AA370" t="s">
        <v>36</v>
      </c>
      <c r="AB370">
        <v>4</v>
      </c>
      <c r="AC370" t="s">
        <v>2185</v>
      </c>
      <c r="AD370" t="s">
        <v>3171</v>
      </c>
      <c r="AE370" t="s">
        <v>3165</v>
      </c>
      <c r="AF370" t="s">
        <v>3179</v>
      </c>
      <c r="AG370" t="s">
        <v>2298</v>
      </c>
      <c r="AH370" t="s">
        <v>2187</v>
      </c>
      <c r="AI370">
        <v>1</v>
      </c>
      <c r="AJ370">
        <v>1</v>
      </c>
      <c r="AK370">
        <v>1</v>
      </c>
      <c r="AL370">
        <v>1</v>
      </c>
      <c r="AM370" s="176">
        <v>32222222</v>
      </c>
      <c r="AN370" s="176">
        <v>62776389</v>
      </c>
      <c r="AO370" s="176">
        <v>63084680</v>
      </c>
      <c r="AP370" s="176">
        <v>33402221</v>
      </c>
      <c r="AQ370" s="176">
        <v>191485512</v>
      </c>
      <c r="AR370" t="s">
        <v>1518</v>
      </c>
      <c r="AS370" s="175">
        <v>11</v>
      </c>
    </row>
    <row r="371" spans="1:45" x14ac:dyDescent="0.25">
      <c r="A371">
        <v>2</v>
      </c>
      <c r="B371" t="s">
        <v>3255</v>
      </c>
      <c r="C371">
        <v>370</v>
      </c>
      <c r="D371" t="s">
        <v>264</v>
      </c>
      <c r="E371" t="s">
        <v>265</v>
      </c>
      <c r="F371" t="s">
        <v>2388</v>
      </c>
      <c r="G371" t="s">
        <v>1868</v>
      </c>
      <c r="H371" t="s">
        <v>1869</v>
      </c>
      <c r="I371" s="192">
        <v>3</v>
      </c>
      <c r="J371">
        <v>2022</v>
      </c>
      <c r="K371" t="s">
        <v>402</v>
      </c>
      <c r="L371" t="s">
        <v>3180</v>
      </c>
      <c r="M371" t="s">
        <v>36</v>
      </c>
      <c r="N371" t="s">
        <v>27</v>
      </c>
      <c r="O371" t="s">
        <v>1518</v>
      </c>
      <c r="P371">
        <v>19</v>
      </c>
      <c r="Q371" t="s">
        <v>1839</v>
      </c>
      <c r="R371" s="175" t="s">
        <v>353</v>
      </c>
      <c r="S371" t="s">
        <v>354</v>
      </c>
      <c r="T371" s="175" t="s">
        <v>1864</v>
      </c>
      <c r="U371" t="s">
        <v>1865</v>
      </c>
      <c r="V371" t="s">
        <v>1866</v>
      </c>
      <c r="W371" t="s">
        <v>203</v>
      </c>
      <c r="X371" s="175" t="s">
        <v>1867</v>
      </c>
      <c r="Y371" t="s">
        <v>297</v>
      </c>
      <c r="Z371" t="s">
        <v>1870</v>
      </c>
      <c r="AA371" t="s">
        <v>36</v>
      </c>
      <c r="AB371">
        <v>4000</v>
      </c>
      <c r="AC371" t="s">
        <v>2185</v>
      </c>
      <c r="AD371" t="s">
        <v>3171</v>
      </c>
      <c r="AE371" t="s">
        <v>3165</v>
      </c>
      <c r="AF371" t="s">
        <v>3179</v>
      </c>
      <c r="AG371" t="s">
        <v>2298</v>
      </c>
      <c r="AH371" t="s">
        <v>2187</v>
      </c>
      <c r="AI371">
        <v>500</v>
      </c>
      <c r="AJ371">
        <v>1500</v>
      </c>
      <c r="AK371">
        <v>1500</v>
      </c>
      <c r="AL371">
        <v>500</v>
      </c>
      <c r="AM371" s="176">
        <v>44222222</v>
      </c>
      <c r="AN371" s="176">
        <v>90776389</v>
      </c>
      <c r="AO371" s="176">
        <v>91084680</v>
      </c>
      <c r="AP371" s="176">
        <v>45402221</v>
      </c>
      <c r="AQ371" s="176">
        <v>271485512</v>
      </c>
      <c r="AR371" t="s">
        <v>1518</v>
      </c>
      <c r="AS371" s="175">
        <v>11</v>
      </c>
    </row>
    <row r="372" spans="1:45" x14ac:dyDescent="0.25">
      <c r="A372">
        <v>2</v>
      </c>
      <c r="B372" t="s">
        <v>3255</v>
      </c>
      <c r="C372">
        <v>371</v>
      </c>
      <c r="D372" t="s">
        <v>264</v>
      </c>
      <c r="E372" t="s">
        <v>265</v>
      </c>
      <c r="F372" t="s">
        <v>2388</v>
      </c>
      <c r="G372" t="s">
        <v>1871</v>
      </c>
      <c r="H372" t="s">
        <v>1872</v>
      </c>
      <c r="I372" s="180">
        <v>0.92700000000000005</v>
      </c>
      <c r="J372">
        <v>2023</v>
      </c>
      <c r="K372" t="s">
        <v>3181</v>
      </c>
      <c r="L372" t="s">
        <v>3182</v>
      </c>
      <c r="M372" t="s">
        <v>25</v>
      </c>
      <c r="N372" t="s">
        <v>27</v>
      </c>
      <c r="O372" t="s">
        <v>1518</v>
      </c>
      <c r="P372">
        <v>45</v>
      </c>
      <c r="Q372" t="s">
        <v>940</v>
      </c>
      <c r="R372" s="175" t="s">
        <v>1467</v>
      </c>
      <c r="S372" t="s">
        <v>1468</v>
      </c>
      <c r="T372" s="175" t="s">
        <v>1471</v>
      </c>
      <c r="U372" t="s">
        <v>232</v>
      </c>
      <c r="V372" t="s">
        <v>1472</v>
      </c>
      <c r="W372" t="s">
        <v>1473</v>
      </c>
      <c r="X372" s="175" t="s">
        <v>1474</v>
      </c>
      <c r="Y372" t="s">
        <v>1475</v>
      </c>
      <c r="Z372" t="s">
        <v>1874</v>
      </c>
      <c r="AA372" t="s">
        <v>36</v>
      </c>
      <c r="AB372">
        <v>0</v>
      </c>
      <c r="AC372" t="s">
        <v>2185</v>
      </c>
      <c r="AD372" t="s">
        <v>3171</v>
      </c>
      <c r="AE372" t="s">
        <v>3165</v>
      </c>
      <c r="AF372" t="s">
        <v>3179</v>
      </c>
      <c r="AG372" t="s">
        <v>2298</v>
      </c>
      <c r="AH372" t="s">
        <v>2187</v>
      </c>
      <c r="AI372" t="s">
        <v>3197</v>
      </c>
      <c r="AJ372" t="s">
        <v>3197</v>
      </c>
      <c r="AK372" t="s">
        <v>3197</v>
      </c>
      <c r="AL372" t="s">
        <v>3197</v>
      </c>
      <c r="AM372" s="176">
        <v>62222222</v>
      </c>
      <c r="AN372" s="176">
        <v>132776389</v>
      </c>
      <c r="AO372" s="176">
        <v>133084680</v>
      </c>
      <c r="AP372" s="176">
        <v>63402221</v>
      </c>
      <c r="AQ372" s="176">
        <v>391485512</v>
      </c>
      <c r="AR372" t="s">
        <v>1518</v>
      </c>
      <c r="AS372" s="175">
        <v>11</v>
      </c>
    </row>
    <row r="373" spans="1:45" x14ac:dyDescent="0.25">
      <c r="A373">
        <v>2</v>
      </c>
      <c r="B373" t="s">
        <v>3255</v>
      </c>
      <c r="C373">
        <v>372</v>
      </c>
      <c r="D373" t="s">
        <v>264</v>
      </c>
      <c r="E373" t="s">
        <v>265</v>
      </c>
      <c r="F373" t="s">
        <v>2388</v>
      </c>
      <c r="G373" t="s">
        <v>1875</v>
      </c>
      <c r="H373" t="s">
        <v>1872</v>
      </c>
      <c r="I373" s="180">
        <v>0.92700000000000005</v>
      </c>
      <c r="J373">
        <v>2023</v>
      </c>
      <c r="K373" t="s">
        <v>3181</v>
      </c>
      <c r="L373" t="s">
        <v>3182</v>
      </c>
      <c r="M373" t="s">
        <v>25</v>
      </c>
      <c r="N373" t="s">
        <v>27</v>
      </c>
      <c r="O373" t="s">
        <v>1518</v>
      </c>
      <c r="P373">
        <v>45</v>
      </c>
      <c r="Q373" t="s">
        <v>940</v>
      </c>
      <c r="R373" s="175" t="s">
        <v>1467</v>
      </c>
      <c r="S373" t="s">
        <v>1468</v>
      </c>
      <c r="T373" s="175" t="s">
        <v>1763</v>
      </c>
      <c r="U373" t="s">
        <v>1764</v>
      </c>
      <c r="V373" t="s">
        <v>1765</v>
      </c>
      <c r="W373" t="s">
        <v>369</v>
      </c>
      <c r="X373" s="175" t="s">
        <v>1766</v>
      </c>
      <c r="Y373" t="s">
        <v>1767</v>
      </c>
      <c r="Z373" t="s">
        <v>2129</v>
      </c>
      <c r="AA373" t="s">
        <v>36</v>
      </c>
      <c r="AB373">
        <v>0</v>
      </c>
      <c r="AC373" t="s">
        <v>2185</v>
      </c>
      <c r="AD373" t="s">
        <v>3170</v>
      </c>
      <c r="AE373" t="s">
        <v>3165</v>
      </c>
      <c r="AF373" t="s">
        <v>3179</v>
      </c>
      <c r="AG373" t="s">
        <v>2298</v>
      </c>
      <c r="AH373" t="s">
        <v>2187</v>
      </c>
      <c r="AI373" t="s">
        <v>3197</v>
      </c>
      <c r="AJ373" t="s">
        <v>3197</v>
      </c>
      <c r="AK373" t="s">
        <v>3197</v>
      </c>
      <c r="AL373" t="s">
        <v>3197</v>
      </c>
      <c r="AM373" s="176">
        <v>69722222</v>
      </c>
      <c r="AN373" s="176">
        <v>150276389</v>
      </c>
      <c r="AO373" s="176">
        <v>150584680</v>
      </c>
      <c r="AP373" s="176">
        <v>70902221</v>
      </c>
      <c r="AQ373" s="176">
        <v>441485512</v>
      </c>
      <c r="AR373" t="s">
        <v>1518</v>
      </c>
      <c r="AS373" s="175">
        <v>11</v>
      </c>
    </row>
    <row r="374" spans="1:45" x14ac:dyDescent="0.25">
      <c r="A374">
        <v>2</v>
      </c>
      <c r="B374" t="s">
        <v>3255</v>
      </c>
      <c r="C374">
        <v>373</v>
      </c>
      <c r="D374" t="s">
        <v>264</v>
      </c>
      <c r="E374" t="s">
        <v>265</v>
      </c>
      <c r="F374" t="s">
        <v>2388</v>
      </c>
      <c r="G374" t="s">
        <v>1875</v>
      </c>
      <c r="H374" t="s">
        <v>1872</v>
      </c>
      <c r="I374" s="180">
        <v>0.92700000000000005</v>
      </c>
      <c r="J374">
        <v>2023</v>
      </c>
      <c r="K374" t="s">
        <v>3181</v>
      </c>
      <c r="L374" t="s">
        <v>3182</v>
      </c>
      <c r="M374" t="s">
        <v>25</v>
      </c>
      <c r="N374" t="s">
        <v>27</v>
      </c>
      <c r="O374" t="s">
        <v>1518</v>
      </c>
      <c r="P374">
        <v>45</v>
      </c>
      <c r="Q374" t="s">
        <v>786</v>
      </c>
      <c r="R374" s="175" t="s">
        <v>1467</v>
      </c>
      <c r="S374" t="s">
        <v>1468</v>
      </c>
      <c r="T374" s="175" t="s">
        <v>1701</v>
      </c>
      <c r="U374" t="s">
        <v>768</v>
      </c>
      <c r="V374" t="s">
        <v>1702</v>
      </c>
      <c r="W374" t="s">
        <v>500</v>
      </c>
      <c r="X374" s="175" t="s">
        <v>1703</v>
      </c>
      <c r="Y374" t="s">
        <v>771</v>
      </c>
      <c r="Z374" t="s">
        <v>2130</v>
      </c>
      <c r="AA374" t="s">
        <v>36</v>
      </c>
      <c r="AB374">
        <v>0</v>
      </c>
      <c r="AC374" t="s">
        <v>2185</v>
      </c>
      <c r="AD374" t="s">
        <v>3170</v>
      </c>
      <c r="AE374" t="s">
        <v>3165</v>
      </c>
      <c r="AF374" t="s">
        <v>3179</v>
      </c>
      <c r="AG374" t="s">
        <v>2298</v>
      </c>
      <c r="AH374" t="s">
        <v>2187</v>
      </c>
      <c r="AI374" t="s">
        <v>3197</v>
      </c>
      <c r="AJ374" t="s">
        <v>3197</v>
      </c>
      <c r="AK374" t="s">
        <v>3197</v>
      </c>
      <c r="AL374" t="s">
        <v>3197</v>
      </c>
      <c r="AM374" s="176">
        <v>62222230</v>
      </c>
      <c r="AN374" s="176">
        <v>132776385</v>
      </c>
      <c r="AO374" s="176">
        <v>133084682</v>
      </c>
      <c r="AP374" s="176">
        <v>63402221</v>
      </c>
      <c r="AQ374" s="176">
        <v>391485518</v>
      </c>
      <c r="AR374" t="s">
        <v>1518</v>
      </c>
      <c r="AS374" s="175">
        <v>11</v>
      </c>
    </row>
    <row r="375" spans="1:45" x14ac:dyDescent="0.25">
      <c r="A375">
        <v>2</v>
      </c>
      <c r="B375" t="s">
        <v>3255</v>
      </c>
      <c r="C375">
        <v>374</v>
      </c>
      <c r="D375" t="s">
        <v>264</v>
      </c>
      <c r="E375" t="s">
        <v>265</v>
      </c>
      <c r="F375" t="s">
        <v>2388</v>
      </c>
      <c r="G375" t="s">
        <v>1526</v>
      </c>
      <c r="H375" t="s">
        <v>1527</v>
      </c>
      <c r="I375" s="183">
        <v>38</v>
      </c>
      <c r="J375">
        <v>2023</v>
      </c>
      <c r="K375" t="s">
        <v>3153</v>
      </c>
      <c r="L375" t="s">
        <v>1529</v>
      </c>
      <c r="M375" t="s">
        <v>36</v>
      </c>
      <c r="O375" t="s">
        <v>1495</v>
      </c>
      <c r="P375">
        <v>12</v>
      </c>
      <c r="Q375" t="s">
        <v>1571</v>
      </c>
      <c r="R375" s="175">
        <v>1202</v>
      </c>
      <c r="S375" t="s">
        <v>1983</v>
      </c>
      <c r="T375" s="175">
        <v>1202030</v>
      </c>
      <c r="U375" t="s">
        <v>1876</v>
      </c>
      <c r="V375" t="s">
        <v>1877</v>
      </c>
      <c r="W375" t="s">
        <v>1878</v>
      </c>
      <c r="X375" s="175">
        <v>120203000</v>
      </c>
      <c r="Y375" t="s">
        <v>1879</v>
      </c>
      <c r="Z375" t="s">
        <v>2178</v>
      </c>
      <c r="AA375" t="s">
        <v>36</v>
      </c>
      <c r="AB375">
        <v>1</v>
      </c>
      <c r="AC375" t="s">
        <v>2185</v>
      </c>
      <c r="AD375" t="s">
        <v>3164</v>
      </c>
      <c r="AE375" t="s">
        <v>3165</v>
      </c>
      <c r="AF375" t="s">
        <v>3183</v>
      </c>
      <c r="AG375" t="s">
        <v>2298</v>
      </c>
      <c r="AH375" t="s">
        <v>2187</v>
      </c>
      <c r="AI375" t="s">
        <v>3197</v>
      </c>
      <c r="AJ375" t="s">
        <v>3197</v>
      </c>
      <c r="AK375" t="s">
        <v>3197</v>
      </c>
      <c r="AL375" t="s">
        <v>3197</v>
      </c>
      <c r="AM375" s="176">
        <v>77222222</v>
      </c>
      <c r="AN375" s="176">
        <v>167776389</v>
      </c>
      <c r="AO375" s="176">
        <v>168084680</v>
      </c>
      <c r="AP375" s="176">
        <v>78402221</v>
      </c>
      <c r="AQ375" s="176">
        <v>491485512</v>
      </c>
      <c r="AR375" t="s">
        <v>1518</v>
      </c>
      <c r="AS375" s="175">
        <v>11</v>
      </c>
    </row>
    <row r="376" spans="1:45" x14ac:dyDescent="0.25">
      <c r="A376">
        <v>2</v>
      </c>
      <c r="B376" t="s">
        <v>3255</v>
      </c>
      <c r="C376">
        <v>375</v>
      </c>
      <c r="D376" t="s">
        <v>264</v>
      </c>
      <c r="E376" t="s">
        <v>265</v>
      </c>
      <c r="F376" t="s">
        <v>2388</v>
      </c>
      <c r="G376" t="s">
        <v>1526</v>
      </c>
      <c r="H376" t="s">
        <v>1527</v>
      </c>
      <c r="I376" s="183">
        <v>38</v>
      </c>
      <c r="J376">
        <v>2023</v>
      </c>
      <c r="K376" t="s">
        <v>3153</v>
      </c>
      <c r="L376" t="s">
        <v>1529</v>
      </c>
      <c r="M376" t="s">
        <v>36</v>
      </c>
      <c r="O376" t="s">
        <v>1495</v>
      </c>
      <c r="P376">
        <v>12</v>
      </c>
      <c r="Q376" t="s">
        <v>1571</v>
      </c>
      <c r="R376" s="175">
        <v>1202</v>
      </c>
      <c r="S376" t="s">
        <v>1983</v>
      </c>
      <c r="T376" s="175">
        <v>1202030</v>
      </c>
      <c r="U376" t="s">
        <v>1876</v>
      </c>
      <c r="V376" t="s">
        <v>1877</v>
      </c>
      <c r="W376" t="s">
        <v>1878</v>
      </c>
      <c r="X376" s="175">
        <v>120203000</v>
      </c>
      <c r="Y376" t="s">
        <v>1879</v>
      </c>
      <c r="Z376" t="s">
        <v>1880</v>
      </c>
      <c r="AA376" t="s">
        <v>36</v>
      </c>
      <c r="AB376">
        <v>1</v>
      </c>
      <c r="AC376" t="s">
        <v>2185</v>
      </c>
      <c r="AD376" t="s">
        <v>3170</v>
      </c>
      <c r="AE376" t="s">
        <v>3165</v>
      </c>
      <c r="AF376" t="s">
        <v>3183</v>
      </c>
      <c r="AG376" t="s">
        <v>2298</v>
      </c>
      <c r="AH376" t="s">
        <v>2187</v>
      </c>
      <c r="AI376" t="s">
        <v>3197</v>
      </c>
      <c r="AJ376" t="s">
        <v>3197</v>
      </c>
      <c r="AK376" t="s">
        <v>3197</v>
      </c>
      <c r="AL376" t="s">
        <v>3197</v>
      </c>
      <c r="AM376" s="176">
        <v>99722222</v>
      </c>
      <c r="AN376" s="176">
        <v>220276389</v>
      </c>
      <c r="AO376" s="176">
        <v>220584680</v>
      </c>
      <c r="AP376" s="176">
        <v>100902221</v>
      </c>
      <c r="AQ376" s="176">
        <v>641485512</v>
      </c>
      <c r="AR376" t="s">
        <v>1518</v>
      </c>
      <c r="AS376" s="175">
        <v>11</v>
      </c>
    </row>
    <row r="377" spans="1:45" x14ac:dyDescent="0.25">
      <c r="A377">
        <v>2</v>
      </c>
      <c r="B377" t="s">
        <v>3255</v>
      </c>
      <c r="C377">
        <v>376</v>
      </c>
      <c r="D377" t="s">
        <v>264</v>
      </c>
      <c r="E377" t="s">
        <v>265</v>
      </c>
      <c r="F377" t="s">
        <v>2388</v>
      </c>
      <c r="G377" t="s">
        <v>1526</v>
      </c>
      <c r="H377" t="s">
        <v>1527</v>
      </c>
      <c r="I377" s="183">
        <v>38</v>
      </c>
      <c r="J377">
        <v>2023</v>
      </c>
      <c r="K377" t="s">
        <v>3153</v>
      </c>
      <c r="L377" t="s">
        <v>1529</v>
      </c>
      <c r="M377" t="s">
        <v>36</v>
      </c>
      <c r="O377" t="s">
        <v>1495</v>
      </c>
      <c r="P377" t="s">
        <v>1881</v>
      </c>
      <c r="Q377" t="s">
        <v>1882</v>
      </c>
      <c r="R377" s="175" t="s">
        <v>1572</v>
      </c>
      <c r="S377" t="s">
        <v>1573</v>
      </c>
      <c r="T377" s="175" t="s">
        <v>1574</v>
      </c>
      <c r="U377" t="s">
        <v>1575</v>
      </c>
      <c r="V377" t="s">
        <v>1576</v>
      </c>
      <c r="W377" t="s">
        <v>369</v>
      </c>
      <c r="X377" s="175" t="s">
        <v>1577</v>
      </c>
      <c r="Y377" t="s">
        <v>1578</v>
      </c>
      <c r="Z377" t="s">
        <v>2179</v>
      </c>
      <c r="AA377" t="s">
        <v>36</v>
      </c>
      <c r="AB377">
        <v>0</v>
      </c>
      <c r="AC377" t="s">
        <v>2185</v>
      </c>
      <c r="AD377" t="s">
        <v>3170</v>
      </c>
      <c r="AE377" t="s">
        <v>3165</v>
      </c>
      <c r="AF377" t="s">
        <v>3183</v>
      </c>
      <c r="AG377" t="s">
        <v>2298</v>
      </c>
      <c r="AH377" t="s">
        <v>2187</v>
      </c>
      <c r="AI377" t="s">
        <v>3197</v>
      </c>
      <c r="AJ377" t="s">
        <v>3197</v>
      </c>
      <c r="AK377" t="s">
        <v>3197</v>
      </c>
      <c r="AL377" t="s">
        <v>3197</v>
      </c>
      <c r="AM377" s="176">
        <v>69722222</v>
      </c>
      <c r="AN377" s="176">
        <v>150276389</v>
      </c>
      <c r="AO377" s="176">
        <v>150584680</v>
      </c>
      <c r="AP377" s="176">
        <v>70902221</v>
      </c>
      <c r="AQ377" s="176">
        <v>441485512</v>
      </c>
      <c r="AR377" t="s">
        <v>1518</v>
      </c>
      <c r="AS377" s="175">
        <v>11</v>
      </c>
    </row>
    <row r="378" spans="1:45" x14ac:dyDescent="0.25">
      <c r="A378">
        <v>2</v>
      </c>
      <c r="B378" t="s">
        <v>3255</v>
      </c>
      <c r="C378">
        <v>377</v>
      </c>
      <c r="D378" t="s">
        <v>224</v>
      </c>
      <c r="E378" t="s">
        <v>291</v>
      </c>
      <c r="F378" t="s">
        <v>2386</v>
      </c>
      <c r="G378" t="s">
        <v>891</v>
      </c>
      <c r="H378" t="s">
        <v>892</v>
      </c>
      <c r="I378" s="180" t="s">
        <v>893</v>
      </c>
      <c r="J378">
        <v>2018</v>
      </c>
      <c r="K378" t="s">
        <v>894</v>
      </c>
      <c r="L378" t="s">
        <v>895</v>
      </c>
      <c r="M378" t="s">
        <v>25</v>
      </c>
      <c r="N378" t="s">
        <v>688</v>
      </c>
      <c r="O378" t="s">
        <v>678</v>
      </c>
      <c r="P378">
        <v>17</v>
      </c>
      <c r="Q378" t="s">
        <v>680</v>
      </c>
      <c r="R378" s="175" t="s">
        <v>681</v>
      </c>
      <c r="S378" t="s">
        <v>682</v>
      </c>
      <c r="T378" s="175">
        <v>1702017</v>
      </c>
      <c r="U378" t="s">
        <v>1883</v>
      </c>
      <c r="V378" t="s">
        <v>1884</v>
      </c>
      <c r="W378" t="s">
        <v>1885</v>
      </c>
      <c r="X378" s="175">
        <v>170201700</v>
      </c>
      <c r="Y378" t="s">
        <v>1886</v>
      </c>
      <c r="Z378" t="s">
        <v>2131</v>
      </c>
      <c r="AA378" t="s">
        <v>36</v>
      </c>
      <c r="AB378">
        <v>0</v>
      </c>
      <c r="AC378" t="s">
        <v>2185</v>
      </c>
      <c r="AD378" t="s">
        <v>3170</v>
      </c>
      <c r="AE378" t="s">
        <v>3165</v>
      </c>
      <c r="AF378" t="s">
        <v>1778</v>
      </c>
      <c r="AH378" t="s">
        <v>2187</v>
      </c>
      <c r="AI378">
        <v>5</v>
      </c>
      <c r="AJ378">
        <v>10</v>
      </c>
      <c r="AK378">
        <v>10</v>
      </c>
      <c r="AL378">
        <v>10</v>
      </c>
      <c r="AM378" s="176">
        <v>104222222</v>
      </c>
      <c r="AN378" s="176">
        <v>230776389</v>
      </c>
      <c r="AO378" s="176">
        <v>231084680</v>
      </c>
      <c r="AP378" s="176">
        <v>105402221</v>
      </c>
      <c r="AQ378" s="176">
        <v>671485512</v>
      </c>
      <c r="AR378" t="s">
        <v>1518</v>
      </c>
      <c r="AS378" s="175">
        <v>11</v>
      </c>
    </row>
    <row r="379" spans="1:45" x14ac:dyDescent="0.25">
      <c r="A379">
        <v>2</v>
      </c>
      <c r="B379" t="s">
        <v>3255</v>
      </c>
      <c r="C379">
        <v>378</v>
      </c>
      <c r="D379" t="s">
        <v>224</v>
      </c>
      <c r="E379" t="s">
        <v>291</v>
      </c>
      <c r="F379" t="s">
        <v>2386</v>
      </c>
      <c r="G379" t="s">
        <v>891</v>
      </c>
      <c r="H379" t="s">
        <v>892</v>
      </c>
      <c r="I379" s="180" t="s">
        <v>893</v>
      </c>
      <c r="J379">
        <v>2018</v>
      </c>
      <c r="K379" t="s">
        <v>894</v>
      </c>
      <c r="L379" t="s">
        <v>895</v>
      </c>
      <c r="M379" t="s">
        <v>25</v>
      </c>
      <c r="N379" t="s">
        <v>688</v>
      </c>
      <c r="O379" t="s">
        <v>678</v>
      </c>
      <c r="P379">
        <v>32</v>
      </c>
      <c r="Q379" t="s">
        <v>854</v>
      </c>
      <c r="R379" s="175">
        <v>3208</v>
      </c>
      <c r="S379" t="s">
        <v>1887</v>
      </c>
      <c r="T379" s="175">
        <v>3208006</v>
      </c>
      <c r="U379" t="s">
        <v>1888</v>
      </c>
      <c r="V379" t="s">
        <v>873</v>
      </c>
      <c r="W379" t="s">
        <v>369</v>
      </c>
      <c r="X379" s="175">
        <v>320800600</v>
      </c>
      <c r="Y379" t="s">
        <v>1889</v>
      </c>
      <c r="Z379" t="s">
        <v>2132</v>
      </c>
      <c r="AA379" t="s">
        <v>36</v>
      </c>
      <c r="AB379">
        <v>0</v>
      </c>
      <c r="AC379" t="s">
        <v>2185</v>
      </c>
      <c r="AD379" t="s">
        <v>3184</v>
      </c>
      <c r="AE379" t="s">
        <v>3165</v>
      </c>
      <c r="AF379" t="s">
        <v>3185</v>
      </c>
      <c r="AG379" t="s">
        <v>2298</v>
      </c>
      <c r="AH379" t="s">
        <v>2187</v>
      </c>
      <c r="AI379">
        <v>1</v>
      </c>
      <c r="AJ379">
        <v>1</v>
      </c>
      <c r="AK379">
        <v>1</v>
      </c>
      <c r="AL379">
        <v>1</v>
      </c>
      <c r="AM379" s="176">
        <v>83222222</v>
      </c>
      <c r="AN379" s="176">
        <v>181776389</v>
      </c>
      <c r="AO379" s="176">
        <v>182084680</v>
      </c>
      <c r="AP379" s="176">
        <v>84402221</v>
      </c>
      <c r="AQ379" s="176">
        <v>531485512</v>
      </c>
      <c r="AR379" t="s">
        <v>1518</v>
      </c>
      <c r="AS379" s="175">
        <v>11</v>
      </c>
    </row>
    <row r="380" spans="1:45" x14ac:dyDescent="0.25">
      <c r="A380">
        <v>2</v>
      </c>
      <c r="B380" t="s">
        <v>3255</v>
      </c>
      <c r="C380">
        <v>379</v>
      </c>
      <c r="D380" t="s">
        <v>630</v>
      </c>
      <c r="E380" t="s">
        <v>314</v>
      </c>
      <c r="F380" t="s">
        <v>2385</v>
      </c>
      <c r="G380" t="s">
        <v>993</v>
      </c>
      <c r="H380" t="s">
        <v>994</v>
      </c>
      <c r="I380" s="189">
        <v>0.31979999999999997</v>
      </c>
      <c r="J380">
        <v>2021</v>
      </c>
      <c r="K380" t="s">
        <v>3107</v>
      </c>
      <c r="L380" t="s">
        <v>996</v>
      </c>
      <c r="M380" t="s">
        <v>25</v>
      </c>
      <c r="O380" t="s">
        <v>318</v>
      </c>
      <c r="P380">
        <v>39</v>
      </c>
      <c r="Q380" t="s">
        <v>1890</v>
      </c>
      <c r="R380" s="175">
        <v>3906</v>
      </c>
      <c r="S380" t="s">
        <v>1006</v>
      </c>
      <c r="T380" s="175">
        <v>3906001</v>
      </c>
      <c r="U380" t="s">
        <v>1990</v>
      </c>
      <c r="V380" t="s">
        <v>1991</v>
      </c>
      <c r="W380" t="s">
        <v>203</v>
      </c>
      <c r="X380" s="175">
        <v>390600100</v>
      </c>
      <c r="Y380" t="s">
        <v>1891</v>
      </c>
      <c r="Z380" t="s">
        <v>2422</v>
      </c>
      <c r="AA380" t="s">
        <v>36</v>
      </c>
      <c r="AB380">
        <v>0</v>
      </c>
      <c r="AC380" t="s">
        <v>2185</v>
      </c>
      <c r="AD380" t="s">
        <v>3170</v>
      </c>
      <c r="AE380" t="s">
        <v>3165</v>
      </c>
      <c r="AF380" t="s">
        <v>3185</v>
      </c>
      <c r="AG380" t="s">
        <v>2298</v>
      </c>
      <c r="AH380" t="s">
        <v>2187</v>
      </c>
      <c r="AI380">
        <v>5</v>
      </c>
      <c r="AJ380">
        <v>10</v>
      </c>
      <c r="AK380">
        <v>10</v>
      </c>
      <c r="AL380">
        <v>5</v>
      </c>
      <c r="AM380" s="176">
        <v>89222222</v>
      </c>
      <c r="AN380" s="176">
        <v>195776389</v>
      </c>
      <c r="AO380" s="176">
        <v>196084680</v>
      </c>
      <c r="AP380" s="176">
        <v>90402221</v>
      </c>
      <c r="AQ380" s="176">
        <v>571485512</v>
      </c>
      <c r="AR380" t="s">
        <v>1518</v>
      </c>
      <c r="AS380" s="175">
        <v>11</v>
      </c>
    </row>
    <row r="381" spans="1:45" x14ac:dyDescent="0.25">
      <c r="A381">
        <v>2</v>
      </c>
      <c r="B381" t="s">
        <v>3255</v>
      </c>
      <c r="C381">
        <v>380</v>
      </c>
      <c r="D381" t="s">
        <v>19</v>
      </c>
      <c r="E381" t="s">
        <v>20</v>
      </c>
      <c r="F381" t="s">
        <v>2387</v>
      </c>
      <c r="G381" t="s">
        <v>112</v>
      </c>
      <c r="H381" t="s">
        <v>113</v>
      </c>
      <c r="I381" s="179">
        <v>0.307</v>
      </c>
      <c r="J381">
        <v>2022</v>
      </c>
      <c r="K381" t="s">
        <v>114</v>
      </c>
      <c r="L381" t="s">
        <v>115</v>
      </c>
      <c r="M381" t="s">
        <v>25</v>
      </c>
      <c r="O381" t="s">
        <v>26</v>
      </c>
      <c r="P381">
        <v>22</v>
      </c>
      <c r="Q381" t="s">
        <v>28</v>
      </c>
      <c r="R381" s="175" t="s">
        <v>127</v>
      </c>
      <c r="S381" t="s">
        <v>122</v>
      </c>
      <c r="T381" s="175" t="s">
        <v>123</v>
      </c>
      <c r="U381" t="s">
        <v>124</v>
      </c>
      <c r="V381" t="s">
        <v>125</v>
      </c>
      <c r="W381" t="s">
        <v>119</v>
      </c>
      <c r="X381" s="175" t="s">
        <v>1892</v>
      </c>
      <c r="Y381" t="s">
        <v>126</v>
      </c>
      <c r="Z381" t="s">
        <v>2423</v>
      </c>
      <c r="AA381" t="s">
        <v>36</v>
      </c>
      <c r="AB381">
        <v>0</v>
      </c>
      <c r="AC381" t="s">
        <v>2185</v>
      </c>
      <c r="AD381" t="s">
        <v>3170</v>
      </c>
      <c r="AE381" t="s">
        <v>3165</v>
      </c>
      <c r="AF381" t="s">
        <v>3185</v>
      </c>
      <c r="AH381" t="s">
        <v>2187</v>
      </c>
      <c r="AI381">
        <v>10</v>
      </c>
      <c r="AJ381">
        <v>20</v>
      </c>
      <c r="AK381">
        <v>35</v>
      </c>
      <c r="AL381">
        <v>35</v>
      </c>
      <c r="AM381" s="176">
        <v>104222222</v>
      </c>
      <c r="AN381" s="176">
        <v>230776389</v>
      </c>
      <c r="AO381" s="176">
        <v>231084680</v>
      </c>
      <c r="AP381" s="176">
        <v>105402221</v>
      </c>
      <c r="AQ381" s="176">
        <v>671485512</v>
      </c>
      <c r="AR381" t="s">
        <v>1518</v>
      </c>
      <c r="AS381" s="175">
        <v>11</v>
      </c>
    </row>
    <row r="382" spans="1:45" x14ac:dyDescent="0.25">
      <c r="A382">
        <v>2</v>
      </c>
      <c r="B382" t="s">
        <v>3255</v>
      </c>
      <c r="C382">
        <v>381</v>
      </c>
      <c r="D382" t="s">
        <v>328</v>
      </c>
      <c r="E382" t="s">
        <v>465</v>
      </c>
      <c r="F382" t="s">
        <v>2384</v>
      </c>
      <c r="G382" t="s">
        <v>1514</v>
      </c>
      <c r="H382" t="s">
        <v>1515</v>
      </c>
      <c r="I382" s="180">
        <v>0.23710000000000001</v>
      </c>
      <c r="J382">
        <v>2023</v>
      </c>
      <c r="K382" t="s">
        <v>3151</v>
      </c>
      <c r="L382" t="s">
        <v>1517</v>
      </c>
      <c r="M382" t="s">
        <v>25</v>
      </c>
      <c r="N382" t="s">
        <v>27</v>
      </c>
      <c r="O382" t="s">
        <v>1518</v>
      </c>
      <c r="P382">
        <v>45</v>
      </c>
      <c r="Q382" t="s">
        <v>940</v>
      </c>
      <c r="R382" s="175" t="s">
        <v>1467</v>
      </c>
      <c r="S382" t="s">
        <v>1468</v>
      </c>
      <c r="T382" s="175" t="s">
        <v>1502</v>
      </c>
      <c r="U382" t="s">
        <v>1503</v>
      </c>
      <c r="V382" t="s">
        <v>1504</v>
      </c>
      <c r="W382" t="s">
        <v>792</v>
      </c>
      <c r="X382" s="175" t="s">
        <v>1505</v>
      </c>
      <c r="Y382" t="s">
        <v>1506</v>
      </c>
      <c r="Z382" t="s">
        <v>1893</v>
      </c>
      <c r="AA382" t="s">
        <v>36</v>
      </c>
      <c r="AB382">
        <v>7</v>
      </c>
      <c r="AC382" t="s">
        <v>2185</v>
      </c>
      <c r="AD382" t="s">
        <v>3170</v>
      </c>
      <c r="AE382" t="s">
        <v>3165</v>
      </c>
      <c r="AF382" t="s">
        <v>1778</v>
      </c>
      <c r="AG382" t="s">
        <v>2298</v>
      </c>
      <c r="AH382" t="s">
        <v>2187</v>
      </c>
      <c r="AI382">
        <v>1</v>
      </c>
      <c r="AJ382">
        <v>3</v>
      </c>
      <c r="AK382">
        <v>2</v>
      </c>
      <c r="AL382">
        <v>1</v>
      </c>
      <c r="AM382" s="176">
        <v>104222222</v>
      </c>
      <c r="AN382" s="176">
        <v>230776389</v>
      </c>
      <c r="AO382" s="176">
        <v>231084680</v>
      </c>
      <c r="AP382" s="176">
        <v>105402221</v>
      </c>
      <c r="AQ382" s="176">
        <v>671485512</v>
      </c>
      <c r="AR382" t="s">
        <v>1518</v>
      </c>
      <c r="AS382" s="175">
        <v>11</v>
      </c>
    </row>
    <row r="383" spans="1:45" x14ac:dyDescent="0.25">
      <c r="A383">
        <v>2</v>
      </c>
      <c r="B383" t="s">
        <v>3255</v>
      </c>
      <c r="C383">
        <v>382</v>
      </c>
      <c r="D383" t="s">
        <v>328</v>
      </c>
      <c r="E383" t="s">
        <v>465</v>
      </c>
      <c r="F383" t="s">
        <v>2384</v>
      </c>
      <c r="G383" t="s">
        <v>1514</v>
      </c>
      <c r="H383" t="s">
        <v>1515</v>
      </c>
      <c r="I383" s="180">
        <v>0.23710000000000001</v>
      </c>
      <c r="J383">
        <v>2023</v>
      </c>
      <c r="K383" t="s">
        <v>3151</v>
      </c>
      <c r="L383" t="s">
        <v>1517</v>
      </c>
      <c r="M383" t="s">
        <v>25</v>
      </c>
      <c r="N383" t="s">
        <v>27</v>
      </c>
      <c r="O383" t="s">
        <v>1518</v>
      </c>
      <c r="P383">
        <v>45</v>
      </c>
      <c r="Q383" t="s">
        <v>940</v>
      </c>
      <c r="R383" s="175" t="s">
        <v>1467</v>
      </c>
      <c r="S383" t="s">
        <v>1468</v>
      </c>
      <c r="T383" s="175" t="s">
        <v>1477</v>
      </c>
      <c r="U383" t="s">
        <v>1478</v>
      </c>
      <c r="V383" t="s">
        <v>944</v>
      </c>
      <c r="W383" t="s">
        <v>203</v>
      </c>
      <c r="X383" s="175" t="s">
        <v>1479</v>
      </c>
      <c r="Y383" t="s">
        <v>297</v>
      </c>
      <c r="Z383" t="s">
        <v>2135</v>
      </c>
      <c r="AA383" t="s">
        <v>36</v>
      </c>
      <c r="AB383">
        <v>4500</v>
      </c>
      <c r="AC383" t="s">
        <v>2185</v>
      </c>
      <c r="AD383" t="s">
        <v>3170</v>
      </c>
      <c r="AE383" t="s">
        <v>3165</v>
      </c>
      <c r="AF383" t="s">
        <v>1778</v>
      </c>
      <c r="AG383" t="s">
        <v>2298</v>
      </c>
      <c r="AH383" t="s">
        <v>2187</v>
      </c>
      <c r="AI383">
        <v>300</v>
      </c>
      <c r="AJ383">
        <v>1500</v>
      </c>
      <c r="AK383">
        <v>1500</v>
      </c>
      <c r="AL383">
        <v>1200</v>
      </c>
      <c r="AM383" s="176">
        <v>89222222</v>
      </c>
      <c r="AN383" s="176">
        <v>195776389</v>
      </c>
      <c r="AO383" s="176">
        <v>196084680</v>
      </c>
      <c r="AP383" s="176">
        <v>90402221</v>
      </c>
      <c r="AQ383" s="176">
        <v>571485512</v>
      </c>
      <c r="AR383" t="s">
        <v>1518</v>
      </c>
      <c r="AS383" s="175">
        <v>11</v>
      </c>
    </row>
    <row r="384" spans="1:45" x14ac:dyDescent="0.25">
      <c r="A384">
        <v>2</v>
      </c>
      <c r="B384" t="s">
        <v>3255</v>
      </c>
      <c r="C384">
        <v>383</v>
      </c>
      <c r="D384" t="s">
        <v>328</v>
      </c>
      <c r="E384" t="s">
        <v>465</v>
      </c>
      <c r="F384" t="s">
        <v>2384</v>
      </c>
      <c r="G384" t="s">
        <v>466</v>
      </c>
      <c r="H384" t="s">
        <v>467</v>
      </c>
      <c r="I384" s="183">
        <v>80</v>
      </c>
      <c r="J384">
        <v>2022</v>
      </c>
      <c r="K384" t="s">
        <v>468</v>
      </c>
      <c r="L384" t="s">
        <v>469</v>
      </c>
      <c r="M384" t="s">
        <v>36</v>
      </c>
      <c r="O384" t="s">
        <v>470</v>
      </c>
      <c r="P384">
        <v>45</v>
      </c>
      <c r="Q384" t="s">
        <v>940</v>
      </c>
      <c r="R384" s="175" t="s">
        <v>1467</v>
      </c>
      <c r="S384" t="s">
        <v>1468</v>
      </c>
      <c r="T384" s="175" t="s">
        <v>1471</v>
      </c>
      <c r="U384" t="s">
        <v>232</v>
      </c>
      <c r="V384" t="s">
        <v>1472</v>
      </c>
      <c r="W384" t="s">
        <v>1473</v>
      </c>
      <c r="X384" s="175" t="s">
        <v>1474</v>
      </c>
      <c r="Y384" t="s">
        <v>1475</v>
      </c>
      <c r="Z384" t="s">
        <v>3186</v>
      </c>
      <c r="AA384" t="s">
        <v>36</v>
      </c>
      <c r="AB384">
        <v>4</v>
      </c>
      <c r="AC384" t="s">
        <v>2185</v>
      </c>
      <c r="AD384" t="s">
        <v>3170</v>
      </c>
      <c r="AE384" t="s">
        <v>3165</v>
      </c>
      <c r="AF384" t="s">
        <v>1778</v>
      </c>
      <c r="AG384" t="s">
        <v>2298</v>
      </c>
      <c r="AH384" t="s">
        <v>2187</v>
      </c>
      <c r="AI384">
        <v>3</v>
      </c>
      <c r="AJ384">
        <v>1</v>
      </c>
      <c r="AK384">
        <v>1</v>
      </c>
      <c r="AL384">
        <v>1</v>
      </c>
      <c r="AM384" s="176">
        <v>609722222</v>
      </c>
      <c r="AN384" s="176">
        <v>1410276389</v>
      </c>
      <c r="AO384" s="176">
        <v>1410584680</v>
      </c>
      <c r="AP384" s="176">
        <v>441922266</v>
      </c>
      <c r="AQ384" s="176">
        <v>3872505557</v>
      </c>
      <c r="AR384" t="s">
        <v>1518</v>
      </c>
      <c r="AS384" s="175">
        <v>11</v>
      </c>
    </row>
    <row r="385" spans="1:45" x14ac:dyDescent="0.25">
      <c r="A385">
        <v>2</v>
      </c>
      <c r="B385" t="s">
        <v>3255</v>
      </c>
      <c r="C385">
        <v>384</v>
      </c>
      <c r="D385" t="s">
        <v>328</v>
      </c>
      <c r="E385" t="s">
        <v>465</v>
      </c>
      <c r="F385" t="s">
        <v>2384</v>
      </c>
      <c r="G385" t="s">
        <v>466</v>
      </c>
      <c r="H385" t="s">
        <v>467</v>
      </c>
      <c r="I385" s="183">
        <v>80</v>
      </c>
      <c r="J385">
        <v>2022</v>
      </c>
      <c r="K385" t="s">
        <v>468</v>
      </c>
      <c r="L385" t="s">
        <v>469</v>
      </c>
      <c r="M385" t="s">
        <v>36</v>
      </c>
      <c r="O385" t="s">
        <v>470</v>
      </c>
      <c r="P385" t="s">
        <v>785</v>
      </c>
      <c r="Q385" t="s">
        <v>786</v>
      </c>
      <c r="R385" s="175" t="s">
        <v>1488</v>
      </c>
      <c r="S385" t="s">
        <v>1143</v>
      </c>
      <c r="T385" s="175" t="s">
        <v>1894</v>
      </c>
      <c r="U385" t="s">
        <v>1895</v>
      </c>
      <c r="V385" t="s">
        <v>1499</v>
      </c>
      <c r="W385" t="s">
        <v>301</v>
      </c>
      <c r="X385" s="175" t="s">
        <v>1896</v>
      </c>
      <c r="Y385" t="s">
        <v>1897</v>
      </c>
      <c r="Z385" t="s">
        <v>1992</v>
      </c>
      <c r="AA385" t="s">
        <v>764</v>
      </c>
      <c r="AB385">
        <v>1</v>
      </c>
      <c r="AC385" t="s">
        <v>2192</v>
      </c>
      <c r="AD385" t="s">
        <v>2199</v>
      </c>
      <c r="AE385" t="s">
        <v>2187</v>
      </c>
      <c r="AF385" t="s">
        <v>1898</v>
      </c>
      <c r="AG385" t="s">
        <v>2200</v>
      </c>
      <c r="AH385" t="s">
        <v>2187</v>
      </c>
      <c r="AI385">
        <v>1</v>
      </c>
      <c r="AJ385">
        <v>1</v>
      </c>
      <c r="AK385">
        <v>1</v>
      </c>
      <c r="AL385">
        <v>1</v>
      </c>
      <c r="AM385" s="176">
        <v>2765704890</v>
      </c>
      <c r="AN385" s="176">
        <v>2922750069</v>
      </c>
      <c r="AO385" s="176">
        <v>3119886153</v>
      </c>
      <c r="AP385" s="176">
        <v>3095656348</v>
      </c>
      <c r="AQ385" s="176">
        <v>11903997460</v>
      </c>
      <c r="AR385" t="s">
        <v>1899</v>
      </c>
      <c r="AS385" s="175">
        <v>2</v>
      </c>
    </row>
    <row r="386" spans="1:45" x14ac:dyDescent="0.25">
      <c r="A386">
        <v>2</v>
      </c>
      <c r="B386" t="s">
        <v>3255</v>
      </c>
      <c r="C386">
        <v>385</v>
      </c>
      <c r="D386" t="s">
        <v>328</v>
      </c>
      <c r="E386" t="s">
        <v>465</v>
      </c>
      <c r="F386" t="s">
        <v>2384</v>
      </c>
      <c r="G386" t="s">
        <v>466</v>
      </c>
      <c r="H386" t="s">
        <v>467</v>
      </c>
      <c r="I386" s="183">
        <v>80</v>
      </c>
      <c r="J386">
        <v>2022</v>
      </c>
      <c r="K386" t="s">
        <v>468</v>
      </c>
      <c r="L386" t="s">
        <v>469</v>
      </c>
      <c r="M386" t="s">
        <v>36</v>
      </c>
      <c r="O386" t="s">
        <v>470</v>
      </c>
      <c r="P386" t="s">
        <v>785</v>
      </c>
      <c r="Q386" t="s">
        <v>786</v>
      </c>
      <c r="R386" s="175" t="s">
        <v>1488</v>
      </c>
      <c r="S386" t="s">
        <v>1143</v>
      </c>
      <c r="T386" s="175" t="s">
        <v>1489</v>
      </c>
      <c r="U386" t="s">
        <v>1000</v>
      </c>
      <c r="V386" t="s">
        <v>1490</v>
      </c>
      <c r="W386" t="s">
        <v>500</v>
      </c>
      <c r="X386" s="175" t="s">
        <v>1491</v>
      </c>
      <c r="Y386" t="s">
        <v>829</v>
      </c>
      <c r="Z386" t="s">
        <v>1900</v>
      </c>
      <c r="AA386" t="s">
        <v>764</v>
      </c>
      <c r="AB386">
        <v>0</v>
      </c>
      <c r="AC386" t="s">
        <v>2185</v>
      </c>
      <c r="AD386" t="s">
        <v>3187</v>
      </c>
      <c r="AE386" t="s">
        <v>3188</v>
      </c>
      <c r="AF386" t="s">
        <v>2202</v>
      </c>
      <c r="AG386" t="s">
        <v>3189</v>
      </c>
      <c r="AH386" t="s">
        <v>2187</v>
      </c>
      <c r="AI386" t="s">
        <v>3198</v>
      </c>
      <c r="AJ386" t="s">
        <v>3199</v>
      </c>
      <c r="AK386" t="s">
        <v>3204</v>
      </c>
      <c r="AL386" t="s">
        <v>3202</v>
      </c>
      <c r="AM386" s="176">
        <v>200000000</v>
      </c>
      <c r="AN386" s="176">
        <v>212000000</v>
      </c>
      <c r="AO386" s="176">
        <v>108906418</v>
      </c>
      <c r="AP386" s="176">
        <v>230000000</v>
      </c>
      <c r="AQ386" s="176">
        <v>750906418</v>
      </c>
      <c r="AR386" t="s">
        <v>1899</v>
      </c>
      <c r="AS386" s="175">
        <v>2</v>
      </c>
    </row>
    <row r="387" spans="1:45" x14ac:dyDescent="0.25">
      <c r="A387">
        <v>2</v>
      </c>
      <c r="B387" t="s">
        <v>3255</v>
      </c>
      <c r="C387">
        <v>386</v>
      </c>
      <c r="D387" t="s">
        <v>328</v>
      </c>
      <c r="E387" t="s">
        <v>465</v>
      </c>
      <c r="F387" t="s">
        <v>2384</v>
      </c>
      <c r="G387" t="s">
        <v>466</v>
      </c>
      <c r="H387" t="s">
        <v>467</v>
      </c>
      <c r="I387" s="183">
        <v>80</v>
      </c>
      <c r="J387">
        <v>2022</v>
      </c>
      <c r="K387" t="s">
        <v>1635</v>
      </c>
      <c r="L387" t="s">
        <v>469</v>
      </c>
      <c r="M387" t="s">
        <v>36</v>
      </c>
      <c r="O387" t="s">
        <v>470</v>
      </c>
      <c r="P387" t="s">
        <v>785</v>
      </c>
      <c r="Q387" t="s">
        <v>786</v>
      </c>
      <c r="R387" s="175" t="s">
        <v>1488</v>
      </c>
      <c r="S387" t="s">
        <v>1143</v>
      </c>
      <c r="T387" s="175" t="s">
        <v>1903</v>
      </c>
      <c r="U387" t="s">
        <v>1904</v>
      </c>
      <c r="V387" t="s">
        <v>1905</v>
      </c>
      <c r="W387" t="s">
        <v>25</v>
      </c>
      <c r="X387" s="175" t="s">
        <v>1906</v>
      </c>
      <c r="Y387" t="s">
        <v>1907</v>
      </c>
      <c r="Z387" t="s">
        <v>2485</v>
      </c>
      <c r="AA387" t="s">
        <v>25</v>
      </c>
      <c r="AB387">
        <v>265880326200</v>
      </c>
      <c r="AC387" t="s">
        <v>2185</v>
      </c>
      <c r="AD387" t="s">
        <v>2186</v>
      </c>
      <c r="AE387" t="s">
        <v>2187</v>
      </c>
      <c r="AF387" t="s">
        <v>2425</v>
      </c>
      <c r="AG387" t="s">
        <v>2184</v>
      </c>
      <c r="AH387" t="s">
        <v>2187</v>
      </c>
      <c r="AI387" t="s">
        <v>3236</v>
      </c>
      <c r="AJ387" t="s">
        <v>3236</v>
      </c>
      <c r="AK387" t="s">
        <v>3236</v>
      </c>
      <c r="AL387" t="s">
        <v>3236</v>
      </c>
      <c r="AM387" s="176">
        <v>1771546964</v>
      </c>
      <c r="AN387" s="176" t="s">
        <v>2990</v>
      </c>
      <c r="AO387" s="176" t="s">
        <v>2991</v>
      </c>
      <c r="AP387" s="176" t="s">
        <v>2992</v>
      </c>
      <c r="AQ387" s="176" t="s">
        <v>2993</v>
      </c>
      <c r="AR387" t="s">
        <v>3190</v>
      </c>
      <c r="AS387" s="175">
        <v>9</v>
      </c>
    </row>
    <row r="388" spans="1:45" x14ac:dyDescent="0.25">
      <c r="A388">
        <v>2</v>
      </c>
      <c r="B388" t="s">
        <v>3255</v>
      </c>
      <c r="C388">
        <v>387</v>
      </c>
      <c r="D388" t="s">
        <v>328</v>
      </c>
      <c r="E388" t="s">
        <v>465</v>
      </c>
      <c r="F388" t="s">
        <v>2384</v>
      </c>
      <c r="G388" t="s">
        <v>466</v>
      </c>
      <c r="H388" t="s">
        <v>467</v>
      </c>
      <c r="I388" s="183">
        <v>80</v>
      </c>
      <c r="J388">
        <v>2022</v>
      </c>
      <c r="K388" t="s">
        <v>1635</v>
      </c>
      <c r="L388" t="s">
        <v>469</v>
      </c>
      <c r="M388" t="s">
        <v>36</v>
      </c>
      <c r="O388" t="s">
        <v>470</v>
      </c>
      <c r="P388">
        <v>45</v>
      </c>
      <c r="Q388" t="s">
        <v>940</v>
      </c>
      <c r="R388" s="175" t="s">
        <v>1488</v>
      </c>
      <c r="S388" t="s">
        <v>1143</v>
      </c>
      <c r="T388" s="175" t="s">
        <v>1909</v>
      </c>
      <c r="U388" t="s">
        <v>619</v>
      </c>
      <c r="V388" t="s">
        <v>1032</v>
      </c>
      <c r="W388" t="s">
        <v>500</v>
      </c>
      <c r="X388" s="175" t="s">
        <v>1910</v>
      </c>
      <c r="Y388" t="s">
        <v>621</v>
      </c>
      <c r="Z388" t="s">
        <v>1911</v>
      </c>
      <c r="AA388" t="s">
        <v>36</v>
      </c>
      <c r="AB388">
        <v>1000</v>
      </c>
      <c r="AC388" t="s">
        <v>2185</v>
      </c>
      <c r="AF388" t="s">
        <v>1547</v>
      </c>
      <c r="AG388" t="s">
        <v>2200</v>
      </c>
      <c r="AH388" t="s">
        <v>2187</v>
      </c>
      <c r="AI388">
        <v>103</v>
      </c>
      <c r="AJ388">
        <v>133</v>
      </c>
      <c r="AK388">
        <v>134</v>
      </c>
      <c r="AL388">
        <v>40</v>
      </c>
      <c r="AM388" s="176">
        <v>100000000</v>
      </c>
      <c r="AN388" s="176">
        <v>125000000</v>
      </c>
      <c r="AO388" s="176">
        <v>150406121</v>
      </c>
      <c r="AP388" s="176">
        <v>156196757</v>
      </c>
      <c r="AQ388" s="176">
        <v>531602878</v>
      </c>
      <c r="AR388" t="s">
        <v>470</v>
      </c>
      <c r="AS388" s="175">
        <v>13</v>
      </c>
    </row>
    <row r="389" spans="1:45" x14ac:dyDescent="0.25">
      <c r="A389">
        <v>2</v>
      </c>
      <c r="B389" t="s">
        <v>3255</v>
      </c>
      <c r="C389">
        <v>388</v>
      </c>
      <c r="D389" t="s">
        <v>328</v>
      </c>
      <c r="E389" t="s">
        <v>465</v>
      </c>
      <c r="F389" t="s">
        <v>2384</v>
      </c>
      <c r="G389" t="s">
        <v>466</v>
      </c>
      <c r="H389" t="s">
        <v>467</v>
      </c>
      <c r="I389" s="183">
        <v>80</v>
      </c>
      <c r="J389">
        <v>2022</v>
      </c>
      <c r="K389" t="s">
        <v>1635</v>
      </c>
      <c r="L389" t="s">
        <v>469</v>
      </c>
      <c r="M389" t="s">
        <v>36</v>
      </c>
      <c r="O389" t="s">
        <v>470</v>
      </c>
      <c r="P389">
        <v>45</v>
      </c>
      <c r="Q389" t="s">
        <v>940</v>
      </c>
      <c r="R389" s="175" t="s">
        <v>1488</v>
      </c>
      <c r="S389" t="s">
        <v>1143</v>
      </c>
      <c r="T389" s="175" t="s">
        <v>1912</v>
      </c>
      <c r="U389" t="s">
        <v>768</v>
      </c>
      <c r="V389" t="s">
        <v>1913</v>
      </c>
      <c r="W389" t="s">
        <v>500</v>
      </c>
      <c r="X389" s="175" t="s">
        <v>1914</v>
      </c>
      <c r="Y389" t="s">
        <v>1915</v>
      </c>
      <c r="Z389" t="s">
        <v>1916</v>
      </c>
      <c r="AA389" t="s">
        <v>36</v>
      </c>
      <c r="AB389">
        <v>36</v>
      </c>
      <c r="AC389" t="s">
        <v>2185</v>
      </c>
      <c r="AF389" t="s">
        <v>1547</v>
      </c>
      <c r="AG389" t="s">
        <v>2200</v>
      </c>
      <c r="AH389" t="s">
        <v>2187</v>
      </c>
      <c r="AI389">
        <v>36</v>
      </c>
      <c r="AJ389">
        <v>36</v>
      </c>
      <c r="AK389">
        <v>36</v>
      </c>
      <c r="AL389">
        <v>36</v>
      </c>
      <c r="AM389" s="176">
        <v>120000000</v>
      </c>
      <c r="AN389" s="176">
        <v>125000000</v>
      </c>
      <c r="AO389" s="176">
        <v>170000000</v>
      </c>
      <c r="AP389" s="176">
        <v>200000000</v>
      </c>
      <c r="AQ389" s="176">
        <v>615000000</v>
      </c>
      <c r="AR389" t="s">
        <v>470</v>
      </c>
      <c r="AS389" s="175">
        <v>13</v>
      </c>
    </row>
    <row r="390" spans="1:45" x14ac:dyDescent="0.25">
      <c r="A390">
        <v>2</v>
      </c>
      <c r="B390" t="s">
        <v>3255</v>
      </c>
      <c r="C390">
        <v>389</v>
      </c>
      <c r="D390" t="s">
        <v>328</v>
      </c>
      <c r="E390" t="s">
        <v>465</v>
      </c>
      <c r="F390" t="s">
        <v>2384</v>
      </c>
      <c r="G390" t="s">
        <v>466</v>
      </c>
      <c r="H390" t="s">
        <v>467</v>
      </c>
      <c r="I390" s="183">
        <v>80</v>
      </c>
      <c r="J390">
        <v>2022</v>
      </c>
      <c r="K390" t="s">
        <v>1635</v>
      </c>
      <c r="L390" t="s">
        <v>469</v>
      </c>
      <c r="M390" t="s">
        <v>36</v>
      </c>
      <c r="O390" t="s">
        <v>470</v>
      </c>
      <c r="P390">
        <v>45</v>
      </c>
      <c r="Q390" t="s">
        <v>940</v>
      </c>
      <c r="R390" s="175" t="s">
        <v>1488</v>
      </c>
      <c r="S390" t="s">
        <v>1143</v>
      </c>
      <c r="T390" s="175" t="s">
        <v>1917</v>
      </c>
      <c r="U390" t="s">
        <v>1918</v>
      </c>
      <c r="V390" t="s">
        <v>1919</v>
      </c>
      <c r="W390" t="s">
        <v>968</v>
      </c>
      <c r="X390" s="175">
        <v>459902300</v>
      </c>
      <c r="Y390" t="s">
        <v>2314</v>
      </c>
      <c r="Z390" t="s">
        <v>1920</v>
      </c>
      <c r="AA390" t="s">
        <v>36</v>
      </c>
      <c r="AB390">
        <v>1</v>
      </c>
      <c r="AC390" t="s">
        <v>2185</v>
      </c>
      <c r="AF390" t="s">
        <v>1547</v>
      </c>
      <c r="AG390" t="s">
        <v>2200</v>
      </c>
      <c r="AH390" t="s">
        <v>2187</v>
      </c>
      <c r="AI390">
        <v>2</v>
      </c>
      <c r="AJ390">
        <v>1</v>
      </c>
      <c r="AK390">
        <v>1</v>
      </c>
      <c r="AL390">
        <v>1</v>
      </c>
      <c r="AM390" s="176">
        <v>550000000</v>
      </c>
      <c r="AN390" s="176">
        <v>580000000</v>
      </c>
      <c r="AO390" s="176">
        <v>570000000</v>
      </c>
      <c r="AP390" s="176">
        <v>650000000</v>
      </c>
      <c r="AQ390" s="176">
        <v>2350000000</v>
      </c>
      <c r="AR390" t="s">
        <v>470</v>
      </c>
      <c r="AS390" s="175">
        <v>13</v>
      </c>
    </row>
    <row r="391" spans="1:45" x14ac:dyDescent="0.25">
      <c r="A391">
        <v>2</v>
      </c>
      <c r="B391" t="s">
        <v>3255</v>
      </c>
      <c r="C391">
        <v>390</v>
      </c>
      <c r="D391" t="s">
        <v>328</v>
      </c>
      <c r="E391" t="s">
        <v>465</v>
      </c>
      <c r="F391" t="s">
        <v>2384</v>
      </c>
      <c r="G391" t="s">
        <v>466</v>
      </c>
      <c r="H391" t="s">
        <v>467</v>
      </c>
      <c r="I391" s="183">
        <v>80</v>
      </c>
      <c r="J391">
        <v>2022</v>
      </c>
      <c r="K391" t="s">
        <v>1635</v>
      </c>
      <c r="L391" t="s">
        <v>469</v>
      </c>
      <c r="M391" t="s">
        <v>36</v>
      </c>
      <c r="O391" t="s">
        <v>470</v>
      </c>
      <c r="P391">
        <v>45</v>
      </c>
      <c r="Q391" t="s">
        <v>940</v>
      </c>
      <c r="R391" s="175" t="s">
        <v>1488</v>
      </c>
      <c r="S391" t="s">
        <v>1143</v>
      </c>
      <c r="T391" s="175" t="s">
        <v>1636</v>
      </c>
      <c r="U391" t="s">
        <v>232</v>
      </c>
      <c r="V391" t="s">
        <v>1637</v>
      </c>
      <c r="W391" t="s">
        <v>1638</v>
      </c>
      <c r="X391" s="175" t="s">
        <v>1639</v>
      </c>
      <c r="Y391" t="s">
        <v>1640</v>
      </c>
      <c r="Z391" t="s">
        <v>1921</v>
      </c>
      <c r="AA391" t="s">
        <v>36</v>
      </c>
      <c r="AB391">
        <v>0</v>
      </c>
      <c r="AC391" t="s">
        <v>2185</v>
      </c>
      <c r="AF391" t="s">
        <v>1547</v>
      </c>
      <c r="AG391" t="s">
        <v>2200</v>
      </c>
      <c r="AH391" t="s">
        <v>2187</v>
      </c>
      <c r="AI391">
        <v>3</v>
      </c>
      <c r="AJ391">
        <v>3</v>
      </c>
      <c r="AK391">
        <v>3</v>
      </c>
      <c r="AL391">
        <v>3</v>
      </c>
      <c r="AM391" s="176">
        <v>50000000</v>
      </c>
      <c r="AN391" s="176">
        <v>52935000</v>
      </c>
      <c r="AO391" s="176">
        <v>54973000</v>
      </c>
      <c r="AP391" s="176">
        <v>57089460</v>
      </c>
      <c r="AQ391" s="176">
        <v>214997460</v>
      </c>
      <c r="AR391" t="s">
        <v>470</v>
      </c>
      <c r="AS391" s="175">
        <v>13</v>
      </c>
    </row>
    <row r="392" spans="1:45" x14ac:dyDescent="0.25">
      <c r="A392">
        <v>2</v>
      </c>
      <c r="B392" t="s">
        <v>3255</v>
      </c>
      <c r="C392">
        <v>391</v>
      </c>
      <c r="D392" t="s">
        <v>328</v>
      </c>
      <c r="E392" t="s">
        <v>465</v>
      </c>
      <c r="F392" t="s">
        <v>2384</v>
      </c>
      <c r="G392" t="s">
        <v>466</v>
      </c>
      <c r="H392" t="s">
        <v>467</v>
      </c>
      <c r="I392" s="183">
        <v>80</v>
      </c>
      <c r="J392">
        <v>2022</v>
      </c>
      <c r="K392" t="s">
        <v>1635</v>
      </c>
      <c r="L392" t="s">
        <v>469</v>
      </c>
      <c r="M392" t="s">
        <v>36</v>
      </c>
      <c r="O392" t="s">
        <v>470</v>
      </c>
      <c r="P392" t="s">
        <v>1922</v>
      </c>
      <c r="Q392" t="s">
        <v>1923</v>
      </c>
      <c r="R392" s="175" t="s">
        <v>1158</v>
      </c>
      <c r="S392" t="s">
        <v>1159</v>
      </c>
      <c r="T392" s="175" t="s">
        <v>1924</v>
      </c>
      <c r="U392" t="s">
        <v>1925</v>
      </c>
      <c r="W392" t="s">
        <v>156</v>
      </c>
      <c r="X392" s="175" t="s">
        <v>1926</v>
      </c>
      <c r="Y392" t="s">
        <v>1927</v>
      </c>
      <c r="Z392" t="s">
        <v>1928</v>
      </c>
      <c r="AA392" t="s">
        <v>36</v>
      </c>
      <c r="AB392">
        <v>0</v>
      </c>
      <c r="AC392" t="s">
        <v>2185</v>
      </c>
      <c r="AF392" t="s">
        <v>2291</v>
      </c>
      <c r="AG392" t="s">
        <v>2292</v>
      </c>
      <c r="AH392" t="s">
        <v>2187</v>
      </c>
      <c r="AI392">
        <v>5</v>
      </c>
      <c r="AJ392">
        <v>10</v>
      </c>
      <c r="AK392">
        <v>10</v>
      </c>
      <c r="AL392">
        <v>5</v>
      </c>
      <c r="AM392" s="176">
        <v>30000000</v>
      </c>
      <c r="AN392" s="176">
        <v>31761000</v>
      </c>
      <c r="AO392" s="176">
        <v>32900000</v>
      </c>
      <c r="AP392" s="176">
        <v>34253500</v>
      </c>
      <c r="AQ392" s="176">
        <v>128914500</v>
      </c>
      <c r="AR392" t="s">
        <v>470</v>
      </c>
      <c r="AS392" s="175">
        <v>13</v>
      </c>
    </row>
    <row r="393" spans="1:45" x14ac:dyDescent="0.25">
      <c r="A393">
        <v>2</v>
      </c>
      <c r="B393" t="s">
        <v>3255</v>
      </c>
      <c r="C393">
        <v>392</v>
      </c>
      <c r="D393" t="s">
        <v>328</v>
      </c>
      <c r="E393" t="s">
        <v>465</v>
      </c>
      <c r="F393" t="s">
        <v>2384</v>
      </c>
      <c r="G393" t="s">
        <v>466</v>
      </c>
      <c r="H393" t="s">
        <v>467</v>
      </c>
      <c r="I393" s="183">
        <v>80</v>
      </c>
      <c r="J393">
        <v>2022</v>
      </c>
      <c r="K393" t="s">
        <v>1635</v>
      </c>
      <c r="L393" t="s">
        <v>469</v>
      </c>
      <c r="M393" t="s">
        <v>36</v>
      </c>
      <c r="O393" t="s">
        <v>470</v>
      </c>
      <c r="P393" t="s">
        <v>1922</v>
      </c>
      <c r="Q393" t="s">
        <v>1923</v>
      </c>
      <c r="R393" s="175" t="s">
        <v>1158</v>
      </c>
      <c r="S393" t="s">
        <v>1159</v>
      </c>
      <c r="T393" s="175" t="s">
        <v>1929</v>
      </c>
      <c r="U393" t="s">
        <v>1930</v>
      </c>
      <c r="W393" t="s">
        <v>1931</v>
      </c>
      <c r="X393" s="175" t="s">
        <v>1932</v>
      </c>
      <c r="Y393" t="s">
        <v>1933</v>
      </c>
      <c r="Z393" t="s">
        <v>2108</v>
      </c>
      <c r="AA393" t="s">
        <v>36</v>
      </c>
      <c r="AB393">
        <v>0</v>
      </c>
      <c r="AC393" t="s">
        <v>2185</v>
      </c>
      <c r="AF393" t="s">
        <v>2291</v>
      </c>
      <c r="AG393" t="s">
        <v>2292</v>
      </c>
      <c r="AH393" t="s">
        <v>2187</v>
      </c>
      <c r="AI393">
        <v>300</v>
      </c>
      <c r="AJ393">
        <v>850</v>
      </c>
      <c r="AK393">
        <v>850</v>
      </c>
      <c r="AL393">
        <v>500</v>
      </c>
      <c r="AM393" s="176">
        <v>30000000</v>
      </c>
      <c r="AN393" s="176">
        <v>31761000</v>
      </c>
      <c r="AO393" s="176">
        <v>32900000</v>
      </c>
      <c r="AP393" s="176">
        <v>34253500</v>
      </c>
      <c r="AQ393" s="176">
        <v>128914500</v>
      </c>
      <c r="AR393" t="s">
        <v>470</v>
      </c>
      <c r="AS393" s="175">
        <v>13</v>
      </c>
    </row>
    <row r="394" spans="1:45" x14ac:dyDescent="0.25">
      <c r="A394">
        <v>2</v>
      </c>
      <c r="B394" t="s">
        <v>3255</v>
      </c>
      <c r="C394">
        <v>393</v>
      </c>
      <c r="D394" t="s">
        <v>328</v>
      </c>
      <c r="E394" t="s">
        <v>465</v>
      </c>
      <c r="F394" t="s">
        <v>2384</v>
      </c>
      <c r="G394" t="s">
        <v>466</v>
      </c>
      <c r="H394" t="s">
        <v>467</v>
      </c>
      <c r="I394" s="183">
        <v>80</v>
      </c>
      <c r="J394">
        <v>2022</v>
      </c>
      <c r="K394" t="s">
        <v>1635</v>
      </c>
      <c r="L394" t="s">
        <v>469</v>
      </c>
      <c r="M394" t="s">
        <v>36</v>
      </c>
      <c r="O394" t="s">
        <v>470</v>
      </c>
      <c r="P394">
        <v>45</v>
      </c>
      <c r="Q394" t="s">
        <v>940</v>
      </c>
      <c r="R394" s="175" t="s">
        <v>1488</v>
      </c>
      <c r="S394" t="s">
        <v>1143</v>
      </c>
      <c r="T394" s="175">
        <v>4599023</v>
      </c>
      <c r="U394" t="s">
        <v>1918</v>
      </c>
      <c r="V394" t="s">
        <v>1934</v>
      </c>
      <c r="W394" t="s">
        <v>968</v>
      </c>
      <c r="X394" s="175">
        <v>459902300</v>
      </c>
      <c r="Y394" t="s">
        <v>1935</v>
      </c>
      <c r="Z394" t="s">
        <v>1936</v>
      </c>
      <c r="AA394" t="s">
        <v>36</v>
      </c>
      <c r="AB394">
        <v>1</v>
      </c>
      <c r="AC394" t="s">
        <v>2192</v>
      </c>
      <c r="AF394" t="s">
        <v>1547</v>
      </c>
      <c r="AG394" t="s">
        <v>2200</v>
      </c>
      <c r="AH394" t="s">
        <v>2187</v>
      </c>
      <c r="AI394">
        <v>1</v>
      </c>
      <c r="AJ394">
        <v>1</v>
      </c>
      <c r="AK394">
        <v>1</v>
      </c>
      <c r="AL394">
        <v>1</v>
      </c>
      <c r="AM394" s="176">
        <v>200000000</v>
      </c>
      <c r="AN394" s="176">
        <v>200000000</v>
      </c>
      <c r="AO394" s="176">
        <v>230000000</v>
      </c>
      <c r="AP394" s="176">
        <v>320000000</v>
      </c>
      <c r="AQ394" s="176">
        <v>950000000</v>
      </c>
      <c r="AR394" t="s">
        <v>470</v>
      </c>
      <c r="AS394" s="175">
        <v>13</v>
      </c>
    </row>
    <row r="395" spans="1:45" x14ac:dyDescent="0.25">
      <c r="A395">
        <v>2</v>
      </c>
      <c r="B395" t="s">
        <v>3255</v>
      </c>
      <c r="C395">
        <v>394</v>
      </c>
      <c r="D395" t="s">
        <v>328</v>
      </c>
      <c r="E395" t="s">
        <v>465</v>
      </c>
      <c r="F395" t="s">
        <v>2384</v>
      </c>
      <c r="G395" t="s">
        <v>466</v>
      </c>
      <c r="H395" t="s">
        <v>467</v>
      </c>
      <c r="I395" s="183">
        <v>80</v>
      </c>
      <c r="J395">
        <v>2022</v>
      </c>
      <c r="K395" t="s">
        <v>1635</v>
      </c>
      <c r="L395" t="s">
        <v>469</v>
      </c>
      <c r="M395" t="s">
        <v>36</v>
      </c>
      <c r="O395" t="s">
        <v>470</v>
      </c>
      <c r="P395">
        <v>45</v>
      </c>
      <c r="Q395" t="s">
        <v>940</v>
      </c>
      <c r="R395" s="175" t="s">
        <v>1488</v>
      </c>
      <c r="S395" t="s">
        <v>1143</v>
      </c>
      <c r="T395" s="175">
        <v>4599017</v>
      </c>
      <c r="U395" t="s">
        <v>1643</v>
      </c>
      <c r="V395" t="s">
        <v>1934</v>
      </c>
      <c r="W395" t="s">
        <v>968</v>
      </c>
      <c r="X395" s="175">
        <v>459901700</v>
      </c>
      <c r="Y395" t="s">
        <v>1646</v>
      </c>
      <c r="Z395" t="s">
        <v>1937</v>
      </c>
      <c r="AA395" t="s">
        <v>36</v>
      </c>
      <c r="AB395">
        <v>0</v>
      </c>
      <c r="AC395" t="s">
        <v>2192</v>
      </c>
      <c r="AF395" t="s">
        <v>1547</v>
      </c>
      <c r="AG395" t="s">
        <v>2200</v>
      </c>
      <c r="AH395" t="s">
        <v>2187</v>
      </c>
      <c r="AI395">
        <v>1</v>
      </c>
      <c r="AJ395">
        <v>1</v>
      </c>
      <c r="AK395">
        <v>1</v>
      </c>
      <c r="AL395">
        <v>1</v>
      </c>
      <c r="AM395" s="176">
        <v>250000000</v>
      </c>
      <c r="AN395" s="176">
        <v>185620173</v>
      </c>
      <c r="AO395" s="176">
        <v>350000000</v>
      </c>
      <c r="AP395" s="176">
        <v>400000000</v>
      </c>
      <c r="AQ395" s="176">
        <v>1185620173</v>
      </c>
      <c r="AR395" t="s">
        <v>470</v>
      </c>
      <c r="AS395" s="175">
        <v>13</v>
      </c>
    </row>
    <row r="396" spans="1:45" x14ac:dyDescent="0.25">
      <c r="A396">
        <v>2</v>
      </c>
      <c r="B396" t="s">
        <v>3255</v>
      </c>
      <c r="C396">
        <v>395</v>
      </c>
      <c r="D396" t="s">
        <v>328</v>
      </c>
      <c r="E396" t="s">
        <v>465</v>
      </c>
      <c r="F396" t="s">
        <v>2384</v>
      </c>
      <c r="G396" t="s">
        <v>466</v>
      </c>
      <c r="H396" t="s">
        <v>467</v>
      </c>
      <c r="I396" s="183">
        <v>80</v>
      </c>
      <c r="J396">
        <v>2022</v>
      </c>
      <c r="K396" t="s">
        <v>1635</v>
      </c>
      <c r="L396" t="s">
        <v>469</v>
      </c>
      <c r="M396" t="s">
        <v>36</v>
      </c>
      <c r="O396" t="s">
        <v>470</v>
      </c>
      <c r="P396">
        <v>45</v>
      </c>
      <c r="Q396" t="s">
        <v>940</v>
      </c>
      <c r="R396" s="175" t="s">
        <v>1488</v>
      </c>
      <c r="S396" t="s">
        <v>1143</v>
      </c>
      <c r="T396" s="175">
        <v>4599008</v>
      </c>
      <c r="U396" t="s">
        <v>594</v>
      </c>
      <c r="V396" t="s">
        <v>595</v>
      </c>
      <c r="W396" t="s">
        <v>83</v>
      </c>
      <c r="X396" s="175">
        <v>459900800</v>
      </c>
      <c r="Y396" t="s">
        <v>594</v>
      </c>
      <c r="Z396" t="s">
        <v>2136</v>
      </c>
      <c r="AA396" t="s">
        <v>36</v>
      </c>
      <c r="AB396">
        <v>0</v>
      </c>
      <c r="AC396" t="s">
        <v>2185</v>
      </c>
      <c r="AF396" t="s">
        <v>1547</v>
      </c>
      <c r="AG396" t="s">
        <v>2200</v>
      </c>
      <c r="AH396" t="s">
        <v>2187</v>
      </c>
      <c r="AI396" t="s">
        <v>3194</v>
      </c>
      <c r="AJ396" t="s">
        <v>3194</v>
      </c>
      <c r="AK396" t="s">
        <v>3194</v>
      </c>
      <c r="AL396" t="s">
        <v>3194</v>
      </c>
      <c r="AM396" s="176">
        <v>2500000000</v>
      </c>
      <c r="AN396" s="176">
        <v>2500000000</v>
      </c>
      <c r="AO396" s="176">
        <v>2500000000</v>
      </c>
      <c r="AP396" s="176">
        <v>2500000000</v>
      </c>
      <c r="AQ396" s="176">
        <v>10000000000</v>
      </c>
      <c r="AR396" t="s">
        <v>470</v>
      </c>
      <c r="AS396" s="175">
        <v>13</v>
      </c>
    </row>
    <row r="397" spans="1:45" x14ac:dyDescent="0.25">
      <c r="A397">
        <v>2</v>
      </c>
      <c r="B397" t="s">
        <v>3255</v>
      </c>
      <c r="C397">
        <v>396</v>
      </c>
      <c r="D397" t="s">
        <v>328</v>
      </c>
      <c r="E397" t="s">
        <v>465</v>
      </c>
      <c r="F397" t="s">
        <v>2384</v>
      </c>
      <c r="G397" t="s">
        <v>466</v>
      </c>
      <c r="H397" t="s">
        <v>467</v>
      </c>
      <c r="I397" s="183">
        <v>80</v>
      </c>
      <c r="J397">
        <v>2022</v>
      </c>
      <c r="K397" t="s">
        <v>1635</v>
      </c>
      <c r="L397" t="s">
        <v>469</v>
      </c>
      <c r="M397" t="s">
        <v>36</v>
      </c>
      <c r="O397" t="s">
        <v>470</v>
      </c>
      <c r="P397">
        <v>45</v>
      </c>
      <c r="Q397" t="s">
        <v>940</v>
      </c>
      <c r="R397" s="175" t="s">
        <v>1488</v>
      </c>
      <c r="S397" t="s">
        <v>1143</v>
      </c>
      <c r="T397" s="175">
        <v>4599012</v>
      </c>
      <c r="U397" t="s">
        <v>1938</v>
      </c>
      <c r="V397" t="s">
        <v>1939</v>
      </c>
      <c r="W397" t="s">
        <v>83</v>
      </c>
      <c r="X397" s="175">
        <v>459901200</v>
      </c>
      <c r="Y397" t="s">
        <v>1938</v>
      </c>
      <c r="Z397" t="s">
        <v>1940</v>
      </c>
      <c r="AA397" t="s">
        <v>36</v>
      </c>
      <c r="AC397" t="s">
        <v>2185</v>
      </c>
      <c r="AF397" t="s">
        <v>1547</v>
      </c>
      <c r="AG397" t="s">
        <v>2200</v>
      </c>
      <c r="AH397" t="s">
        <v>2187</v>
      </c>
      <c r="AI397">
        <v>1</v>
      </c>
      <c r="AJ397">
        <v>1</v>
      </c>
      <c r="AK397">
        <v>0</v>
      </c>
      <c r="AL397">
        <v>0</v>
      </c>
      <c r="AM397" s="176">
        <v>510508868</v>
      </c>
      <c r="AN397" s="176">
        <v>666381200</v>
      </c>
      <c r="AO397" s="176">
        <v>0</v>
      </c>
      <c r="AP397" s="176">
        <v>0</v>
      </c>
      <c r="AQ397" s="176">
        <v>1176890068</v>
      </c>
      <c r="AR397" t="s">
        <v>470</v>
      </c>
      <c r="AS397" s="175">
        <v>13</v>
      </c>
    </row>
    <row r="398" spans="1:45" x14ac:dyDescent="0.25">
      <c r="A398">
        <v>2</v>
      </c>
      <c r="B398" t="s">
        <v>3255</v>
      </c>
      <c r="C398">
        <v>397</v>
      </c>
      <c r="D398" t="s">
        <v>328</v>
      </c>
      <c r="E398" t="s">
        <v>465</v>
      </c>
      <c r="F398" t="s">
        <v>2384</v>
      </c>
      <c r="G398" t="s">
        <v>466</v>
      </c>
      <c r="H398" t="s">
        <v>467</v>
      </c>
      <c r="I398" s="183">
        <v>80</v>
      </c>
      <c r="J398">
        <v>2022</v>
      </c>
      <c r="K398" t="s">
        <v>1635</v>
      </c>
      <c r="L398" t="s">
        <v>469</v>
      </c>
      <c r="M398" t="s">
        <v>36</v>
      </c>
      <c r="O398" t="s">
        <v>470</v>
      </c>
      <c r="P398">
        <v>45</v>
      </c>
      <c r="Q398" t="s">
        <v>940</v>
      </c>
      <c r="R398" s="175" t="s">
        <v>1488</v>
      </c>
      <c r="S398" t="s">
        <v>1143</v>
      </c>
      <c r="T398" s="175">
        <v>4599016</v>
      </c>
      <c r="U398" t="s">
        <v>1941</v>
      </c>
      <c r="V398" t="s">
        <v>1942</v>
      </c>
      <c r="W398" t="s">
        <v>83</v>
      </c>
      <c r="X398" s="175">
        <v>459901600</v>
      </c>
      <c r="Y398" t="s">
        <v>1941</v>
      </c>
      <c r="Z398" t="s">
        <v>1943</v>
      </c>
      <c r="AA398" t="s">
        <v>36</v>
      </c>
      <c r="AB398">
        <v>4</v>
      </c>
      <c r="AC398" t="s">
        <v>2185</v>
      </c>
      <c r="AF398" t="s">
        <v>1547</v>
      </c>
      <c r="AG398" t="s">
        <v>2200</v>
      </c>
      <c r="AH398" t="s">
        <v>2187</v>
      </c>
      <c r="AI398">
        <v>4</v>
      </c>
      <c r="AJ398">
        <v>4</v>
      </c>
      <c r="AK398">
        <v>4</v>
      </c>
      <c r="AL398">
        <v>4</v>
      </c>
      <c r="AM398" s="176">
        <v>145000000</v>
      </c>
      <c r="AN398" s="176">
        <v>220000000</v>
      </c>
      <c r="AO398" s="176">
        <v>293546548</v>
      </c>
      <c r="AP398" s="176">
        <v>300000000</v>
      </c>
      <c r="AQ398" s="176">
        <v>958546548</v>
      </c>
      <c r="AR398" t="s">
        <v>470</v>
      </c>
      <c r="AS398" s="175">
        <v>13</v>
      </c>
    </row>
    <row r="399" spans="1:45" x14ac:dyDescent="0.25">
      <c r="A399">
        <v>2</v>
      </c>
      <c r="B399" t="s">
        <v>3255</v>
      </c>
      <c r="C399">
        <v>398</v>
      </c>
      <c r="D399" t="s">
        <v>328</v>
      </c>
      <c r="E399" t="s">
        <v>465</v>
      </c>
      <c r="F399" t="s">
        <v>2384</v>
      </c>
      <c r="G399" t="s">
        <v>466</v>
      </c>
      <c r="H399" t="s">
        <v>467</v>
      </c>
      <c r="I399" s="183">
        <v>80</v>
      </c>
      <c r="J399">
        <v>2022</v>
      </c>
      <c r="K399" t="s">
        <v>1635</v>
      </c>
      <c r="L399" t="s">
        <v>469</v>
      </c>
      <c r="M399" t="s">
        <v>36</v>
      </c>
      <c r="O399" t="s">
        <v>470</v>
      </c>
      <c r="P399">
        <v>45</v>
      </c>
      <c r="Q399" t="s">
        <v>940</v>
      </c>
      <c r="R399" s="175" t="s">
        <v>1488</v>
      </c>
      <c r="S399" t="s">
        <v>1143</v>
      </c>
      <c r="T399" s="175">
        <v>4599020</v>
      </c>
      <c r="U399" t="s">
        <v>1562</v>
      </c>
      <c r="V399" t="s">
        <v>1563</v>
      </c>
      <c r="W399" t="s">
        <v>500</v>
      </c>
      <c r="X399" s="175">
        <v>459902000</v>
      </c>
      <c r="Y399" t="s">
        <v>1565</v>
      </c>
      <c r="Z399" t="s">
        <v>2011</v>
      </c>
      <c r="AA399" t="s">
        <v>36</v>
      </c>
      <c r="AB399">
        <v>0</v>
      </c>
      <c r="AC399" t="s">
        <v>2185</v>
      </c>
      <c r="AF399" t="s">
        <v>1547</v>
      </c>
      <c r="AG399" t="s">
        <v>2200</v>
      </c>
      <c r="AH399" t="s">
        <v>2187</v>
      </c>
      <c r="AI399">
        <v>0</v>
      </c>
      <c r="AJ399">
        <v>1</v>
      </c>
      <c r="AK399">
        <v>0</v>
      </c>
      <c r="AL399">
        <v>0</v>
      </c>
      <c r="AM399" s="176">
        <v>0</v>
      </c>
      <c r="AN399" s="176">
        <v>30000000</v>
      </c>
      <c r="AO399" s="176">
        <v>0</v>
      </c>
      <c r="AP399" s="176">
        <v>0</v>
      </c>
      <c r="AQ399" s="176">
        <v>30000000</v>
      </c>
      <c r="AR399" t="s">
        <v>470</v>
      </c>
      <c r="AS399" s="175">
        <v>13</v>
      </c>
    </row>
    <row r="400" spans="1:45" x14ac:dyDescent="0.25">
      <c r="A400">
        <v>2</v>
      </c>
      <c r="B400" t="s">
        <v>3255</v>
      </c>
      <c r="C400">
        <v>399</v>
      </c>
      <c r="D400" t="s">
        <v>328</v>
      </c>
      <c r="E400" t="s">
        <v>465</v>
      </c>
      <c r="F400" t="s">
        <v>2384</v>
      </c>
      <c r="G400" t="s">
        <v>466</v>
      </c>
      <c r="H400" t="s">
        <v>467</v>
      </c>
      <c r="I400" s="183">
        <v>80</v>
      </c>
      <c r="J400">
        <v>2022</v>
      </c>
      <c r="K400" t="s">
        <v>1635</v>
      </c>
      <c r="L400" t="s">
        <v>469</v>
      </c>
      <c r="M400" t="s">
        <v>36</v>
      </c>
      <c r="O400" t="s">
        <v>470</v>
      </c>
      <c r="P400">
        <v>45</v>
      </c>
      <c r="Q400" t="s">
        <v>940</v>
      </c>
      <c r="R400" s="175" t="s">
        <v>1488</v>
      </c>
      <c r="S400" t="s">
        <v>1143</v>
      </c>
      <c r="T400" s="175">
        <v>4599029</v>
      </c>
      <c r="U400" t="s">
        <v>1482</v>
      </c>
      <c r="V400" t="s">
        <v>1483</v>
      </c>
      <c r="W400" t="s">
        <v>1484</v>
      </c>
      <c r="X400" s="175">
        <v>459902900</v>
      </c>
      <c r="Y400" t="s">
        <v>1486</v>
      </c>
      <c r="Z400" t="s">
        <v>1944</v>
      </c>
      <c r="AA400" t="s">
        <v>36</v>
      </c>
      <c r="AB400">
        <v>0</v>
      </c>
      <c r="AC400" t="s">
        <v>2185</v>
      </c>
      <c r="AF400" t="s">
        <v>1547</v>
      </c>
      <c r="AG400" t="s">
        <v>2200</v>
      </c>
      <c r="AH400" t="s">
        <v>2187</v>
      </c>
      <c r="AI400">
        <v>3</v>
      </c>
      <c r="AJ400">
        <v>4</v>
      </c>
      <c r="AK400">
        <v>4</v>
      </c>
      <c r="AL400">
        <v>4</v>
      </c>
      <c r="AM400" s="176">
        <v>91693000</v>
      </c>
      <c r="AN400" s="176">
        <v>181037700</v>
      </c>
      <c r="AO400" s="176">
        <v>188007651</v>
      </c>
      <c r="AP400" s="176">
        <v>195245946</v>
      </c>
      <c r="AQ400" s="176">
        <v>655984297</v>
      </c>
      <c r="AR400" t="s">
        <v>470</v>
      </c>
      <c r="AS400" s="175">
        <v>13</v>
      </c>
    </row>
    <row r="401" spans="1:45" x14ac:dyDescent="0.25">
      <c r="A401">
        <v>2</v>
      </c>
      <c r="B401" t="s">
        <v>3255</v>
      </c>
      <c r="C401">
        <v>400</v>
      </c>
      <c r="D401" t="s">
        <v>328</v>
      </c>
      <c r="E401" t="s">
        <v>465</v>
      </c>
      <c r="F401" t="s">
        <v>2384</v>
      </c>
      <c r="G401" t="s">
        <v>466</v>
      </c>
      <c r="H401" t="s">
        <v>467</v>
      </c>
      <c r="I401" s="183">
        <v>80</v>
      </c>
      <c r="J401">
        <v>2022</v>
      </c>
      <c r="K401" t="s">
        <v>1635</v>
      </c>
      <c r="L401" t="s">
        <v>469</v>
      </c>
      <c r="M401" t="s">
        <v>36</v>
      </c>
      <c r="O401" t="s">
        <v>470</v>
      </c>
      <c r="P401">
        <v>45</v>
      </c>
      <c r="Q401" t="s">
        <v>940</v>
      </c>
      <c r="R401" s="175">
        <v>4502</v>
      </c>
      <c r="S401" t="s">
        <v>2512</v>
      </c>
      <c r="T401" s="175">
        <v>4502001</v>
      </c>
      <c r="U401" t="s">
        <v>1503</v>
      </c>
      <c r="V401" t="s">
        <v>1504</v>
      </c>
      <c r="W401" t="s">
        <v>792</v>
      </c>
      <c r="X401" s="175">
        <v>450200100</v>
      </c>
      <c r="Y401" t="s">
        <v>1506</v>
      </c>
      <c r="Z401" t="s">
        <v>1945</v>
      </c>
      <c r="AA401" t="s">
        <v>36</v>
      </c>
      <c r="AB401">
        <v>2</v>
      </c>
      <c r="AC401" t="s">
        <v>2185</v>
      </c>
      <c r="AF401" t="s">
        <v>1547</v>
      </c>
      <c r="AG401" t="s">
        <v>2200</v>
      </c>
      <c r="AH401" t="s">
        <v>2187</v>
      </c>
      <c r="AI401">
        <v>0</v>
      </c>
      <c r="AJ401">
        <v>1</v>
      </c>
      <c r="AK401">
        <v>1</v>
      </c>
      <c r="AL401">
        <v>2</v>
      </c>
      <c r="AM401" s="176">
        <v>0</v>
      </c>
      <c r="AN401" s="176">
        <v>130000000</v>
      </c>
      <c r="AO401" s="176">
        <v>155775000</v>
      </c>
      <c r="AP401" s="176">
        <v>245967406</v>
      </c>
      <c r="AQ401" s="176">
        <v>531742406</v>
      </c>
      <c r="AR401" t="s">
        <v>470</v>
      </c>
      <c r="AS401" s="175">
        <v>13</v>
      </c>
    </row>
    <row r="402" spans="1:45" x14ac:dyDescent="0.25">
      <c r="A402">
        <v>2</v>
      </c>
      <c r="B402" t="s">
        <v>3255</v>
      </c>
      <c r="C402">
        <v>401</v>
      </c>
      <c r="D402" t="s">
        <v>328</v>
      </c>
      <c r="E402" t="s">
        <v>465</v>
      </c>
      <c r="F402" t="s">
        <v>2384</v>
      </c>
      <c r="G402" t="s">
        <v>466</v>
      </c>
      <c r="H402" t="s">
        <v>467</v>
      </c>
      <c r="I402" s="183">
        <v>80</v>
      </c>
      <c r="J402">
        <v>2022</v>
      </c>
      <c r="K402" t="s">
        <v>1635</v>
      </c>
      <c r="L402" t="s">
        <v>469</v>
      </c>
      <c r="M402" t="s">
        <v>36</v>
      </c>
      <c r="O402" t="s">
        <v>470</v>
      </c>
      <c r="P402">
        <v>45</v>
      </c>
      <c r="Q402" t="s">
        <v>940</v>
      </c>
      <c r="R402" s="175">
        <v>4502</v>
      </c>
      <c r="S402" t="s">
        <v>2512</v>
      </c>
      <c r="T402" s="175">
        <v>4502013</v>
      </c>
      <c r="U402" t="s">
        <v>1946</v>
      </c>
      <c r="V402" t="s">
        <v>1947</v>
      </c>
      <c r="W402" t="s">
        <v>1948</v>
      </c>
      <c r="X402" s="175">
        <v>450201300</v>
      </c>
      <c r="Y402" t="s">
        <v>1949</v>
      </c>
      <c r="Z402" t="s">
        <v>2104</v>
      </c>
      <c r="AA402" t="s">
        <v>36</v>
      </c>
      <c r="AB402">
        <v>0</v>
      </c>
      <c r="AC402" t="s">
        <v>2185</v>
      </c>
      <c r="AD402" t="s">
        <v>1746</v>
      </c>
      <c r="AE402" t="s">
        <v>2293</v>
      </c>
      <c r="AF402" t="s">
        <v>1547</v>
      </c>
      <c r="AG402" t="s">
        <v>2200</v>
      </c>
      <c r="AH402" t="s">
        <v>2187</v>
      </c>
      <c r="AI402">
        <v>0</v>
      </c>
      <c r="AJ402" t="s">
        <v>3201</v>
      </c>
      <c r="AK402" t="s">
        <v>3201</v>
      </c>
      <c r="AL402">
        <v>0</v>
      </c>
      <c r="AM402" s="176">
        <v>0</v>
      </c>
      <c r="AN402" s="176">
        <v>120000000</v>
      </c>
      <c r="AO402" s="176">
        <v>120000000</v>
      </c>
      <c r="AP402" s="176">
        <v>0</v>
      </c>
      <c r="AQ402" s="176">
        <v>240000000</v>
      </c>
      <c r="AR402" t="s">
        <v>470</v>
      </c>
      <c r="AS402" s="175">
        <v>13</v>
      </c>
    </row>
    <row r="403" spans="1:45" x14ac:dyDescent="0.25">
      <c r="A403">
        <v>2</v>
      </c>
      <c r="B403" t="s">
        <v>3255</v>
      </c>
      <c r="C403">
        <v>402</v>
      </c>
      <c r="D403" t="s">
        <v>328</v>
      </c>
      <c r="E403" t="s">
        <v>465</v>
      </c>
      <c r="F403" t="s">
        <v>2384</v>
      </c>
      <c r="G403" t="s">
        <v>466</v>
      </c>
      <c r="H403" t="s">
        <v>467</v>
      </c>
      <c r="I403" s="183">
        <v>80</v>
      </c>
      <c r="J403">
        <v>2022</v>
      </c>
      <c r="K403" t="s">
        <v>1635</v>
      </c>
      <c r="L403" t="s">
        <v>469</v>
      </c>
      <c r="M403" t="s">
        <v>36</v>
      </c>
      <c r="O403" t="s">
        <v>470</v>
      </c>
      <c r="P403">
        <v>45</v>
      </c>
      <c r="Q403" t="s">
        <v>940</v>
      </c>
      <c r="R403" s="175">
        <v>4599</v>
      </c>
      <c r="S403" t="s">
        <v>1143</v>
      </c>
      <c r="T403" s="175">
        <v>4599030</v>
      </c>
      <c r="U403" t="s">
        <v>1478</v>
      </c>
      <c r="V403" t="s">
        <v>944</v>
      </c>
      <c r="W403" t="s">
        <v>297</v>
      </c>
      <c r="X403" s="175">
        <v>459903000</v>
      </c>
      <c r="Y403" t="s">
        <v>297</v>
      </c>
      <c r="Z403" t="s">
        <v>2012</v>
      </c>
      <c r="AA403" t="s">
        <v>36</v>
      </c>
      <c r="AB403">
        <v>0</v>
      </c>
      <c r="AC403" t="s">
        <v>2185</v>
      </c>
      <c r="AE403" t="s">
        <v>3191</v>
      </c>
      <c r="AF403" t="s">
        <v>1547</v>
      </c>
      <c r="AG403" t="s">
        <v>2200</v>
      </c>
      <c r="AH403" t="s">
        <v>2187</v>
      </c>
      <c r="AI403">
        <v>250</v>
      </c>
      <c r="AJ403">
        <v>300</v>
      </c>
      <c r="AK403">
        <v>300</v>
      </c>
      <c r="AL403">
        <v>150</v>
      </c>
      <c r="AM403" s="176">
        <v>200000000</v>
      </c>
      <c r="AN403" s="176">
        <v>120000000</v>
      </c>
      <c r="AO403" s="176">
        <v>140000000</v>
      </c>
      <c r="AP403" s="176">
        <v>160000000</v>
      </c>
      <c r="AQ403" s="176">
        <v>620000000</v>
      </c>
      <c r="AR403" t="s">
        <v>470</v>
      </c>
      <c r="AS403" s="175">
        <v>13</v>
      </c>
    </row>
    <row r="404" spans="1:45" x14ac:dyDescent="0.25">
      <c r="A404">
        <v>2</v>
      </c>
      <c r="B404" t="s">
        <v>3255</v>
      </c>
      <c r="C404">
        <v>403</v>
      </c>
      <c r="D404" t="s">
        <v>328</v>
      </c>
      <c r="E404" t="s">
        <v>465</v>
      </c>
      <c r="F404" t="s">
        <v>2384</v>
      </c>
      <c r="G404" t="s">
        <v>466</v>
      </c>
      <c r="H404" t="s">
        <v>467</v>
      </c>
      <c r="I404" s="183">
        <v>80</v>
      </c>
      <c r="J404">
        <v>2022</v>
      </c>
      <c r="K404" t="s">
        <v>1635</v>
      </c>
      <c r="L404" t="s">
        <v>469</v>
      </c>
      <c r="M404" t="s">
        <v>36</v>
      </c>
      <c r="O404" t="s">
        <v>470</v>
      </c>
      <c r="P404">
        <v>45</v>
      </c>
      <c r="Q404" t="s">
        <v>940</v>
      </c>
      <c r="R404" s="175">
        <v>4599</v>
      </c>
      <c r="S404" t="s">
        <v>1143</v>
      </c>
      <c r="T404" s="175">
        <v>4599038</v>
      </c>
      <c r="U404" t="s">
        <v>1950</v>
      </c>
      <c r="V404" t="s">
        <v>1951</v>
      </c>
      <c r="W404" t="s">
        <v>1952</v>
      </c>
      <c r="X404" s="175">
        <v>459903800</v>
      </c>
      <c r="Y404" t="s">
        <v>1953</v>
      </c>
      <c r="Z404" t="s">
        <v>1954</v>
      </c>
      <c r="AA404" t="s">
        <v>36</v>
      </c>
      <c r="AB404">
        <v>0</v>
      </c>
      <c r="AC404" t="s">
        <v>2185</v>
      </c>
      <c r="AE404" t="s">
        <v>3192</v>
      </c>
      <c r="AF404" t="s">
        <v>1547</v>
      </c>
      <c r="AG404" t="s">
        <v>2200</v>
      </c>
      <c r="AH404" t="s">
        <v>2187</v>
      </c>
      <c r="AI404">
        <v>10</v>
      </c>
      <c r="AJ404">
        <v>50</v>
      </c>
      <c r="AK404">
        <v>20</v>
      </c>
      <c r="AL404">
        <v>20</v>
      </c>
      <c r="AM404" s="176">
        <v>300000000</v>
      </c>
      <c r="AN404" s="176">
        <v>78618800</v>
      </c>
      <c r="AO404" s="176">
        <v>240000000</v>
      </c>
      <c r="AP404" s="176">
        <v>260000000</v>
      </c>
      <c r="AQ404" s="176">
        <v>878618800</v>
      </c>
      <c r="AR404" t="s">
        <v>470</v>
      </c>
      <c r="AS404" s="175">
        <v>13</v>
      </c>
    </row>
    <row r="405" spans="1:45" x14ac:dyDescent="0.25">
      <c r="A405">
        <v>2</v>
      </c>
      <c r="B405" t="s">
        <v>3255</v>
      </c>
      <c r="C405">
        <v>404</v>
      </c>
      <c r="D405" t="s">
        <v>328</v>
      </c>
      <c r="E405" t="s">
        <v>465</v>
      </c>
      <c r="F405" t="s">
        <v>2384</v>
      </c>
      <c r="G405" t="s">
        <v>466</v>
      </c>
      <c r="H405" t="s">
        <v>467</v>
      </c>
      <c r="I405" s="183">
        <v>80</v>
      </c>
      <c r="J405">
        <v>2022</v>
      </c>
      <c r="K405" t="s">
        <v>1635</v>
      </c>
      <c r="L405" t="s">
        <v>469</v>
      </c>
      <c r="M405" t="s">
        <v>36</v>
      </c>
      <c r="O405" t="s">
        <v>470</v>
      </c>
      <c r="P405">
        <v>45</v>
      </c>
      <c r="Q405" t="s">
        <v>940</v>
      </c>
      <c r="R405" s="175">
        <v>4599</v>
      </c>
      <c r="S405" t="s">
        <v>1143</v>
      </c>
      <c r="T405" s="175">
        <v>4599011</v>
      </c>
      <c r="U405" t="s">
        <v>1955</v>
      </c>
      <c r="V405" t="s">
        <v>1956</v>
      </c>
      <c r="W405" t="s">
        <v>83</v>
      </c>
      <c r="X405" s="175">
        <v>459901100</v>
      </c>
      <c r="Y405" t="s">
        <v>1955</v>
      </c>
      <c r="Z405" t="s">
        <v>1957</v>
      </c>
      <c r="AA405" t="s">
        <v>36</v>
      </c>
      <c r="AB405">
        <v>0</v>
      </c>
      <c r="AC405" t="s">
        <v>2185</v>
      </c>
      <c r="AH405" t="s">
        <v>2187</v>
      </c>
      <c r="AI405">
        <v>0</v>
      </c>
      <c r="AJ405">
        <v>1</v>
      </c>
      <c r="AK405">
        <v>0</v>
      </c>
      <c r="AL405">
        <v>0</v>
      </c>
      <c r="AM405" s="176">
        <v>0</v>
      </c>
      <c r="AN405" s="176">
        <v>60000000</v>
      </c>
      <c r="AO405" s="176">
        <v>0</v>
      </c>
      <c r="AP405" s="176">
        <v>0</v>
      </c>
      <c r="AQ405" s="176">
        <v>60000000</v>
      </c>
      <c r="AR405" t="s">
        <v>470</v>
      </c>
      <c r="AS405" s="175">
        <v>13</v>
      </c>
    </row>
    <row r="406" spans="1:45" x14ac:dyDescent="0.25">
      <c r="A406">
        <v>2</v>
      </c>
      <c r="B406" t="s">
        <v>3255</v>
      </c>
      <c r="C406">
        <v>405</v>
      </c>
      <c r="D406" t="s">
        <v>328</v>
      </c>
      <c r="E406" t="s">
        <v>465</v>
      </c>
      <c r="F406" t="s">
        <v>2384</v>
      </c>
      <c r="G406" t="s">
        <v>466</v>
      </c>
      <c r="H406" t="s">
        <v>467</v>
      </c>
      <c r="I406" s="183">
        <v>80</v>
      </c>
      <c r="J406">
        <v>2022</v>
      </c>
      <c r="K406" t="s">
        <v>1635</v>
      </c>
      <c r="L406" t="s">
        <v>469</v>
      </c>
      <c r="M406" t="s">
        <v>36</v>
      </c>
      <c r="O406" t="s">
        <v>470</v>
      </c>
      <c r="P406">
        <v>45</v>
      </c>
      <c r="Q406" t="s">
        <v>940</v>
      </c>
      <c r="R406" s="175">
        <v>4599</v>
      </c>
      <c r="S406" t="s">
        <v>1143</v>
      </c>
      <c r="T406" s="175">
        <v>4599020</v>
      </c>
      <c r="U406" t="s">
        <v>1562</v>
      </c>
      <c r="V406" t="s">
        <v>1563</v>
      </c>
      <c r="W406" t="s">
        <v>500</v>
      </c>
      <c r="X406" s="175">
        <v>459902000</v>
      </c>
      <c r="Y406" t="s">
        <v>1565</v>
      </c>
      <c r="Z406" t="s">
        <v>1958</v>
      </c>
      <c r="AA406" t="s">
        <v>36</v>
      </c>
      <c r="AB406">
        <v>2</v>
      </c>
      <c r="AC406" t="s">
        <v>2185</v>
      </c>
      <c r="AF406" t="s">
        <v>1547</v>
      </c>
      <c r="AG406" t="s">
        <v>2200</v>
      </c>
      <c r="AH406" t="s">
        <v>2187</v>
      </c>
      <c r="AI406">
        <v>2</v>
      </c>
      <c r="AJ406">
        <v>2</v>
      </c>
      <c r="AK406">
        <v>2</v>
      </c>
      <c r="AL406">
        <v>2</v>
      </c>
      <c r="AM406" s="176">
        <v>200000000</v>
      </c>
      <c r="AN406" s="176">
        <v>240000000</v>
      </c>
      <c r="AO406" s="176">
        <v>240000000</v>
      </c>
      <c r="AP406" s="176">
        <v>260000000</v>
      </c>
      <c r="AQ406" s="176">
        <v>940000000</v>
      </c>
      <c r="AR406" t="s">
        <v>470</v>
      </c>
      <c r="AS406" s="175">
        <v>13</v>
      </c>
    </row>
    <row r="407" spans="1:45" x14ac:dyDescent="0.25">
      <c r="A407">
        <v>2</v>
      </c>
      <c r="B407" t="s">
        <v>3255</v>
      </c>
      <c r="C407">
        <v>406</v>
      </c>
      <c r="D407" t="s">
        <v>328</v>
      </c>
      <c r="E407" t="s">
        <v>465</v>
      </c>
      <c r="F407" t="s">
        <v>2384</v>
      </c>
      <c r="G407" t="s">
        <v>466</v>
      </c>
      <c r="H407" t="s">
        <v>467</v>
      </c>
      <c r="I407" s="183">
        <v>80</v>
      </c>
      <c r="J407">
        <v>2022</v>
      </c>
      <c r="K407" t="s">
        <v>1635</v>
      </c>
      <c r="L407" t="s">
        <v>469</v>
      </c>
      <c r="M407" t="s">
        <v>36</v>
      </c>
      <c r="O407" t="s">
        <v>470</v>
      </c>
      <c r="P407">
        <v>23</v>
      </c>
      <c r="Q407" t="s">
        <v>97</v>
      </c>
      <c r="R407" s="175">
        <v>2302</v>
      </c>
      <c r="S407" t="s">
        <v>1959</v>
      </c>
      <c r="T407" s="175">
        <v>2302061</v>
      </c>
      <c r="U407" t="s">
        <v>1960</v>
      </c>
      <c r="V407" t="s">
        <v>1961</v>
      </c>
      <c r="W407" t="s">
        <v>203</v>
      </c>
      <c r="X407" s="175">
        <v>230206100</v>
      </c>
      <c r="Y407" t="s">
        <v>2513</v>
      </c>
      <c r="Z407" t="s">
        <v>1962</v>
      </c>
      <c r="AA407" t="s">
        <v>36</v>
      </c>
      <c r="AB407">
        <v>948</v>
      </c>
      <c r="AC407" t="s">
        <v>2185</v>
      </c>
      <c r="AD407" t="s">
        <v>1746</v>
      </c>
      <c r="AE407" t="s">
        <v>2293</v>
      </c>
      <c r="AF407" t="s">
        <v>263</v>
      </c>
      <c r="AG407" t="s">
        <v>2296</v>
      </c>
      <c r="AH407" t="s">
        <v>2191</v>
      </c>
      <c r="AI407">
        <v>25</v>
      </c>
      <c r="AJ407">
        <v>75</v>
      </c>
      <c r="AK407">
        <v>75</v>
      </c>
      <c r="AL407">
        <v>25</v>
      </c>
      <c r="AM407" s="176">
        <v>40000000</v>
      </c>
      <c r="AN407" s="176">
        <v>40000000</v>
      </c>
      <c r="AO407" s="176">
        <v>100000000</v>
      </c>
      <c r="AP407" s="176">
        <v>20000000</v>
      </c>
      <c r="AQ407" s="176">
        <v>200000000</v>
      </c>
      <c r="AR407" t="s">
        <v>470</v>
      </c>
      <c r="AS407" s="175">
        <v>13</v>
      </c>
    </row>
    <row r="408" spans="1:45" x14ac:dyDescent="0.25">
      <c r="A408">
        <v>2</v>
      </c>
      <c r="B408" t="s">
        <v>3255</v>
      </c>
      <c r="C408">
        <v>407</v>
      </c>
      <c r="D408" t="s">
        <v>328</v>
      </c>
      <c r="E408" t="s">
        <v>465</v>
      </c>
      <c r="F408" t="s">
        <v>2384</v>
      </c>
      <c r="G408" t="s">
        <v>466</v>
      </c>
      <c r="H408" t="s">
        <v>467</v>
      </c>
      <c r="I408" s="183">
        <v>80</v>
      </c>
      <c r="J408">
        <v>2022</v>
      </c>
      <c r="K408" t="s">
        <v>1635</v>
      </c>
      <c r="L408" t="s">
        <v>469</v>
      </c>
      <c r="M408" t="s">
        <v>36</v>
      </c>
      <c r="O408" t="s">
        <v>470</v>
      </c>
      <c r="P408">
        <v>23</v>
      </c>
      <c r="Q408" t="s">
        <v>97</v>
      </c>
      <c r="R408" s="175">
        <v>2302</v>
      </c>
      <c r="S408" t="s">
        <v>1959</v>
      </c>
      <c r="T408" s="175">
        <v>2302078</v>
      </c>
      <c r="U408" t="s">
        <v>1964</v>
      </c>
      <c r="V408" t="s">
        <v>1963</v>
      </c>
      <c r="W408" t="s">
        <v>1965</v>
      </c>
      <c r="X408" s="175">
        <v>230207800</v>
      </c>
      <c r="Y408" t="s">
        <v>1963</v>
      </c>
      <c r="Z408" t="s">
        <v>1966</v>
      </c>
      <c r="AA408" t="s">
        <v>36</v>
      </c>
      <c r="AB408">
        <v>0</v>
      </c>
      <c r="AC408" t="s">
        <v>2185</v>
      </c>
      <c r="AD408" t="s">
        <v>1746</v>
      </c>
      <c r="AE408" t="s">
        <v>2293</v>
      </c>
      <c r="AF408" t="s">
        <v>263</v>
      </c>
      <c r="AG408" t="s">
        <v>2296</v>
      </c>
      <c r="AH408" t="s">
        <v>2191</v>
      </c>
      <c r="AI408">
        <v>25</v>
      </c>
      <c r="AJ408">
        <v>75</v>
      </c>
      <c r="AK408">
        <v>75</v>
      </c>
      <c r="AL408">
        <v>25</v>
      </c>
      <c r="AM408" s="176">
        <v>50000000</v>
      </c>
      <c r="AN408" s="176">
        <v>70000000</v>
      </c>
      <c r="AO408" s="176">
        <v>200000000</v>
      </c>
      <c r="AP408" s="176">
        <v>25000000</v>
      </c>
      <c r="AQ408" s="176">
        <v>345000000</v>
      </c>
      <c r="AR408" t="s">
        <v>470</v>
      </c>
      <c r="AS408" s="175">
        <v>13</v>
      </c>
    </row>
    <row r="409" spans="1:45" x14ac:dyDescent="0.25">
      <c r="A409">
        <v>2</v>
      </c>
      <c r="B409" t="s">
        <v>3255</v>
      </c>
      <c r="C409">
        <v>408</v>
      </c>
      <c r="D409" t="s">
        <v>328</v>
      </c>
      <c r="E409" t="s">
        <v>465</v>
      </c>
      <c r="F409" t="s">
        <v>2384</v>
      </c>
      <c r="G409" t="s">
        <v>466</v>
      </c>
      <c r="H409" t="s">
        <v>467</v>
      </c>
      <c r="I409" s="183">
        <v>80</v>
      </c>
      <c r="J409">
        <v>2022</v>
      </c>
      <c r="K409" t="s">
        <v>1635</v>
      </c>
      <c r="L409" t="s">
        <v>469</v>
      </c>
      <c r="M409" t="s">
        <v>36</v>
      </c>
      <c r="O409" t="s">
        <v>470</v>
      </c>
      <c r="P409">
        <v>45</v>
      </c>
      <c r="Q409" t="s">
        <v>940</v>
      </c>
      <c r="R409" s="175">
        <v>4599</v>
      </c>
      <c r="S409" t="s">
        <v>1143</v>
      </c>
      <c r="T409" s="175">
        <v>4599005</v>
      </c>
      <c r="U409" t="s">
        <v>1967</v>
      </c>
      <c r="V409" t="s">
        <v>1968</v>
      </c>
      <c r="W409" t="s">
        <v>500</v>
      </c>
      <c r="X409" s="175">
        <v>459900500</v>
      </c>
      <c r="Y409" t="s">
        <v>1969</v>
      </c>
      <c r="Z409" t="s">
        <v>1970</v>
      </c>
      <c r="AA409" t="s">
        <v>36</v>
      </c>
      <c r="AB409">
        <v>1</v>
      </c>
      <c r="AC409" t="s">
        <v>2185</v>
      </c>
      <c r="AG409" t="s">
        <v>2200</v>
      </c>
      <c r="AH409" t="s">
        <v>2191</v>
      </c>
      <c r="AI409" t="s">
        <v>3194</v>
      </c>
      <c r="AJ409" t="s">
        <v>3201</v>
      </c>
      <c r="AK409" t="s">
        <v>3194</v>
      </c>
      <c r="AL409" t="s">
        <v>3194</v>
      </c>
      <c r="AM409" s="176">
        <v>60000000</v>
      </c>
      <c r="AN409" s="176">
        <v>65000000</v>
      </c>
      <c r="AO409" s="176">
        <v>67000000</v>
      </c>
      <c r="AP409" s="176">
        <v>70000000</v>
      </c>
      <c r="AQ409" s="176">
        <v>262000000</v>
      </c>
      <c r="AR409" t="s">
        <v>470</v>
      </c>
      <c r="AS409" s="175">
        <v>13</v>
      </c>
    </row>
    <row r="410" spans="1:45" x14ac:dyDescent="0.25">
      <c r="A410">
        <v>2</v>
      </c>
      <c r="B410" t="s">
        <v>3255</v>
      </c>
      <c r="C410">
        <v>409</v>
      </c>
      <c r="D410" t="s">
        <v>328</v>
      </c>
      <c r="E410" t="s">
        <v>465</v>
      </c>
      <c r="F410" t="s">
        <v>2384</v>
      </c>
      <c r="G410" t="s">
        <v>466</v>
      </c>
      <c r="H410" t="s">
        <v>467</v>
      </c>
      <c r="I410" s="183">
        <v>80</v>
      </c>
      <c r="J410">
        <v>2022</v>
      </c>
      <c r="K410" t="s">
        <v>1635</v>
      </c>
      <c r="L410" t="s">
        <v>469</v>
      </c>
      <c r="M410" t="s">
        <v>36</v>
      </c>
      <c r="O410" t="s">
        <v>470</v>
      </c>
      <c r="P410">
        <v>45</v>
      </c>
      <c r="Q410" t="s">
        <v>940</v>
      </c>
      <c r="R410" s="175">
        <v>4599</v>
      </c>
      <c r="S410" t="s">
        <v>1143</v>
      </c>
      <c r="T410" s="175">
        <v>4599007</v>
      </c>
      <c r="U410" t="s">
        <v>1971</v>
      </c>
      <c r="V410" t="s">
        <v>1972</v>
      </c>
      <c r="W410" t="s">
        <v>1973</v>
      </c>
      <c r="X410" s="175">
        <v>459900700</v>
      </c>
      <c r="Y410" t="s">
        <v>1974</v>
      </c>
      <c r="Z410" t="s">
        <v>1975</v>
      </c>
      <c r="AA410" t="s">
        <v>25</v>
      </c>
      <c r="AB410">
        <v>0</v>
      </c>
      <c r="AC410" t="s">
        <v>2185</v>
      </c>
      <c r="AG410" t="s">
        <v>2200</v>
      </c>
      <c r="AH410" t="s">
        <v>2191</v>
      </c>
      <c r="AI410" t="s">
        <v>3237</v>
      </c>
      <c r="AJ410" t="s">
        <v>3238</v>
      </c>
      <c r="AK410" t="s">
        <v>3239</v>
      </c>
      <c r="AL410" t="s">
        <v>3239</v>
      </c>
      <c r="AM410" s="176">
        <v>300000000</v>
      </c>
      <c r="AN410" s="176">
        <v>200000000</v>
      </c>
      <c r="AO410" s="176">
        <v>360000000</v>
      </c>
      <c r="AP410" s="176">
        <v>450000000</v>
      </c>
      <c r="AQ410" s="176">
        <v>1310000000</v>
      </c>
      <c r="AR410" t="s">
        <v>470</v>
      </c>
      <c r="AS410" s="175">
        <v>13</v>
      </c>
    </row>
    <row r="411" spans="1:45" x14ac:dyDescent="0.25">
      <c r="A411">
        <v>2</v>
      </c>
      <c r="B411" t="s">
        <v>3254</v>
      </c>
      <c r="C411">
        <v>410</v>
      </c>
      <c r="D411" t="s">
        <v>328</v>
      </c>
      <c r="E411" t="s">
        <v>465</v>
      </c>
      <c r="F411" t="s">
        <v>2384</v>
      </c>
      <c r="G411" t="s">
        <v>466</v>
      </c>
      <c r="H411" t="s">
        <v>467</v>
      </c>
      <c r="I411" s="183">
        <v>80</v>
      </c>
      <c r="J411">
        <v>2022</v>
      </c>
      <c r="K411" t="s">
        <v>1635</v>
      </c>
      <c r="L411" t="s">
        <v>469</v>
      </c>
      <c r="M411" t="s">
        <v>764</v>
      </c>
      <c r="O411" t="s">
        <v>470</v>
      </c>
      <c r="P411">
        <v>23</v>
      </c>
      <c r="Q411" t="s">
        <v>97</v>
      </c>
      <c r="R411" s="175">
        <v>2302</v>
      </c>
      <c r="S411" t="s">
        <v>1959</v>
      </c>
      <c r="T411" s="175">
        <v>2302036</v>
      </c>
      <c r="U411" t="s">
        <v>1977</v>
      </c>
      <c r="V411" t="s">
        <v>1976</v>
      </c>
      <c r="W411" t="s">
        <v>685</v>
      </c>
      <c r="X411" s="175">
        <v>230203600</v>
      </c>
      <c r="Y411" t="s">
        <v>1978</v>
      </c>
      <c r="Z411" t="s">
        <v>1979</v>
      </c>
      <c r="AA411" t="s">
        <v>36</v>
      </c>
      <c r="AB411">
        <v>0</v>
      </c>
      <c r="AC411" t="s">
        <v>2185</v>
      </c>
      <c r="AG411" t="s">
        <v>2200</v>
      </c>
      <c r="AH411" t="s">
        <v>2191</v>
      </c>
      <c r="AI411">
        <v>0</v>
      </c>
      <c r="AJ411">
        <v>1</v>
      </c>
      <c r="AK411">
        <v>1</v>
      </c>
      <c r="AL411">
        <v>0</v>
      </c>
      <c r="AM411" s="176">
        <v>0</v>
      </c>
      <c r="AN411" s="176">
        <v>2500000000</v>
      </c>
      <c r="AO411" s="176">
        <v>2500000000</v>
      </c>
      <c r="AP411" s="176">
        <v>0</v>
      </c>
      <c r="AQ411" s="176">
        <v>5000000000</v>
      </c>
      <c r="AR411" t="s">
        <v>470</v>
      </c>
      <c r="AS411" s="175">
        <v>13</v>
      </c>
    </row>
    <row r="412" spans="1:45" x14ac:dyDescent="0.25">
      <c r="A412">
        <v>2</v>
      </c>
      <c r="B412" t="s">
        <v>3255</v>
      </c>
      <c r="C412">
        <v>411</v>
      </c>
      <c r="D412" t="s">
        <v>328</v>
      </c>
      <c r="E412" t="s">
        <v>465</v>
      </c>
      <c r="F412" t="s">
        <v>2384</v>
      </c>
      <c r="G412" t="s">
        <v>466</v>
      </c>
      <c r="H412" t="s">
        <v>467</v>
      </c>
      <c r="I412" s="183">
        <v>80</v>
      </c>
      <c r="J412">
        <v>2022</v>
      </c>
      <c r="K412" t="s">
        <v>1635</v>
      </c>
      <c r="L412" t="s">
        <v>469</v>
      </c>
      <c r="M412" t="s">
        <v>36</v>
      </c>
      <c r="O412" t="s">
        <v>470</v>
      </c>
      <c r="P412">
        <v>45</v>
      </c>
      <c r="Q412" t="s">
        <v>940</v>
      </c>
      <c r="R412" s="175">
        <v>4599</v>
      </c>
      <c r="S412" t="s">
        <v>1143</v>
      </c>
      <c r="T412" s="175">
        <v>4599023</v>
      </c>
      <c r="U412" t="s">
        <v>1980</v>
      </c>
      <c r="V412" t="s">
        <v>1919</v>
      </c>
      <c r="W412" t="s">
        <v>968</v>
      </c>
      <c r="X412" s="175">
        <v>459902300</v>
      </c>
      <c r="Y412" t="s">
        <v>2492</v>
      </c>
      <c r="Z412" t="s">
        <v>1993</v>
      </c>
      <c r="AA412" t="s">
        <v>36</v>
      </c>
      <c r="AB412">
        <v>1</v>
      </c>
      <c r="AC412" t="s">
        <v>2192</v>
      </c>
      <c r="AF412" t="s">
        <v>1547</v>
      </c>
      <c r="AG412" t="s">
        <v>2200</v>
      </c>
      <c r="AH412" t="s">
        <v>2187</v>
      </c>
      <c r="AI412">
        <v>1</v>
      </c>
      <c r="AJ412">
        <v>1</v>
      </c>
      <c r="AK412">
        <v>1</v>
      </c>
      <c r="AL412">
        <v>1</v>
      </c>
      <c r="AM412" s="176">
        <v>15000000000</v>
      </c>
      <c r="AN412" s="176">
        <v>15000000000</v>
      </c>
      <c r="AO412" s="176">
        <v>15000000000</v>
      </c>
      <c r="AP412" s="176">
        <v>15000000000</v>
      </c>
      <c r="AQ412" s="176">
        <v>60000000000</v>
      </c>
      <c r="AR412" t="s">
        <v>470</v>
      </c>
      <c r="AS412" s="175">
        <v>13</v>
      </c>
    </row>
  </sheetData>
  <autoFilter ref="A1:AR412" xr:uid="{F897B819-E886-46EE-A049-B8F354BB343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ORIGINAL</vt:lpstr>
      <vt:lpstr>DATOS</vt:lpstr>
    </vt:vector>
  </TitlesOfParts>
  <Company>Wi-Black Corp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Per§onal_</dc:creator>
  <cp:lastModifiedBy>MANUEL ALEJANDRO VALLEJO TRUJILLO</cp:lastModifiedBy>
  <dcterms:created xsi:type="dcterms:W3CDTF">2024-04-20T19:28:58Z</dcterms:created>
  <dcterms:modified xsi:type="dcterms:W3CDTF">2026-02-23T18:53:37Z</dcterms:modified>
</cp:coreProperties>
</file>